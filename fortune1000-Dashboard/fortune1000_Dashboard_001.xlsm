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2430"/>
  <workbookPr hidePivotFieldList="1"/>
  <mc:AlternateContent xmlns:mc="http://schemas.openxmlformats.org/markup-compatibility/2006">
    <mc:Choice Requires="x15">
      <x15ac:absPath xmlns:x15ac="http://schemas.microsoft.com/office/spreadsheetml/2010/11/ac" url="C:\Users\Michael\Documents\Excel\DASHBOARDS\"/>
    </mc:Choice>
  </mc:AlternateContent>
  <xr:revisionPtr revIDLastSave="0" documentId="13_ncr:40009_{0927DDBC-C428-47F3-ADE6-487BCB78CC6A}" xr6:coauthVersionLast="45" xr6:coauthVersionMax="45" xr10:uidLastSave="{00000000-0000-0000-0000-000000000000}"/>
  <bookViews>
    <workbookView xWindow="-120" yWindow="-120" windowWidth="29040" windowHeight="15840" activeTab="4"/>
  </bookViews>
  <sheets>
    <sheet name="fortune1000" sheetId="1" r:id="rId1"/>
    <sheet name="LOCATION" sheetId="3" r:id="rId2"/>
    <sheet name="INDUSTRY" sheetId="4" r:id="rId3"/>
    <sheet name="Company_Pivot" sheetId="2" r:id="rId4"/>
    <sheet name="Dashboard" sheetId="5" r:id="rId5"/>
  </sheets>
  <definedNames>
    <definedName name="_xlchart.v5.0" hidden="1">LOCATION!$E$3</definedName>
    <definedName name="_xlchart.v5.1" hidden="1">LOCATION!$E$4:$E$15</definedName>
    <definedName name="_xlchart.v5.2" hidden="1">LOCATION!$F$3</definedName>
    <definedName name="_xlchart.v5.3" hidden="1">LOCATION!$F$4:$F$15</definedName>
    <definedName name="Slicer_Industry">#N/A</definedName>
  </definedNames>
  <calcPr calcId="0"/>
  <pivotCaches>
    <pivotCache cacheId="3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B36" i="5" l="1" a="1"/>
  <c r="B36" i="5" s="1"/>
  <c r="C36" i="5" a="1"/>
  <c r="C36" i="5" s="1"/>
  <c r="D36" i="5" a="1"/>
  <c r="D36" i="5" s="1"/>
  <c r="E36" i="5" a="1"/>
  <c r="E36" i="5" s="1"/>
  <c r="B37" i="5" a="1"/>
  <c r="B37" i="5" s="1"/>
  <c r="C37" i="5" a="1"/>
  <c r="C37" i="5" s="1"/>
  <c r="D37" i="5" a="1"/>
  <c r="D37" i="5" s="1"/>
  <c r="E37" i="5" a="1"/>
  <c r="E37" i="5" s="1"/>
  <c r="B38" i="5" a="1"/>
  <c r="B38" i="5" s="1"/>
  <c r="C38" i="5" a="1"/>
  <c r="C38" i="5" s="1"/>
  <c r="D38" i="5" a="1"/>
  <c r="D38" i="5" s="1"/>
  <c r="E38" i="5" a="1"/>
  <c r="E38" i="5" s="1"/>
  <c r="B39" i="5" a="1"/>
  <c r="B39" i="5" s="1"/>
  <c r="C39" i="5" a="1"/>
  <c r="C39" i="5" s="1"/>
  <c r="D39" i="5" a="1"/>
  <c r="D39" i="5" s="1"/>
  <c r="E39" i="5" a="1"/>
  <c r="E39" i="5" s="1"/>
  <c r="B40" i="5" a="1"/>
  <c r="B40" i="5" s="1"/>
  <c r="C40" i="5" a="1"/>
  <c r="C40" i="5" s="1"/>
  <c r="D40" i="5" a="1"/>
  <c r="D40" i="5" s="1"/>
  <c r="E40" i="5" a="1"/>
  <c r="E40" i="5" s="1"/>
  <c r="B41" i="5" a="1"/>
  <c r="B41" i="5" s="1"/>
  <c r="C41" i="5" a="1"/>
  <c r="C41" i="5" s="1"/>
  <c r="D41" i="5" a="1"/>
  <c r="D41" i="5" s="1"/>
  <c r="E41" i="5" a="1"/>
  <c r="E41" i="5" s="1"/>
  <c r="C5" i="5" a="1"/>
  <c r="C5" i="5" s="1"/>
  <c r="D5" i="5" a="1"/>
  <c r="D5" i="5" s="1"/>
  <c r="E5" i="5" a="1"/>
  <c r="E5" i="5" s="1"/>
  <c r="C6" i="5" a="1"/>
  <c r="C6" i="5" s="1"/>
  <c r="D6" i="5" a="1"/>
  <c r="D6" i="5" s="1"/>
  <c r="E6" i="5" a="1"/>
  <c r="E6" i="5" s="1"/>
  <c r="C7" i="5" a="1"/>
  <c r="C7" i="5" s="1"/>
  <c r="D7" i="5" a="1"/>
  <c r="D7" i="5" s="1"/>
  <c r="E7" i="5" a="1"/>
  <c r="E7" i="5" s="1"/>
  <c r="C8" i="5" a="1"/>
  <c r="C8" i="5" s="1"/>
  <c r="D8" i="5" a="1"/>
  <c r="D8" i="5" s="1"/>
  <c r="E8" i="5" a="1"/>
  <c r="E8" i="5" s="1"/>
  <c r="C9" i="5" a="1"/>
  <c r="C9" i="5" s="1"/>
  <c r="D9" i="5" a="1"/>
  <c r="D9" i="5" s="1"/>
  <c r="E9" i="5" a="1"/>
  <c r="E9" i="5" s="1"/>
  <c r="C10" i="5" a="1"/>
  <c r="C10" i="5" s="1"/>
  <c r="D10" i="5" a="1"/>
  <c r="D10" i="5" s="1"/>
  <c r="E10" i="5" a="1"/>
  <c r="E10" i="5" s="1"/>
  <c r="C11" i="5" a="1"/>
  <c r="C11" i="5" s="1"/>
  <c r="D11" i="5" a="1"/>
  <c r="D11" i="5" s="1"/>
  <c r="E11" i="5" a="1"/>
  <c r="E11" i="5" s="1"/>
  <c r="C12" i="5" a="1"/>
  <c r="C12" i="5" s="1"/>
  <c r="D12" i="5" a="1"/>
  <c r="D12" i="5" s="1"/>
  <c r="E12" i="5" a="1"/>
  <c r="E12" i="5" s="1"/>
  <c r="C13" i="5" a="1"/>
  <c r="C13" i="5" s="1"/>
  <c r="D13" i="5" a="1"/>
  <c r="D13" i="5" s="1"/>
  <c r="E13" i="5" a="1"/>
  <c r="E13" i="5" s="1"/>
  <c r="C14" i="5" a="1"/>
  <c r="C14" i="5" s="1"/>
  <c r="D14" i="5" a="1"/>
  <c r="D14" i="5" s="1"/>
  <c r="E14" i="5" a="1"/>
  <c r="E14" i="5" s="1"/>
  <c r="C15" i="5" a="1"/>
  <c r="C15" i="5" s="1"/>
  <c r="D15" i="5" a="1"/>
  <c r="D15" i="5" s="1"/>
  <c r="E15" i="5" a="1"/>
  <c r="E15" i="5" s="1"/>
  <c r="C16" i="5" a="1"/>
  <c r="C16" i="5" s="1"/>
  <c r="D16" i="5" a="1"/>
  <c r="D16" i="5" s="1"/>
  <c r="E16" i="5" a="1"/>
  <c r="E16" i="5" s="1"/>
  <c r="C17" i="5" a="1"/>
  <c r="C17" i="5" s="1"/>
  <c r="D17" i="5" a="1"/>
  <c r="D17" i="5" s="1"/>
  <c r="E17" i="5" a="1"/>
  <c r="E17" i="5" s="1"/>
  <c r="C18" i="5" a="1"/>
  <c r="C18" i="5" s="1"/>
  <c r="D18" i="5" a="1"/>
  <c r="D18" i="5" s="1"/>
  <c r="E18" i="5" a="1"/>
  <c r="E18" i="5" s="1"/>
  <c r="C19" i="5" a="1"/>
  <c r="C19" i="5" s="1"/>
  <c r="D19" i="5" a="1"/>
  <c r="D19" i="5" s="1"/>
  <c r="E19" i="5" a="1"/>
  <c r="E19" i="5" s="1"/>
  <c r="C20" i="5" a="1"/>
  <c r="C20" i="5" s="1"/>
  <c r="D20" i="5" a="1"/>
  <c r="D20" i="5" s="1"/>
  <c r="E20" i="5" a="1"/>
  <c r="E20" i="5" s="1"/>
  <c r="C21" i="5" a="1"/>
  <c r="C21" i="5" s="1"/>
  <c r="D21" i="5" a="1"/>
  <c r="D21" i="5" s="1"/>
  <c r="E21" i="5" a="1"/>
  <c r="E21" i="5" s="1"/>
  <c r="C22" i="5" a="1"/>
  <c r="C22" i="5" s="1"/>
  <c r="D22" i="5" a="1"/>
  <c r="D22" i="5" s="1"/>
  <c r="E22" i="5" a="1"/>
  <c r="E22" i="5" s="1"/>
  <c r="C23" i="5" a="1"/>
  <c r="C23" i="5" s="1"/>
  <c r="D23" i="5" a="1"/>
  <c r="D23" i="5" s="1"/>
  <c r="E23" i="5" a="1"/>
  <c r="E23" i="5" s="1"/>
  <c r="C24" i="5" a="1"/>
  <c r="C24" i="5" s="1"/>
  <c r="D24" i="5" a="1"/>
  <c r="D24" i="5" s="1"/>
  <c r="E24" i="5" a="1"/>
  <c r="E24" i="5" s="1"/>
  <c r="C25" i="5" a="1"/>
  <c r="C25" i="5" s="1"/>
  <c r="D25" i="5" a="1"/>
  <c r="D25" i="5" s="1"/>
  <c r="E25" i="5" a="1"/>
  <c r="E25" i="5" s="1"/>
  <c r="C26" i="5" a="1"/>
  <c r="C26" i="5" s="1"/>
  <c r="D26" i="5" a="1"/>
  <c r="D26" i="5" s="1"/>
  <c r="E26" i="5" a="1"/>
  <c r="E26" i="5" s="1"/>
  <c r="C27" i="5" a="1"/>
  <c r="C27" i="5" s="1"/>
  <c r="D27" i="5" a="1"/>
  <c r="D27" i="5" s="1"/>
  <c r="E27" i="5" a="1"/>
  <c r="E27" i="5" s="1"/>
  <c r="C28" i="5" a="1"/>
  <c r="C28" i="5" s="1"/>
  <c r="D28" i="5" a="1"/>
  <c r="D28" i="5" s="1"/>
  <c r="E28" i="5" a="1"/>
  <c r="E28" i="5" s="1"/>
  <c r="C29" i="5" a="1"/>
  <c r="C29" i="5" s="1"/>
  <c r="D29" i="5" a="1"/>
  <c r="D29" i="5" s="1"/>
  <c r="E29" i="5" a="1"/>
  <c r="E29" i="5" s="1"/>
  <c r="C30" i="5" a="1"/>
  <c r="C30" i="5" s="1"/>
  <c r="D30" i="5" a="1"/>
  <c r="D30" i="5" s="1"/>
  <c r="E30" i="5" a="1"/>
  <c r="E30" i="5" s="1"/>
  <c r="C31" i="5" a="1"/>
  <c r="C31" i="5" s="1"/>
  <c r="D31" i="5" a="1"/>
  <c r="D31" i="5" s="1"/>
  <c r="E31" i="5" a="1"/>
  <c r="E31" i="5" s="1"/>
  <c r="C32" i="5" a="1"/>
  <c r="C32" i="5" s="1"/>
  <c r="D32" i="5" a="1"/>
  <c r="D32" i="5" s="1"/>
  <c r="E32" i="5" a="1"/>
  <c r="E32" i="5" s="1"/>
  <c r="C33" i="5" a="1"/>
  <c r="C33" i="5" s="1"/>
  <c r="D33" i="5" a="1"/>
  <c r="D33" i="5" s="1"/>
  <c r="E33" i="5" a="1"/>
  <c r="E33" i="5" s="1"/>
  <c r="C34" i="5" a="1"/>
  <c r="C34" i="5" s="1"/>
  <c r="D34" i="5" a="1"/>
  <c r="D34" i="5" s="1"/>
  <c r="E34" i="5" a="1"/>
  <c r="E34" i="5" s="1"/>
  <c r="C35" i="5" a="1"/>
  <c r="C35" i="5" s="1"/>
  <c r="D35" i="5" a="1"/>
  <c r="D35" i="5" s="1"/>
  <c r="E35" i="5" a="1"/>
  <c r="E35" i="5" s="1"/>
  <c r="B6" i="5" a="1"/>
  <c r="B6" i="5" s="1"/>
  <c r="B7" i="5" a="1"/>
  <c r="B7" i="5" s="1"/>
  <c r="B8" i="5" a="1"/>
  <c r="B8" i="5" s="1"/>
  <c r="B9" i="5" a="1"/>
  <c r="B9" i="5" s="1"/>
  <c r="B10" i="5" a="1"/>
  <c r="B10" i="5" s="1"/>
  <c r="B11" i="5" a="1"/>
  <c r="B11" i="5" s="1"/>
  <c r="B12" i="5" a="1"/>
  <c r="B12" i="5" s="1"/>
  <c r="B13" i="5" a="1"/>
  <c r="B13" i="5" s="1"/>
  <c r="B14" i="5" a="1"/>
  <c r="B14" i="5" s="1"/>
  <c r="B15" i="5" a="1"/>
  <c r="B15" i="5" s="1"/>
  <c r="B16" i="5" a="1"/>
  <c r="B16" i="5" s="1"/>
  <c r="B17" i="5" a="1"/>
  <c r="B17" i="5" s="1"/>
  <c r="B18" i="5" a="1"/>
  <c r="B18" i="5" s="1"/>
  <c r="B19" i="5" a="1"/>
  <c r="B19" i="5" s="1"/>
  <c r="B20" i="5" a="1"/>
  <c r="B20" i="5" s="1"/>
  <c r="B21" i="5" a="1"/>
  <c r="B21" i="5" s="1"/>
  <c r="B22" i="5" a="1"/>
  <c r="B22" i="5" s="1"/>
  <c r="B23" i="5" a="1"/>
  <c r="B23" i="5" s="1"/>
  <c r="B24" i="5" a="1"/>
  <c r="B24" i="5" s="1"/>
  <c r="B25" i="5" a="1"/>
  <c r="B25" i="5" s="1"/>
  <c r="B26" i="5" a="1"/>
  <c r="B26" i="5" s="1"/>
  <c r="B27" i="5" a="1"/>
  <c r="B27" i="5" s="1"/>
  <c r="B28" i="5" a="1"/>
  <c r="B28" i="5" s="1"/>
  <c r="B29" i="5" a="1"/>
  <c r="B29" i="5" s="1"/>
  <c r="B30" i="5" a="1"/>
  <c r="B30" i="5" s="1"/>
  <c r="B31" i="5" a="1"/>
  <c r="B31" i="5" s="1"/>
  <c r="B32" i="5" a="1"/>
  <c r="B32" i="5" s="1"/>
  <c r="B33" i="5" a="1"/>
  <c r="B33" i="5" s="1"/>
  <c r="B34" i="5" a="1"/>
  <c r="B34" i="5" s="1"/>
  <c r="B35" i="5" a="1"/>
  <c r="B35" i="5" s="1"/>
  <c r="B5" i="5" a="1"/>
  <c r="B5" i="5" s="1"/>
  <c r="F6" i="2"/>
  <c r="E32" i="3" l="1"/>
  <c r="E24" i="3"/>
  <c r="E31" i="3"/>
  <c r="E23" i="3"/>
  <c r="E30" i="3"/>
  <c r="E22" i="3"/>
  <c r="E29" i="3"/>
  <c r="E21" i="3"/>
  <c r="E28" i="3"/>
  <c r="E26" i="3"/>
  <c r="E25" i="3"/>
  <c r="E27" i="3"/>
  <c r="F15" i="3"/>
  <c r="F14" i="3"/>
  <c r="F13" i="3"/>
  <c r="F12" i="3"/>
  <c r="F11" i="3"/>
  <c r="F10" i="3"/>
  <c r="F9" i="3"/>
  <c r="F8" i="3"/>
  <c r="F7" i="3"/>
  <c r="F6" i="3"/>
  <c r="F5" i="3"/>
  <c r="F4"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<sst xmlns="http://schemas.openxmlformats.org/spreadsheetml/2006/main" count="5189" uniqueCount="1537">
  <si>
    <t>Rank</t>
  </si>
  <si>
    <t>Company</t>
  </si>
  <si>
    <t>Sector</t>
  </si>
  <si>
    <t>Industry</t>
  </si>
  <si>
    <t>Location</t>
  </si>
  <si>
    <t>Revenue</t>
  </si>
  <si>
    <t>Profits</t>
  </si>
  <si>
    <t>Employees</t>
  </si>
  <si>
    <t>Walmart</t>
  </si>
  <si>
    <t>Retailing</t>
  </si>
  <si>
    <t>General Merchandisers</t>
  </si>
  <si>
    <t>Bentonville, AR</t>
  </si>
  <si>
    <t>Exxon Mobil</t>
  </si>
  <si>
    <t>Energy</t>
  </si>
  <si>
    <t>Petroleum Refining</t>
  </si>
  <si>
    <t>Irving, TX</t>
  </si>
  <si>
    <t>Apple</t>
  </si>
  <si>
    <t>Technology</t>
  </si>
  <si>
    <t>Computers, Office Equipment</t>
  </si>
  <si>
    <t>Cupertino, CA</t>
  </si>
  <si>
    <t>Berkshire Hathaway</t>
  </si>
  <si>
    <t>Financials</t>
  </si>
  <si>
    <t>Insurance: Property and Casualty (Stock)</t>
  </si>
  <si>
    <t>Omaha, NE</t>
  </si>
  <si>
    <t>McKesson</t>
  </si>
  <si>
    <t>Health Care</t>
  </si>
  <si>
    <t>Wholesalers: Health Care</t>
  </si>
  <si>
    <t>San Francisco, CA</t>
  </si>
  <si>
    <t>UnitedHealth Group</t>
  </si>
  <si>
    <t>Health Care: Insurance and Managed Care</t>
  </si>
  <si>
    <t>Minnetonka, MN</t>
  </si>
  <si>
    <t>CVS Health</t>
  </si>
  <si>
    <t>Food and Drug Stores</t>
  </si>
  <si>
    <t>Woonsocket, RI</t>
  </si>
  <si>
    <t>General Motors</t>
  </si>
  <si>
    <t>Motor Vehicles &amp; Parts</t>
  </si>
  <si>
    <t>Motor Vehicles and Parts</t>
  </si>
  <si>
    <t>Detroit, MI</t>
  </si>
  <si>
    <t>Ford Motor</t>
  </si>
  <si>
    <t>Dearborn, MI</t>
  </si>
  <si>
    <t>AT&amp;T</t>
  </si>
  <si>
    <t>Telecommunications</t>
  </si>
  <si>
    <t>Dallas, TX</t>
  </si>
  <si>
    <t>General Electric</t>
  </si>
  <si>
    <t>Industrials</t>
  </si>
  <si>
    <t>Industrial Machinery</t>
  </si>
  <si>
    <t>Fairfield, CT</t>
  </si>
  <si>
    <t>AmerisourceBergen</t>
  </si>
  <si>
    <t>Chesterbrook, PA</t>
  </si>
  <si>
    <t>Verizon</t>
  </si>
  <si>
    <t>New York, NY</t>
  </si>
  <si>
    <t>Chevron</t>
  </si>
  <si>
    <t>San Ramon, CA</t>
  </si>
  <si>
    <t>Costco</t>
  </si>
  <si>
    <t>Specialty Retailers: Other</t>
  </si>
  <si>
    <t>Issaquah, WA</t>
  </si>
  <si>
    <t>Fannie Mae</t>
  </si>
  <si>
    <t>Diversified Financials</t>
  </si>
  <si>
    <t>Washington, DC</t>
  </si>
  <si>
    <t>Kroger</t>
  </si>
  <si>
    <t>Cincinnati, OH</t>
  </si>
  <si>
    <t>Amazon.com</t>
  </si>
  <si>
    <t>Internet Services and Retailing</t>
  </si>
  <si>
    <t>Seattle, WA</t>
  </si>
  <si>
    <t>Walgreens Boots Alliance</t>
  </si>
  <si>
    <t>Deerfield, IL</t>
  </si>
  <si>
    <t>HP</t>
  </si>
  <si>
    <t>Palo Alto, CA</t>
  </si>
  <si>
    <t>Cardinal Health</t>
  </si>
  <si>
    <t>Dublin, OH</t>
  </si>
  <si>
    <t>Express Scripts Holding</t>
  </si>
  <si>
    <t>Health Care: Pharmacy and Other Services</t>
  </si>
  <si>
    <t>St. Louis, MO</t>
  </si>
  <si>
    <t>J.P. Morgan Chase</t>
  </si>
  <si>
    <t>Commercial Banks</t>
  </si>
  <si>
    <t>Boeing</t>
  </si>
  <si>
    <t>Aerospace &amp; Defense</t>
  </si>
  <si>
    <t>Aerospace and Defense</t>
  </si>
  <si>
    <t>Chicago, IL</t>
  </si>
  <si>
    <t>Microsoft</t>
  </si>
  <si>
    <t>Computer Software</t>
  </si>
  <si>
    <t>Redmond, WA</t>
  </si>
  <si>
    <t>Bank of America Corp.</t>
  </si>
  <si>
    <t>Charlotte, NC</t>
  </si>
  <si>
    <t>Wells Fargo</t>
  </si>
  <si>
    <t>Home Depot</t>
  </si>
  <si>
    <t>Atlanta, GA</t>
  </si>
  <si>
    <t>Citigroup</t>
  </si>
  <si>
    <t>Phillips 66</t>
  </si>
  <si>
    <t>Houston, TX</t>
  </si>
  <si>
    <t>IBM</t>
  </si>
  <si>
    <t>Information Technology Services</t>
  </si>
  <si>
    <t>Armonk, NY</t>
  </si>
  <si>
    <t>Valero Energy</t>
  </si>
  <si>
    <t>San Antonio, TX</t>
  </si>
  <si>
    <t>Anthem</t>
  </si>
  <si>
    <t>Indianapolis, IN</t>
  </si>
  <si>
    <t>Procter &amp; Gamble</t>
  </si>
  <si>
    <t>Household Products</t>
  </si>
  <si>
    <t>Household and Personal Products</t>
  </si>
  <si>
    <t>State Farm Insurance Cos.</t>
  </si>
  <si>
    <t>Insurance: Property and Casualty (Mutual)</t>
  </si>
  <si>
    <t>Bloomington, IL</t>
  </si>
  <si>
    <t>Alphabet</t>
  </si>
  <si>
    <t>Mountain View, CA</t>
  </si>
  <si>
    <t>Comcast</t>
  </si>
  <si>
    <t>Philadelphia, PA</t>
  </si>
  <si>
    <t>Target</t>
  </si>
  <si>
    <t>Minneapolis, MN</t>
  </si>
  <si>
    <t>Johnson &amp; Johnson</t>
  </si>
  <si>
    <t>Pharmaceuticals</t>
  </si>
  <si>
    <t>New Brunswick, NJ</t>
  </si>
  <si>
    <t>MetLife</t>
  </si>
  <si>
    <t>Insurance: Life, Health (stock)</t>
  </si>
  <si>
    <t>Archer Daniels Midland</t>
  </si>
  <si>
    <t>Food, Beverages &amp; Tobacco</t>
  </si>
  <si>
    <t>Food Production</t>
  </si>
  <si>
    <t>Marathon Petroleum</t>
  </si>
  <si>
    <t>Findlay, OH</t>
  </si>
  <si>
    <t>Freddie Mac</t>
  </si>
  <si>
    <t>McLean, VA</t>
  </si>
  <si>
    <t>PepsiCo</t>
  </si>
  <si>
    <t>Food Consumer Products</t>
  </si>
  <si>
    <t>Purchase, NY</t>
  </si>
  <si>
    <t>United Technologies</t>
  </si>
  <si>
    <t>Farmington, CT</t>
  </si>
  <si>
    <t>Aetna</t>
  </si>
  <si>
    <t>Hartford, CT</t>
  </si>
  <si>
    <t>Loweâ€™s</t>
  </si>
  <si>
    <t>Mooresville, NC</t>
  </si>
  <si>
    <t>UPS</t>
  </si>
  <si>
    <t>Transportation</t>
  </si>
  <si>
    <t>Mail, Package, and Freight Delivery</t>
  </si>
  <si>
    <t>AIG</t>
  </si>
  <si>
    <t>Prudential Financial</t>
  </si>
  <si>
    <t>Newark, NJ</t>
  </si>
  <si>
    <t>Intel</t>
  </si>
  <si>
    <t>Semiconductors and Other Electronic Components</t>
  </si>
  <si>
    <t>Santa Clara, CA</t>
  </si>
  <si>
    <t>Humana</t>
  </si>
  <si>
    <t>Louisville, KY</t>
  </si>
  <si>
    <t>Disney</t>
  </si>
  <si>
    <t>Media</t>
  </si>
  <si>
    <t>Entertainment</t>
  </si>
  <si>
    <t>Burbank, CA</t>
  </si>
  <si>
    <t>Cisco Systems</t>
  </si>
  <si>
    <t>Network and Other Communications Equipment</t>
  </si>
  <si>
    <t>San Jose, CA</t>
  </si>
  <si>
    <t>Pfizer</t>
  </si>
  <si>
    <t>Dow Chemical</t>
  </si>
  <si>
    <t>Chemicals</t>
  </si>
  <si>
    <t>Midland, MI</t>
  </si>
  <si>
    <t>Sysco</t>
  </si>
  <si>
    <t>Wholesalers</t>
  </si>
  <si>
    <t>Wholesalers: Food and Grocery</t>
  </si>
  <si>
    <t>FedEx</t>
  </si>
  <si>
    <t>Memphis, TN</t>
  </si>
  <si>
    <t>Caterpillar</t>
  </si>
  <si>
    <t>Construction and Farm Machinery</t>
  </si>
  <si>
    <t>Peoria, IL</t>
  </si>
  <si>
    <t>Lockheed Martin</t>
  </si>
  <si>
    <t>Bethesda, MD</t>
  </si>
  <si>
    <t>New York Life Insurance</t>
  </si>
  <si>
    <t>Insurance: Life, Health (Mutual)</t>
  </si>
  <si>
    <t>Coca-Cola</t>
  </si>
  <si>
    <t>Beverages</t>
  </si>
  <si>
    <t>HCA Holdings</t>
  </si>
  <si>
    <t>Health Care: Medical Facilities</t>
  </si>
  <si>
    <t>Nashville, TN</t>
  </si>
  <si>
    <t>Ingram Micro</t>
  </si>
  <si>
    <t>Wholesalers: Electronics and Office Equipment</t>
  </si>
  <si>
    <t>Irvine, CA</t>
  </si>
  <si>
    <t>Energy Transfer Equity</t>
  </si>
  <si>
    <t>Pipelines</t>
  </si>
  <si>
    <t>Tyson Foods</t>
  </si>
  <si>
    <t>Springdale, AR</t>
  </si>
  <si>
    <t>American Airlines Group</t>
  </si>
  <si>
    <t>Airlines</t>
  </si>
  <si>
    <t>Fort Worth, TX</t>
  </si>
  <si>
    <t>Delta Air Lines</t>
  </si>
  <si>
    <t>Nationwide</t>
  </si>
  <si>
    <t>Columbus, OH</t>
  </si>
  <si>
    <t>Johnson Controls</t>
  </si>
  <si>
    <t>Milwaukee, WI</t>
  </si>
  <si>
    <t>Best Buy</t>
  </si>
  <si>
    <t>Richfield, MN</t>
  </si>
  <si>
    <t>Merck</t>
  </si>
  <si>
    <t>Kenilworth, NJ</t>
  </si>
  <si>
    <t>Liberty Mutual Insurance Group</t>
  </si>
  <si>
    <t>Boston, MA</t>
  </si>
  <si>
    <t>Goldman Sachs Group</t>
  </si>
  <si>
    <t>Honeywell International</t>
  </si>
  <si>
    <t>Electronics, Electrical Equip.</t>
  </si>
  <si>
    <t>Morris Plains, NJ</t>
  </si>
  <si>
    <t>Massachusetts Mutual Life Insurance</t>
  </si>
  <si>
    <t>Springfield, MA</t>
  </si>
  <si>
    <t>Oracle</t>
  </si>
  <si>
    <t>Redwood City, CA</t>
  </si>
  <si>
    <t>Morgan Stanley</t>
  </si>
  <si>
    <t>Cigna</t>
  </si>
  <si>
    <t>Bloomfield, CT</t>
  </si>
  <si>
    <t>United Continental Holdings</t>
  </si>
  <si>
    <t>Allstate</t>
  </si>
  <si>
    <t>Northbrook, IL</t>
  </si>
  <si>
    <t>TIAA</t>
  </si>
  <si>
    <t>INTL FCStone</t>
  </si>
  <si>
    <t>CHS</t>
  </si>
  <si>
    <t>Inver Grove Heights, MN</t>
  </si>
  <si>
    <t>American Express</t>
  </si>
  <si>
    <t>Gilead Sciences</t>
  </si>
  <si>
    <t>Foster City, CA</t>
  </si>
  <si>
    <t>Publix Super Markets</t>
  </si>
  <si>
    <t>Lakeland, FL</t>
  </si>
  <si>
    <t>General Dynamics</t>
  </si>
  <si>
    <t>Falls Church, VA</t>
  </si>
  <si>
    <t>TJX</t>
  </si>
  <si>
    <t>Specialty Retailers: Apparel</t>
  </si>
  <si>
    <t>Framingham, MA</t>
  </si>
  <si>
    <t>ConocoPhillips</t>
  </si>
  <si>
    <t>Mining, Crude-Oil Production</t>
  </si>
  <si>
    <t>Nike</t>
  </si>
  <si>
    <t>Apparel</t>
  </si>
  <si>
    <t>Beaverton, OR</t>
  </si>
  <si>
    <t>World Fuel Services</t>
  </si>
  <si>
    <t>Wholesalers: Diversified</t>
  </si>
  <si>
    <t>Miami, FL</t>
  </si>
  <si>
    <t>3M</t>
  </si>
  <si>
    <t>Miscellaneous</t>
  </si>
  <si>
    <t>St. Paul, MN</t>
  </si>
  <si>
    <t>Mondelez International</t>
  </si>
  <si>
    <t>Exelon</t>
  </si>
  <si>
    <t>Utilities: Gas and Electric</t>
  </si>
  <si>
    <t>Twenty-First Century Fox</t>
  </si>
  <si>
    <t>Deere</t>
  </si>
  <si>
    <t>Moline, IL</t>
  </si>
  <si>
    <t>Tesoro</t>
  </si>
  <si>
    <t>Time Warner</t>
  </si>
  <si>
    <t>Northwestern Mutual</t>
  </si>
  <si>
    <t>DuPont</t>
  </si>
  <si>
    <t>Wilmington, DE</t>
  </si>
  <si>
    <t>Avnet</t>
  </si>
  <si>
    <t>Phoenix, AZ</t>
  </si>
  <si>
    <t>Macyâ€™s</t>
  </si>
  <si>
    <t>Enterprise Products Partners</t>
  </si>
  <si>
    <t>Travelers Cos.</t>
  </si>
  <si>
    <t>Philip Morris International</t>
  </si>
  <si>
    <t>Tobacco</t>
  </si>
  <si>
    <t>Rite Aid</t>
  </si>
  <si>
    <t>Camp Hill, PA</t>
  </si>
  <si>
    <t>Tech Data</t>
  </si>
  <si>
    <t>Clearwater, FL</t>
  </si>
  <si>
    <t>McDonaldâ€™s</t>
  </si>
  <si>
    <t>Hotels, Resturants &amp; Leisure</t>
  </si>
  <si>
    <t>Food Services</t>
  </si>
  <si>
    <t>Oak Brook, IL</t>
  </si>
  <si>
    <t>Qualcomm</t>
  </si>
  <si>
    <t>San Diego, CA</t>
  </si>
  <si>
    <t>Sears Holdings</t>
  </si>
  <si>
    <t>Hoffman Estates, IL</t>
  </si>
  <si>
    <t>Capital One Financial</t>
  </si>
  <si>
    <t>EMC</t>
  </si>
  <si>
    <t>Computer Peripherals</t>
  </si>
  <si>
    <t>Hopkinton, MA</t>
  </si>
  <si>
    <t>USAA</t>
  </si>
  <si>
    <t>Duke Energy</t>
  </si>
  <si>
    <t>Time Warner Cable</t>
  </si>
  <si>
    <t>Halliburton</t>
  </si>
  <si>
    <t>Oil and Gas Equipment, Services</t>
  </si>
  <si>
    <t>Northrop Grumman</t>
  </si>
  <si>
    <t>Arrow Electronics</t>
  </si>
  <si>
    <t>Centennial, CO</t>
  </si>
  <si>
    <t>Raytheon</t>
  </si>
  <si>
    <t>Waltham, MA</t>
  </si>
  <si>
    <t>Plains GP Holdings</t>
  </si>
  <si>
    <t>US Foods Holding</t>
  </si>
  <si>
    <t>Rosemont, IL</t>
  </si>
  <si>
    <t>AbbVie</t>
  </si>
  <si>
    <t>North Chicago, IL</t>
  </si>
  <si>
    <t>Centene</t>
  </si>
  <si>
    <t>Community Health Systems</t>
  </si>
  <si>
    <t>Franklin, TN</t>
  </si>
  <si>
    <t>Alcoa</t>
  </si>
  <si>
    <t>Materials</t>
  </si>
  <si>
    <t>Metals</t>
  </si>
  <si>
    <t>International Paper</t>
  </si>
  <si>
    <t>Packaging, Containers</t>
  </si>
  <si>
    <t>Emerson Electric</t>
  </si>
  <si>
    <t>Union Pacific</t>
  </si>
  <si>
    <t>Railroads</t>
  </si>
  <si>
    <t>Amgen</t>
  </si>
  <si>
    <t>Thousand Oaks, CA</t>
  </si>
  <si>
    <t>U.S. Bancorp</t>
  </si>
  <si>
    <t>Staples</t>
  </si>
  <si>
    <t>Danaher</t>
  </si>
  <si>
    <t>Scientific,Photographic and Control Equipment</t>
  </si>
  <si>
    <t>Whirlpool</t>
  </si>
  <si>
    <t>Benton Harbor, MI</t>
  </si>
  <si>
    <t>Aflac</t>
  </si>
  <si>
    <t>Columbus, GA</t>
  </si>
  <si>
    <t>AutoNation</t>
  </si>
  <si>
    <t>Automotive Retailing, Services</t>
  </si>
  <si>
    <t>Fort Lauderdale, FL</t>
  </si>
  <si>
    <t>Progressive</t>
  </si>
  <si>
    <t>Mayfield Village, OH</t>
  </si>
  <si>
    <t>Abbott Laboratories</t>
  </si>
  <si>
    <t>Medical Products and Equipment</t>
  </si>
  <si>
    <t>Abbott Park, IL</t>
  </si>
  <si>
    <t>Dollar General</t>
  </si>
  <si>
    <t>Goodlettsville, TN</t>
  </si>
  <si>
    <t>Tenet Healthcare</t>
  </si>
  <si>
    <t>Eli Lilly</t>
  </si>
  <si>
    <t>Southwest Airlines</t>
  </si>
  <si>
    <t>Penske Automotive Group</t>
  </si>
  <si>
    <t>Bloomfield Hills, MI</t>
  </si>
  <si>
    <t>ManpowerGroup</t>
  </si>
  <si>
    <t>Business Services</t>
  </si>
  <si>
    <t>Temporary Help</t>
  </si>
  <si>
    <t>Kohlâ€™s</t>
  </si>
  <si>
    <t>Menomonee Falls, WI</t>
  </si>
  <si>
    <t>Starbucks</t>
  </si>
  <si>
    <t>Paccar</t>
  </si>
  <si>
    <t>Bellevue, WA</t>
  </si>
  <si>
    <t>Cummins</t>
  </si>
  <si>
    <t>Columbus, IN</t>
  </si>
  <si>
    <t>Altria Group</t>
  </si>
  <si>
    <t>Richmond, VA</t>
  </si>
  <si>
    <t>Xerox</t>
  </si>
  <si>
    <t>Norwalk, CT</t>
  </si>
  <si>
    <t>Kimberly-Clark</t>
  </si>
  <si>
    <t>Hartford Financial Services Group</t>
  </si>
  <si>
    <t>Kraft Heinz</t>
  </si>
  <si>
    <t>Pittsburgh, PA</t>
  </si>
  <si>
    <t>Lear</t>
  </si>
  <si>
    <t>Southfield, MI</t>
  </si>
  <si>
    <t>Fluor</t>
  </si>
  <si>
    <t>Engineering &amp; Construction</t>
  </si>
  <si>
    <t>Engineering, Construction</t>
  </si>
  <si>
    <t>AECOM</t>
  </si>
  <si>
    <t>Los Angeles, CA</t>
  </si>
  <si>
    <t>Facebook</t>
  </si>
  <si>
    <t>Menlo Park, CA</t>
  </si>
  <si>
    <t>Jabil Circuit</t>
  </si>
  <si>
    <t>St. Petersburg, FL</t>
  </si>
  <si>
    <t>CenturyLink</t>
  </si>
  <si>
    <t>Monroe, LA</t>
  </si>
  <si>
    <t>Supervalu</t>
  </si>
  <si>
    <t>Eden Prairie, MN</t>
  </si>
  <si>
    <t>General Mills</t>
  </si>
  <si>
    <t>Southern</t>
  </si>
  <si>
    <t>NextEra Energy</t>
  </si>
  <si>
    <t>Juno Beach, FL</t>
  </si>
  <si>
    <t>Thermo Fisher Scientific</t>
  </si>
  <si>
    <t>American Electric Power</t>
  </si>
  <si>
    <t>PG&amp;E Corp.</t>
  </si>
  <si>
    <t>NGL Energy Partners</t>
  </si>
  <si>
    <t>Tulsa, OK</t>
  </si>
  <si>
    <t>Bristol-Myers Squibb</t>
  </si>
  <si>
    <t>Goodyear Tire &amp; Rubber</t>
  </si>
  <si>
    <t>Akron, OH</t>
  </si>
  <si>
    <t>Nucor</t>
  </si>
  <si>
    <t>PNC Financial Services Group</t>
  </si>
  <si>
    <t>Health Net</t>
  </si>
  <si>
    <t>Woodland Hills, CA</t>
  </si>
  <si>
    <t>Micron Technology</t>
  </si>
  <si>
    <t>Boise, ID</t>
  </si>
  <si>
    <t>Colgate-Palmolive</t>
  </si>
  <si>
    <t>Freeport-McMoRan</t>
  </si>
  <si>
    <t>ConAgra Foods</t>
  </si>
  <si>
    <t>Gap</t>
  </si>
  <si>
    <t>Baker Hughes</t>
  </si>
  <si>
    <t>Bank of New York Mellon Corp.</t>
  </si>
  <si>
    <t>Dollar Tree</t>
  </si>
  <si>
    <t>Chesapeake, VA</t>
  </si>
  <si>
    <t>Whole Foods Market</t>
  </si>
  <si>
    <t>Austin, TX</t>
  </si>
  <si>
    <t>PPG Industries</t>
  </si>
  <si>
    <t>Genuine Parts</t>
  </si>
  <si>
    <t>Icahn Enterprises</t>
  </si>
  <si>
    <t>Performance Food Group</t>
  </si>
  <si>
    <t>Omnicom Group</t>
  </si>
  <si>
    <t>Advertising, marketing</t>
  </si>
  <si>
    <t>DISH Network</t>
  </si>
  <si>
    <t>Englewood, CO</t>
  </si>
  <si>
    <t>FirstEnergy</t>
  </si>
  <si>
    <t>Monsanto</t>
  </si>
  <si>
    <t>AES</t>
  </si>
  <si>
    <t>Arlington, VA</t>
  </si>
  <si>
    <t>CarMax</t>
  </si>
  <si>
    <t>National Oilwell Varco</t>
  </si>
  <si>
    <t>NRG Energy</t>
  </si>
  <si>
    <t>Princeton, NJ</t>
  </si>
  <si>
    <t>Western Digital</t>
  </si>
  <si>
    <t>Marriott International</t>
  </si>
  <si>
    <t>Hotels, Casinos, Resorts</t>
  </si>
  <si>
    <t>Office Depot</t>
  </si>
  <si>
    <t>Boca Raton, FL</t>
  </si>
  <si>
    <t>Nordstrom</t>
  </si>
  <si>
    <t>Kinder Morgan</t>
  </si>
  <si>
    <t>Aramark</t>
  </si>
  <si>
    <t>Diversified Outsourcing Services</t>
  </si>
  <si>
    <t>DaVita HealthCare Partners</t>
  </si>
  <si>
    <t>Denver, CO</t>
  </si>
  <si>
    <t>Molina Healthcare</t>
  </si>
  <si>
    <t>Long Beach, CA</t>
  </si>
  <si>
    <t>WellCare Health Plans</t>
  </si>
  <si>
    <t>Tampa, FL</t>
  </si>
  <si>
    <t>CBS</t>
  </si>
  <si>
    <t>Visa</t>
  </si>
  <si>
    <t>Financial Data Services</t>
  </si>
  <si>
    <t>Lincoln National</t>
  </si>
  <si>
    <t>Radnor, PA</t>
  </si>
  <si>
    <t>Ecolab</t>
  </si>
  <si>
    <t>Kellogg</t>
  </si>
  <si>
    <t>Battle Creek, MI</t>
  </si>
  <si>
    <t>C.H. Robinson Worldwide</t>
  </si>
  <si>
    <t>Transportation and Logistics</t>
  </si>
  <si>
    <t>Textron</t>
  </si>
  <si>
    <t>Providence, RI</t>
  </si>
  <si>
    <t>Loews</t>
  </si>
  <si>
    <t>Illinois Tool Works</t>
  </si>
  <si>
    <t>Glenview, IL</t>
  </si>
  <si>
    <t>Synnex</t>
  </si>
  <si>
    <t>Fremont, CA</t>
  </si>
  <si>
    <t>Viacom</t>
  </si>
  <si>
    <t>HollyFrontier</t>
  </si>
  <si>
    <t>Land Oâ€™Lakes</t>
  </si>
  <si>
    <t>Arden Hills, MN</t>
  </si>
  <si>
    <t>Devon Energy</t>
  </si>
  <si>
    <t>Oklahoma City, OK</t>
  </si>
  <si>
    <t>PBF Energy</t>
  </si>
  <si>
    <t>Parsippany, NJ</t>
  </si>
  <si>
    <t>Yum Brands</t>
  </si>
  <si>
    <t>Texas Instruments</t>
  </si>
  <si>
    <t>CDW</t>
  </si>
  <si>
    <t>Lincolnshire, IL</t>
  </si>
  <si>
    <t>Waste Management</t>
  </si>
  <si>
    <t>Marsh &amp; McLennan</t>
  </si>
  <si>
    <t>Chesapeake Energy</t>
  </si>
  <si>
    <t>Parker-Hannifin</t>
  </si>
  <si>
    <t>Cleveland, OH</t>
  </si>
  <si>
    <t>Occidental Petroleum</t>
  </si>
  <si>
    <t>Guardian Life Ins. Co. of America</t>
  </si>
  <si>
    <t>Farmers Insurance Exchange</t>
  </si>
  <si>
    <t>J.C. Penney</t>
  </si>
  <si>
    <t>Plano, TX</t>
  </si>
  <si>
    <t>Consolidated Edison</t>
  </si>
  <si>
    <t>Cognizant Technology Solutions</t>
  </si>
  <si>
    <t>Teaneck, NJ</t>
  </si>
  <si>
    <t>VF</t>
  </si>
  <si>
    <t>Greensboro, NC</t>
  </si>
  <si>
    <t>Ameriprise Financial</t>
  </si>
  <si>
    <t>Computer Sciences</t>
  </si>
  <si>
    <t>L Brands</t>
  </si>
  <si>
    <t>Jacobs Engineering Group</t>
  </si>
  <si>
    <t>Pasadena, CA</t>
  </si>
  <si>
    <t>Principal Financial</t>
  </si>
  <si>
    <t>Des Moines, IA</t>
  </si>
  <si>
    <t>Ross Stores</t>
  </si>
  <si>
    <t>Dublin, CA</t>
  </si>
  <si>
    <t>Bed Bath &amp; Beyond</t>
  </si>
  <si>
    <t>Union, NJ</t>
  </si>
  <si>
    <t>CSX</t>
  </si>
  <si>
    <t>Jacksonville, FL</t>
  </si>
  <si>
    <t>Toys â€œRâ€ Us</t>
  </si>
  <si>
    <t>Wayne, NJ</t>
  </si>
  <si>
    <t>Las Vegas Sands</t>
  </si>
  <si>
    <t>Las Vegas, NV</t>
  </si>
  <si>
    <t>Leucadia National</t>
  </si>
  <si>
    <t>Dominion Resources</t>
  </si>
  <si>
    <t>United States Steel</t>
  </si>
  <si>
    <t>L-3 Communications</t>
  </si>
  <si>
    <t>Edison International</t>
  </si>
  <si>
    <t>Rosemead, CA</t>
  </si>
  <si>
    <t>Entergy</t>
  </si>
  <si>
    <t>New Orleans, LA</t>
  </si>
  <si>
    <t>ADP</t>
  </si>
  <si>
    <t>Roseland, NJ</t>
  </si>
  <si>
    <t>First Data</t>
  </si>
  <si>
    <t>BlackRock</t>
  </si>
  <si>
    <t>Securities</t>
  </si>
  <si>
    <t>WestRock</t>
  </si>
  <si>
    <t>Voya Financial</t>
  </si>
  <si>
    <t>Sherwin-Williams</t>
  </si>
  <si>
    <t>Hilton Worldwide Holdings</t>
  </si>
  <si>
    <t>R.R. Donnelley &amp; Sons</t>
  </si>
  <si>
    <t>Publishing, Printing</t>
  </si>
  <si>
    <t>Stanley Black &amp; Decker</t>
  </si>
  <si>
    <t>Home Equipment, Furnishings</t>
  </si>
  <si>
    <t>New Britain, CT</t>
  </si>
  <si>
    <t>Xcel Energy</t>
  </si>
  <si>
    <t>Murphy USA</t>
  </si>
  <si>
    <t>El Dorado, AR</t>
  </si>
  <si>
    <t>CBRE Group</t>
  </si>
  <si>
    <t>Real estate</t>
  </si>
  <si>
    <t>D.R. Horton</t>
  </si>
  <si>
    <t>Homebuilders</t>
  </si>
  <si>
    <t>Estee Lauder</t>
  </si>
  <si>
    <t>Praxair</t>
  </si>
  <si>
    <t>Danbury, CT</t>
  </si>
  <si>
    <t>Biogen</t>
  </si>
  <si>
    <t>Cambridge, MA</t>
  </si>
  <si>
    <t>State Street Corp.</t>
  </si>
  <si>
    <t>Unum Group</t>
  </si>
  <si>
    <t>Chattanooga, TN</t>
  </si>
  <si>
    <t>Reynolds American</t>
  </si>
  <si>
    <t>Winston-Salem, NC</t>
  </si>
  <si>
    <t>Group 1 Automotive</t>
  </si>
  <si>
    <t>Henry Schein</t>
  </si>
  <si>
    <t>Melville, NY</t>
  </si>
  <si>
    <t>Hertz Global Holdings</t>
  </si>
  <si>
    <t>Estero, FL</t>
  </si>
  <si>
    <t>Norfolk Southern</t>
  </si>
  <si>
    <t>Norfolk, VA</t>
  </si>
  <si>
    <t>Reinsurance Group of America</t>
  </si>
  <si>
    <t>Chesterfield, MO</t>
  </si>
  <si>
    <t>Public Service Enterprise Group</t>
  </si>
  <si>
    <t>BB&amp;T Corp.</t>
  </si>
  <si>
    <t>DTE Energy</t>
  </si>
  <si>
    <t>Assurant</t>
  </si>
  <si>
    <t>Global Partners</t>
  </si>
  <si>
    <t>Huntsman</t>
  </si>
  <si>
    <t>The Woodlands, TX</t>
  </si>
  <si>
    <t>Becton Dickinson</t>
  </si>
  <si>
    <t>Franklin Lakes, NJ</t>
  </si>
  <si>
    <t>Sempra Energy</t>
  </si>
  <si>
    <t>AutoZone</t>
  </si>
  <si>
    <t>Navistar International</t>
  </si>
  <si>
    <t>Lisle, IL</t>
  </si>
  <si>
    <t>Precision Castparts</t>
  </si>
  <si>
    <t>Portland, OR</t>
  </si>
  <si>
    <t>Discover Financial Services</t>
  </si>
  <si>
    <t>Riverwoods, IL</t>
  </si>
  <si>
    <t>Liberty Interactive</t>
  </si>
  <si>
    <t>W.W. Grainger</t>
  </si>
  <si>
    <t>Lake Forest, IL</t>
  </si>
  <si>
    <t>Baxter International</t>
  </si>
  <si>
    <t>Stryker</t>
  </si>
  <si>
    <t>Kalamazoo, MI</t>
  </si>
  <si>
    <t>Air Products &amp; Chemicals</t>
  </si>
  <si>
    <t>Allentown, PA</t>
  </si>
  <si>
    <t>Western Refining</t>
  </si>
  <si>
    <t>El Paso, TX</t>
  </si>
  <si>
    <t>Universal Health Services</t>
  </si>
  <si>
    <t>King of Prussia, PA</t>
  </si>
  <si>
    <t>Owens &amp; Minor</t>
  </si>
  <si>
    <t>Mechanicsville, VA</t>
  </si>
  <si>
    <t>Charter Communications</t>
  </si>
  <si>
    <t>Stamford, CT</t>
  </si>
  <si>
    <t>Advance Auto Parts</t>
  </si>
  <si>
    <t>Roanoke, VA</t>
  </si>
  <si>
    <t>MasterCard</t>
  </si>
  <si>
    <t>Applied Materials</t>
  </si>
  <si>
    <t>Eastman Chemical</t>
  </si>
  <si>
    <t>Kingsport, TN</t>
  </si>
  <si>
    <t>Sonic Automotive</t>
  </si>
  <si>
    <t>Ally Financial</t>
  </si>
  <si>
    <t>CST Brands</t>
  </si>
  <si>
    <t>eBay</t>
  </si>
  <si>
    <t>Lennar</t>
  </si>
  <si>
    <t>GameStop</t>
  </si>
  <si>
    <t>Grapevine, TX</t>
  </si>
  <si>
    <t>Reliance Steel &amp; Aluminum</t>
  </si>
  <si>
    <t>Hormel Foods</t>
  </si>
  <si>
    <t>Austin, MN</t>
  </si>
  <si>
    <t>Celgene</t>
  </si>
  <si>
    <t>Summit, NJ</t>
  </si>
  <si>
    <t>Genworth Financial</t>
  </si>
  <si>
    <t>PayPal Holdings</t>
  </si>
  <si>
    <t>Priceline Group</t>
  </si>
  <si>
    <t>MGM Resorts International</t>
  </si>
  <si>
    <t>Autoliv</t>
  </si>
  <si>
    <t>Auburn Hills, MI</t>
  </si>
  <si>
    <t>Fidelity National Financial</t>
  </si>
  <si>
    <t>Republic Services</t>
  </si>
  <si>
    <t>Corning</t>
  </si>
  <si>
    <t>Corning, NY</t>
  </si>
  <si>
    <t>Peter Kiewit Sonsâ€™</t>
  </si>
  <si>
    <t>Univar</t>
  </si>
  <si>
    <t>Downers Grove, IL</t>
  </si>
  <si>
    <t>Mosaic</t>
  </si>
  <si>
    <t>Plymouth, MN</t>
  </si>
  <si>
    <t>Core-Mark Holding</t>
  </si>
  <si>
    <t>South San Francisco, CA</t>
  </si>
  <si>
    <t>Thrivent Financial for Lutherans</t>
  </si>
  <si>
    <t>Cameron International</t>
  </si>
  <si>
    <t>HD Supply Holdings</t>
  </si>
  <si>
    <t>Crown Holdings</t>
  </si>
  <si>
    <t>EOG Resources</t>
  </si>
  <si>
    <t>Veritiv</t>
  </si>
  <si>
    <t>Anadarko Petroleum</t>
  </si>
  <si>
    <t>Laboratory Corp. of America</t>
  </si>
  <si>
    <t>Burlington, NC</t>
  </si>
  <si>
    <t>Pacific Life</t>
  </si>
  <si>
    <t>Newport Beach, CA</t>
  </si>
  <si>
    <t>News Corp.</t>
  </si>
  <si>
    <t>Jarden</t>
  </si>
  <si>
    <t>SunTrust Banks</t>
  </si>
  <si>
    <t>Avis Budget Group</t>
  </si>
  <si>
    <t>Broadcom</t>
  </si>
  <si>
    <t>American Family Insurance Group</t>
  </si>
  <si>
    <t>Madison, WI</t>
  </si>
  <si>
    <t>Level 3 Communications</t>
  </si>
  <si>
    <t>Broomfield, CO</t>
  </si>
  <si>
    <t>Tenneco</t>
  </si>
  <si>
    <t>United Natural Foods</t>
  </si>
  <si>
    <t>Dean Foods</t>
  </si>
  <si>
    <t>Campbell Soup</t>
  </si>
  <si>
    <t>Camden, NJ</t>
  </si>
  <si>
    <t>Mohawk Industries</t>
  </si>
  <si>
    <t>Calhoun, GA</t>
  </si>
  <si>
    <t>BorgWarner</t>
  </si>
  <si>
    <t>PVH</t>
  </si>
  <si>
    <t>Ball</t>
  </si>
  <si>
    <t>Oâ€™Reilly Automotive</t>
  </si>
  <si>
    <t>Springfield, MO</t>
  </si>
  <si>
    <t>Eversource Energy</t>
  </si>
  <si>
    <t>Franklin Resources</t>
  </si>
  <si>
    <t>San Mateo, CA</t>
  </si>
  <si>
    <t>Masco</t>
  </si>
  <si>
    <t>Taylor, MI</t>
  </si>
  <si>
    <t>Lithia Motors</t>
  </si>
  <si>
    <t>Medford, OR</t>
  </si>
  <si>
    <t>KKR</t>
  </si>
  <si>
    <t>Oneok</t>
  </si>
  <si>
    <t>Newmont Mining</t>
  </si>
  <si>
    <t>Greenwood Village, CO</t>
  </si>
  <si>
    <t>PPL</t>
  </si>
  <si>
    <t>SpartanNash</t>
  </si>
  <si>
    <t>Byron Center, MI</t>
  </si>
  <si>
    <t>Quanta Services</t>
  </si>
  <si>
    <t>XPO Logistics</t>
  </si>
  <si>
    <t>Greenwich, CT</t>
  </si>
  <si>
    <t>Ralph Lauren</t>
  </si>
  <si>
    <t>Interpublic Group</t>
  </si>
  <si>
    <t>Steel Dynamics</t>
  </si>
  <si>
    <t>Fort Wayne, IN</t>
  </si>
  <si>
    <t>WESCO International</t>
  </si>
  <si>
    <t>Quest Diagnostics</t>
  </si>
  <si>
    <t>Madison, NJ</t>
  </si>
  <si>
    <t>Boston Scientific</t>
  </si>
  <si>
    <t>Marlborough, MA</t>
  </si>
  <si>
    <t>AGCO</t>
  </si>
  <si>
    <t>Duluth, GA</t>
  </si>
  <si>
    <t>Foot Locker</t>
  </si>
  <si>
    <t>Hershey</t>
  </si>
  <si>
    <t>Hershey, PA</t>
  </si>
  <si>
    <t>CenterPoint Energy</t>
  </si>
  <si>
    <t>Williams</t>
  </si>
  <si>
    <t>Dickâ€™s Sporting Goods</t>
  </si>
  <si>
    <t>Coraopolis, PA</t>
  </si>
  <si>
    <t>Live Nation Entertainment</t>
  </si>
  <si>
    <t>Beverly Hills, CA</t>
  </si>
  <si>
    <t>Mutual of Omaha Insurance</t>
  </si>
  <si>
    <t>W.R. Berkley</t>
  </si>
  <si>
    <t>LKQ</t>
  </si>
  <si>
    <t>Avon Products</t>
  </si>
  <si>
    <t>Darden Restaurants</t>
  </si>
  <si>
    <t>Orlando, FL</t>
  </si>
  <si>
    <t>Kindred Healthcare</t>
  </si>
  <si>
    <t>Weyerhaeuser</t>
  </si>
  <si>
    <t>Forest and Paper Products</t>
  </si>
  <si>
    <t>Federal Way, WA</t>
  </si>
  <si>
    <t>Caseyâ€™s General Stores</t>
  </si>
  <si>
    <t>Ankeny, IA</t>
  </si>
  <si>
    <t>Sealed Air</t>
  </si>
  <si>
    <t>Fifth Third Bancorp</t>
  </si>
  <si>
    <t>Dover</t>
  </si>
  <si>
    <t>Huntington Ingalls Industries</t>
  </si>
  <si>
    <t>Newport News, VA</t>
  </si>
  <si>
    <t>Netflix</t>
  </si>
  <si>
    <t>Los Gatos, CA</t>
  </si>
  <si>
    <t>Dillardâ€™s</t>
  </si>
  <si>
    <t>Little Rock, AR</t>
  </si>
  <si>
    <t>EMCOR Group</t>
  </si>
  <si>
    <t>Jones Financial</t>
  </si>
  <si>
    <t>Des Peres, MO</t>
  </si>
  <si>
    <t>AK Steel Holding</t>
  </si>
  <si>
    <t>West Chester, OH</t>
  </si>
  <si>
    <t>UGI</t>
  </si>
  <si>
    <t>Expedia</t>
  </si>
  <si>
    <t>salesforce.com</t>
  </si>
  <si>
    <t>Targa Resources</t>
  </si>
  <si>
    <t>Apache</t>
  </si>
  <si>
    <t>Spirit AeroSystems Holdings</t>
  </si>
  <si>
    <t>Wichita, KS</t>
  </si>
  <si>
    <t>Expeditors International of Washington</t>
  </si>
  <si>
    <t>Anixter International</t>
  </si>
  <si>
    <t>Fidelity National Information Services</t>
  </si>
  <si>
    <t>Asbury Automotive Group</t>
  </si>
  <si>
    <t>Hess</t>
  </si>
  <si>
    <t>Ryder System</t>
  </si>
  <si>
    <t>Trucking, Truck Leasing</t>
  </si>
  <si>
    <t>Terex</t>
  </si>
  <si>
    <t>Westport, CT</t>
  </si>
  <si>
    <t>Coca-Cola European Partners</t>
  </si>
  <si>
    <t>Auto-Owners Insurance</t>
  </si>
  <si>
    <t>Lansing, MI</t>
  </si>
  <si>
    <t>Cablevision Systems</t>
  </si>
  <si>
    <t>Bethpage, NY</t>
  </si>
  <si>
    <t>Symantec</t>
  </si>
  <si>
    <t>Charles Schwab</t>
  </si>
  <si>
    <t>Calpine</t>
  </si>
  <si>
    <t>CMS Energy</t>
  </si>
  <si>
    <t>Jackson, MI</t>
  </si>
  <si>
    <t>Alliance Data Systems</t>
  </si>
  <si>
    <t>JetBlue Airways</t>
  </si>
  <si>
    <t>Long Island City, NY</t>
  </si>
  <si>
    <t>Discovery Communications</t>
  </si>
  <si>
    <t>Silver Spring, MD</t>
  </si>
  <si>
    <t>Trinity Industries</t>
  </si>
  <si>
    <t>Transportation Equipment</t>
  </si>
  <si>
    <t>Sanmina</t>
  </si>
  <si>
    <t>NCR</t>
  </si>
  <si>
    <t>FMC Technologies</t>
  </si>
  <si>
    <t>Erie Insurance Group</t>
  </si>
  <si>
    <t>Erie, PA</t>
  </si>
  <si>
    <t>Rockwell Automation</t>
  </si>
  <si>
    <t>Dr Pepper Snapple Group</t>
  </si>
  <si>
    <t>iHeartMedia</t>
  </si>
  <si>
    <t>Tractor Supply</t>
  </si>
  <si>
    <t>Brentwood, TN</t>
  </si>
  <si>
    <t>J.B. Hunt Transport Services</t>
  </si>
  <si>
    <t>Lowell, AR</t>
  </si>
  <si>
    <t>Commercial Metals</t>
  </si>
  <si>
    <t>Owens-Illinois</t>
  </si>
  <si>
    <t>Perrysburg, OH</t>
  </si>
  <si>
    <t>Harman International Industries</t>
  </si>
  <si>
    <t>Baxalta</t>
  </si>
  <si>
    <t>Bannockburn, IL</t>
  </si>
  <si>
    <t>American Financial Group</t>
  </si>
  <si>
    <t>NetApp</t>
  </si>
  <si>
    <t>Sunnyvale, CA</t>
  </si>
  <si>
    <t>Graybar Electric</t>
  </si>
  <si>
    <t>Oshkosh</t>
  </si>
  <si>
    <t>Oshkosh, WI</t>
  </si>
  <si>
    <t>Ameren</t>
  </si>
  <si>
    <t>A-Mark Precious Metals</t>
  </si>
  <si>
    <t>Santa Monica, CA</t>
  </si>
  <si>
    <t>Barnes &amp; Noble</t>
  </si>
  <si>
    <t>Dana Holding</t>
  </si>
  <si>
    <t>Maumee, OH</t>
  </si>
  <si>
    <t>Constellation Brands</t>
  </si>
  <si>
    <t>Victor, NY</t>
  </si>
  <si>
    <t>LifePoint Health</t>
  </si>
  <si>
    <t>Zimmer Biomet Holdings</t>
  </si>
  <si>
    <t>Warsaw, IN</t>
  </si>
  <si>
    <t>Harley-Davidson</t>
  </si>
  <si>
    <t>PulteGroup</t>
  </si>
  <si>
    <t>Newell Brands</t>
  </si>
  <si>
    <t>Avery Dennison</t>
  </si>
  <si>
    <t>Glendale, CA</t>
  </si>
  <si>
    <t>Jones Lang LaSalle</t>
  </si>
  <si>
    <t>WEC Energy Group</t>
  </si>
  <si>
    <t>Marathon Oil</t>
  </si>
  <si>
    <t>TravelCenters of America</t>
  </si>
  <si>
    <t>Westlake, OH</t>
  </si>
  <si>
    <t>United Rentals</t>
  </si>
  <si>
    <t>HRG Group</t>
  </si>
  <si>
    <t>Old Republic International</t>
  </si>
  <si>
    <t>Windstream Holdings</t>
  </si>
  <si>
    <t>Starwood Hotels &amp; Resorts</t>
  </si>
  <si>
    <t>Delek US Holdings</t>
  </si>
  <si>
    <t>Packaging Corp. of America</t>
  </si>
  <si>
    <t>Quintiles Transnational Holdings</t>
  </si>
  <si>
    <t>Durham, NC</t>
  </si>
  <si>
    <t>Hanesbrands</t>
  </si>
  <si>
    <t>Realogy Holdings</t>
  </si>
  <si>
    <t>Mattel</t>
  </si>
  <si>
    <t>El Segundo, CA</t>
  </si>
  <si>
    <t>Motorola Solutions</t>
  </si>
  <si>
    <t>Schaumburg, IL</t>
  </si>
  <si>
    <t>J.M. Smucker</t>
  </si>
  <si>
    <t>Orrville, OH</t>
  </si>
  <si>
    <t>Regions Financial</t>
  </si>
  <si>
    <t>Birmingham, AL</t>
  </si>
  <si>
    <t>Clorox</t>
  </si>
  <si>
    <t>Oakland, CA</t>
  </si>
  <si>
    <t>Ingredion</t>
  </si>
  <si>
    <t>Westchester, IL</t>
  </si>
  <si>
    <t>Genesis Healthcare</t>
  </si>
  <si>
    <t>Kennett Square, PA</t>
  </si>
  <si>
    <t>Peabody Energy</t>
  </si>
  <si>
    <t>Alaska Air Group</t>
  </si>
  <si>
    <t>Seaboard</t>
  </si>
  <si>
    <t>Merriam, KS</t>
  </si>
  <si>
    <t>Frontier Communications</t>
  </si>
  <si>
    <t>Amphenol</t>
  </si>
  <si>
    <t>Wallingford, CT</t>
  </si>
  <si>
    <t>Lansing Trade Group</t>
  </si>
  <si>
    <t>Overland Park, KS</t>
  </si>
  <si>
    <t>SanDisk</t>
  </si>
  <si>
    <t>Milpitas, CA</t>
  </si>
  <si>
    <t>St. Jude Medical</t>
  </si>
  <si>
    <t>Wyndham Worldwide</t>
  </si>
  <si>
    <t>Kelly Services</t>
  </si>
  <si>
    <t>Troy, MI</t>
  </si>
  <si>
    <t>Western Union</t>
  </si>
  <si>
    <t>Envision Healthcare Holdings</t>
  </si>
  <si>
    <t>Visteon</t>
  </si>
  <si>
    <t>Van Buren Township, MI</t>
  </si>
  <si>
    <t>Arthur J. Gallagher</t>
  </si>
  <si>
    <t>Itasca, IL</t>
  </si>
  <si>
    <t>Host Hotels &amp; Resorts</t>
  </si>
  <si>
    <t>Insight Enterprises</t>
  </si>
  <si>
    <t>Tempe, AZ</t>
  </si>
  <si>
    <t>Energy Future Holdings</t>
  </si>
  <si>
    <t>Markel</t>
  </si>
  <si>
    <t>Glen Allen, VA</t>
  </si>
  <si>
    <t>Essendant</t>
  </si>
  <si>
    <t>CH2M Hill</t>
  </si>
  <si>
    <t>Western &amp; Southern Financial Group</t>
  </si>
  <si>
    <t>Owens Corning</t>
  </si>
  <si>
    <t>Building Materials, Glass</t>
  </si>
  <si>
    <t>Toledo, OH</t>
  </si>
  <si>
    <t>S&amp;P Global</t>
  </si>
  <si>
    <t>Raymond James Financial</t>
  </si>
  <si>
    <t>NiSource</t>
  </si>
  <si>
    <t>Merrillville, IN</t>
  </si>
  <si>
    <t>Airgas</t>
  </si>
  <si>
    <t>ABM Industries</t>
  </si>
  <si>
    <t>Citizens Financial Group</t>
  </si>
  <si>
    <t>Booz Allen Hamilton Holding</t>
  </si>
  <si>
    <t>Simon Property Group</t>
  </si>
  <si>
    <t>Domtar</t>
  </si>
  <si>
    <t>Fort Mill, SC</t>
  </si>
  <si>
    <t>Rockwell Collins</t>
  </si>
  <si>
    <t>Cedar Rapids, IA</t>
  </si>
  <si>
    <t>Lam Research</t>
  </si>
  <si>
    <t>Fiserv</t>
  </si>
  <si>
    <t>Brookfield, WI</t>
  </si>
  <si>
    <t>Spectra Energy</t>
  </si>
  <si>
    <t>Navient</t>
  </si>
  <si>
    <t>Big Lots</t>
  </si>
  <si>
    <t>Telephone &amp; Data Systems</t>
  </si>
  <si>
    <t>First American Financial</t>
  </si>
  <si>
    <t>Santa Ana, CA</t>
  </si>
  <si>
    <t>NVR</t>
  </si>
  <si>
    <t>Reston, VA</t>
  </si>
  <si>
    <t>Cincinnati Financial</t>
  </si>
  <si>
    <t>Fairfield, OH</t>
  </si>
  <si>
    <t>Burlington Stores</t>
  </si>
  <si>
    <t>Burlington, NJ</t>
  </si>
  <si>
    <t>KBR</t>
  </si>
  <si>
    <t>Neiman Marcus Group</t>
  </si>
  <si>
    <t>Robert Half International</t>
  </si>
  <si>
    <t>Leidos Holdings</t>
  </si>
  <si>
    <t>Harris</t>
  </si>
  <si>
    <t>Melbourne, FL</t>
  </si>
  <si>
    <t>Hanover Insurance Group</t>
  </si>
  <si>
    <t>Worcester, MA</t>
  </si>
  <si>
    <t>Pepco Holdings</t>
  </si>
  <si>
    <t>Nvidia</t>
  </si>
  <si>
    <t>Alleghany</t>
  </si>
  <si>
    <t>M&amp;T Bank Corp.</t>
  </si>
  <si>
    <t>Buffalo, NY</t>
  </si>
  <si>
    <t>Rush Enterprises</t>
  </si>
  <si>
    <t>New Braunfels, TX</t>
  </si>
  <si>
    <t>Williams-Sonoma</t>
  </si>
  <si>
    <t>Yahoo</t>
  </si>
  <si>
    <t>Sonoco Products</t>
  </si>
  <si>
    <t>Hartsville, SC</t>
  </si>
  <si>
    <t>Brookdale Senior Living</t>
  </si>
  <si>
    <t>Tutor Perini</t>
  </si>
  <si>
    <t>Sylmar, CA</t>
  </si>
  <si>
    <t>Michaels Cos.</t>
  </si>
  <si>
    <t>Berry Plastics Group</t>
  </si>
  <si>
    <t>Evansville, IN</t>
  </si>
  <si>
    <t>Juniper Networks</t>
  </si>
  <si>
    <t>Northern Trust</t>
  </si>
  <si>
    <t>YRC Worldwide</t>
  </si>
  <si>
    <t>Pioneer Natural Resources</t>
  </si>
  <si>
    <t>Ascena Retail Group</t>
  </si>
  <si>
    <t>Mahwah, NJ</t>
  </si>
  <si>
    <t>Adobe Systems</t>
  </si>
  <si>
    <t>Liberty Media</t>
  </si>
  <si>
    <t>American Tower</t>
  </si>
  <si>
    <t>Zoetis</t>
  </si>
  <si>
    <t>Florham Park, NJ</t>
  </si>
  <si>
    <t>Polaris Industries</t>
  </si>
  <si>
    <t>Medina, MN</t>
  </si>
  <si>
    <t>Intercontinental Exchange</t>
  </si>
  <si>
    <t>Quad/Graphics</t>
  </si>
  <si>
    <t>Sussex, WI</t>
  </si>
  <si>
    <t>AmTrust Financial Services</t>
  </si>
  <si>
    <t>Activision Blizzard</t>
  </si>
  <si>
    <t>Fortune Brands Home &amp; Security</t>
  </si>
  <si>
    <t>Caesars Entertainment</t>
  </si>
  <si>
    <t>Post Holdings</t>
  </si>
  <si>
    <t>Blackstone Group</t>
  </si>
  <si>
    <t>Magellan Health</t>
  </si>
  <si>
    <t>Scottsdale, AZ</t>
  </si>
  <si>
    <t>RPM International</t>
  </si>
  <si>
    <t>Medina, OH</t>
  </si>
  <si>
    <t>Flowserve</t>
  </si>
  <si>
    <t>KeyCorp</t>
  </si>
  <si>
    <t>MRC Global</t>
  </si>
  <si>
    <t>Keurig Green Mountain</t>
  </si>
  <si>
    <t>Waterbury, VT</t>
  </si>
  <si>
    <t>Electronic Arts</t>
  </si>
  <si>
    <t>General Cable</t>
  </si>
  <si>
    <t>Highland Heights, KY</t>
  </si>
  <si>
    <t>Cintas</t>
  </si>
  <si>
    <t>Chipotle Mexican Grill</t>
  </si>
  <si>
    <t>Levi Strauss</t>
  </si>
  <si>
    <t>Talen Energy</t>
  </si>
  <si>
    <t>Westlake Chemical</t>
  </si>
  <si>
    <t>Hasbro</t>
  </si>
  <si>
    <t>Pawtucket, RI</t>
  </si>
  <si>
    <t>Securian Financial Group</t>
  </si>
  <si>
    <t>Intuit</t>
  </si>
  <si>
    <t>Cerner</t>
  </si>
  <si>
    <t>North Kansas City, MO</t>
  </si>
  <si>
    <t>Coty</t>
  </si>
  <si>
    <t>Valspar</t>
  </si>
  <si>
    <t>SCANA</t>
  </si>
  <si>
    <t>Cayce, SC</t>
  </si>
  <si>
    <t>Bloominâ€™ Brands</t>
  </si>
  <si>
    <t>MDU Resources Group</t>
  </si>
  <si>
    <t>Bismarck, ND</t>
  </si>
  <si>
    <t>Patterson</t>
  </si>
  <si>
    <t>Orbital ATK</t>
  </si>
  <si>
    <t>Dulles, VA</t>
  </si>
  <si>
    <t>FM Global</t>
  </si>
  <si>
    <t>Johnston, RI</t>
  </si>
  <si>
    <t>Hyatt Hotels</t>
  </si>
  <si>
    <t>CA</t>
  </si>
  <si>
    <t>VWR</t>
  </si>
  <si>
    <t>Science Applications International</t>
  </si>
  <si>
    <t>CF Industries Holdings</t>
  </si>
  <si>
    <t>McCormick</t>
  </si>
  <si>
    <t>Sparks, MD</t>
  </si>
  <si>
    <t>LPL Financial Holdings</t>
  </si>
  <si>
    <t>Alon USA Energy</t>
  </si>
  <si>
    <t>Swift Transportation</t>
  </si>
  <si>
    <t>Calumet Specialty Products Partners</t>
  </si>
  <si>
    <t>MasTec</t>
  </si>
  <si>
    <t>Coral Gables, FL</t>
  </si>
  <si>
    <t>T. Rowe Price</t>
  </si>
  <si>
    <t>Baltimore, MD</t>
  </si>
  <si>
    <t>Andersons</t>
  </si>
  <si>
    <t>Coach</t>
  </si>
  <si>
    <t>Toll Brothers</t>
  </si>
  <si>
    <t>Horsham, PA</t>
  </si>
  <si>
    <t>Graphic Packaging Holding</t>
  </si>
  <si>
    <t>Brunswick</t>
  </si>
  <si>
    <t>Atmos Energy</t>
  </si>
  <si>
    <t>Hexion</t>
  </si>
  <si>
    <t>Watsco</t>
  </si>
  <si>
    <t>Tiffany</t>
  </si>
  <si>
    <t>Regeneron Pharmaceuticals</t>
  </si>
  <si>
    <t>Tarrytown, NY</t>
  </si>
  <si>
    <t>Avaya</t>
  </si>
  <si>
    <t>Wynn Resorts</t>
  </si>
  <si>
    <t>Bemis</t>
  </si>
  <si>
    <t>Neenah, WI</t>
  </si>
  <si>
    <t>Mead Johnson Nutrition</t>
  </si>
  <si>
    <t>Tesla Motors</t>
  </si>
  <si>
    <t>Agilent Technologies</t>
  </si>
  <si>
    <t>Torchmark</t>
  </si>
  <si>
    <t>McKinney, TX</t>
  </si>
  <si>
    <t>Thor Industries</t>
  </si>
  <si>
    <t>Elkhart, IN</t>
  </si>
  <si>
    <t>Cabelaâ€™s</t>
  </si>
  <si>
    <t>Sidney, NE</t>
  </si>
  <si>
    <t>Advanced Micro Devices</t>
  </si>
  <si>
    <t>Ametek</t>
  </si>
  <si>
    <t>Berwyn, PA</t>
  </si>
  <si>
    <t>Smart &amp; Final Stores</t>
  </si>
  <si>
    <t>Commerce, CA</t>
  </si>
  <si>
    <t>Colfax</t>
  </si>
  <si>
    <t>Annapolis Junction, MD</t>
  </si>
  <si>
    <t>Under Armour</t>
  </si>
  <si>
    <t>Antero Resources</t>
  </si>
  <si>
    <t>Nexeo Solutions Holdings</t>
  </si>
  <si>
    <t>AGL Resources</t>
  </si>
  <si>
    <t>Leggett &amp; Platt</t>
  </si>
  <si>
    <t>Carthage, MO</t>
  </si>
  <si>
    <t>Ulta Salon Cosmetics &amp; Fragrance</t>
  </si>
  <si>
    <t>Bolingbrook, IL</t>
  </si>
  <si>
    <t>CIT Group</t>
  </si>
  <si>
    <t>American Axle &amp; Manufacturing</t>
  </si>
  <si>
    <t>Triumph Group</t>
  </si>
  <si>
    <t>Dynegy</t>
  </si>
  <si>
    <t>Fastenal</t>
  </si>
  <si>
    <t>Winona, MN</t>
  </si>
  <si>
    <t>WhiteWave Foods</t>
  </si>
  <si>
    <t>Welltower</t>
  </si>
  <si>
    <t>Sally Beauty Holdings</t>
  </si>
  <si>
    <t>Denton, TX</t>
  </si>
  <si>
    <t>CNO Financial Group</t>
  </si>
  <si>
    <t>Carmel, IN</t>
  </si>
  <si>
    <t>CommScope Holding</t>
  </si>
  <si>
    <t>Hickory, NC</t>
  </si>
  <si>
    <t>Axiall</t>
  </si>
  <si>
    <t>Ingles Markets</t>
  </si>
  <si>
    <t>Black Mountain, NC</t>
  </si>
  <si>
    <t>Flowers Foods</t>
  </si>
  <si>
    <t>Thomasville, GA</t>
  </si>
  <si>
    <t>USG</t>
  </si>
  <si>
    <t>Silgan Holdings</t>
  </si>
  <si>
    <t>Select Medical Holdings</t>
  </si>
  <si>
    <t>Mechanicsburg, PA</t>
  </si>
  <si>
    <t>Crown Castle International</t>
  </si>
  <si>
    <t>Allegheny Technologies</t>
  </si>
  <si>
    <t>HSN</t>
  </si>
  <si>
    <t>Xylem</t>
  </si>
  <si>
    <t>Rye Brook, NY</t>
  </si>
  <si>
    <t>Zebra Technologies</t>
  </si>
  <si>
    <t>Albemarle</t>
  </si>
  <si>
    <t>Baton Rouge, LA</t>
  </si>
  <si>
    <t>Resolute Forest Products</t>
  </si>
  <si>
    <t>Catawba, SC</t>
  </si>
  <si>
    <t>Towers Watson</t>
  </si>
  <si>
    <t>Boise Cascade</t>
  </si>
  <si>
    <t>Greif</t>
  </si>
  <si>
    <t>Delaware, OH</t>
  </si>
  <si>
    <t>Team Health Holdings</t>
  </si>
  <si>
    <t>Knoxville, TN</t>
  </si>
  <si>
    <t>Snap-on</t>
  </si>
  <si>
    <t>Kenosha, WI</t>
  </si>
  <si>
    <t>Sprouts Farmers Market</t>
  </si>
  <si>
    <t>Roper Technologies</t>
  </si>
  <si>
    <t>Sarasota, FL</t>
  </si>
  <si>
    <t>First Solar</t>
  </si>
  <si>
    <t>Pitney Bowes</t>
  </si>
  <si>
    <t>ADT</t>
  </si>
  <si>
    <t>Molson Coors Brewing</t>
  </si>
  <si>
    <t>Builders FirstSource</t>
  </si>
  <si>
    <t>Lexmark International</t>
  </si>
  <si>
    <t>Lexington, KY</t>
  </si>
  <si>
    <t>Carlisle</t>
  </si>
  <si>
    <t>CalAtlantic Group</t>
  </si>
  <si>
    <t>Martin Marietta Materials</t>
  </si>
  <si>
    <t>Raleigh, NC</t>
  </si>
  <si>
    <t>Hub Group</t>
  </si>
  <si>
    <t>American Eagle Outfitters</t>
  </si>
  <si>
    <t>Abercrombie &amp; Fitch</t>
  </si>
  <si>
    <t>New Albany, OH</t>
  </si>
  <si>
    <t>Regal Beloit</t>
  </si>
  <si>
    <t>Beloit, WI</t>
  </si>
  <si>
    <t>Country Financial</t>
  </si>
  <si>
    <t>Meritor</t>
  </si>
  <si>
    <t>Tailored Brands</t>
  </si>
  <si>
    <t>ON Semiconductor</t>
  </si>
  <si>
    <t>Pinnacle West Capital</t>
  </si>
  <si>
    <t>Ventas</t>
  </si>
  <si>
    <t>Moodyâ€™s</t>
  </si>
  <si>
    <t>Sprague Resources</t>
  </si>
  <si>
    <t>Portsmouth, NH</t>
  </si>
  <si>
    <t>FMC</t>
  </si>
  <si>
    <t>Lennox International</t>
  </si>
  <si>
    <t>Richardson, TX</t>
  </si>
  <si>
    <t>Buckeye Partners</t>
  </si>
  <si>
    <t>Urban Outfitters</t>
  </si>
  <si>
    <t>Manitowoc</t>
  </si>
  <si>
    <t>Manitowoc, WI</t>
  </si>
  <si>
    <t>Analog Devices</t>
  </si>
  <si>
    <t>Norwood, MA</t>
  </si>
  <si>
    <t>Vulcan Materials</t>
  </si>
  <si>
    <t>C.R. Bard</t>
  </si>
  <si>
    <t>Murray Hill, NJ</t>
  </si>
  <si>
    <t>Murphy Oil</t>
  </si>
  <si>
    <t>Nasdaq</t>
  </si>
  <si>
    <t>Darling Ingredients</t>
  </si>
  <si>
    <t>Church &amp; Dwight</t>
  </si>
  <si>
    <t>Ewing, NJ</t>
  </si>
  <si>
    <t>Hubbell</t>
  </si>
  <si>
    <t>Shelton, CT</t>
  </si>
  <si>
    <t>Worthington Industries</t>
  </si>
  <si>
    <t>PolyOne</t>
  </si>
  <si>
    <t>Avon Lake, OH</t>
  </si>
  <si>
    <t>Diplomat Pharmacy</t>
  </si>
  <si>
    <t>Flint, MI</t>
  </si>
  <si>
    <t>Cooper-Standard Holdings</t>
  </si>
  <si>
    <t>Novi, MI</t>
  </si>
  <si>
    <t>CME Group</t>
  </si>
  <si>
    <t>Landstar System</t>
  </si>
  <si>
    <t>CACI International</t>
  </si>
  <si>
    <t>Westinghouse Air Brake Technologies</t>
  </si>
  <si>
    <t>Wilmerding, PA</t>
  </si>
  <si>
    <t>Rent-A-Center</t>
  </si>
  <si>
    <t>Citrix Systems</t>
  </si>
  <si>
    <t>Clean Harbors</t>
  </si>
  <si>
    <t>Norwell, MA</t>
  </si>
  <si>
    <t>Skyworks Solutions</t>
  </si>
  <si>
    <t>Woburn, MA</t>
  </si>
  <si>
    <t>Alliant Energy</t>
  </si>
  <si>
    <t>TD Ameritrade Holding</t>
  </si>
  <si>
    <t>TEGNA</t>
  </si>
  <si>
    <t>IAC/InterActiveCorp</t>
  </si>
  <si>
    <t>Fossil Group</t>
  </si>
  <si>
    <t>NBTY</t>
  </si>
  <si>
    <t>Ronkonkoma, NY</t>
  </si>
  <si>
    <t>ScanSource</t>
  </si>
  <si>
    <t>Greenville, SC</t>
  </si>
  <si>
    <t>TreeHouse Foods</t>
  </si>
  <si>
    <t>Aleris</t>
  </si>
  <si>
    <t>Groupon</t>
  </si>
  <si>
    <t>Aaronâ€™s</t>
  </si>
  <si>
    <t>Joy Global</t>
  </si>
  <si>
    <t>Ryerson Holding</t>
  </si>
  <si>
    <t>Helmerich &amp; Payne</t>
  </si>
  <si>
    <t>HealthSouth</t>
  </si>
  <si>
    <t>Vantiv</t>
  </si>
  <si>
    <t>Symmes Township, OH</t>
  </si>
  <si>
    <t>Skechers U.S.A.</t>
  </si>
  <si>
    <t>Manhattan Beach, CA</t>
  </si>
  <si>
    <t>American Water Works</t>
  </si>
  <si>
    <t>Voorhees, NJ</t>
  </si>
  <si>
    <t>Iasis Healthcare</t>
  </si>
  <si>
    <t>Huntington Bancshares</t>
  </si>
  <si>
    <t>Tempur Sealy International</t>
  </si>
  <si>
    <t>EchoStar</t>
  </si>
  <si>
    <t>CUNA Mutual Group</t>
  </si>
  <si>
    <t>Brown-Forman</t>
  </si>
  <si>
    <t>Noble Energy</t>
  </si>
  <si>
    <t>Regal Entertainment Group</t>
  </si>
  <si>
    <t>Consol Energy</t>
  </si>
  <si>
    <t>Canonsburg, PA</t>
  </si>
  <si>
    <t>Time</t>
  </si>
  <si>
    <t>Varian Medical Systems</t>
  </si>
  <si>
    <t>SkyWest</t>
  </si>
  <si>
    <t>St. George, UT</t>
  </si>
  <si>
    <t>BGC Partners</t>
  </si>
  <si>
    <t>Puget Energy</t>
  </si>
  <si>
    <t>H&amp;R Block</t>
  </si>
  <si>
    <t>Kansas City, MO</t>
  </si>
  <si>
    <t>Amerco</t>
  </si>
  <si>
    <t>Reno, NV</t>
  </si>
  <si>
    <t>Brinkâ€™s</t>
  </si>
  <si>
    <t>Oceaneering International</t>
  </si>
  <si>
    <t>Steelcase</t>
  </si>
  <si>
    <t>Grand Rapids, MI</t>
  </si>
  <si>
    <t>W.R. Grace</t>
  </si>
  <si>
    <t>Columbia, MD</t>
  </si>
  <si>
    <t>Metaldyne Performance Group</t>
  </si>
  <si>
    <t>KB Home</t>
  </si>
  <si>
    <t>International Flavors &amp; Fragrances</t>
  </si>
  <si>
    <t>Genesco</t>
  </si>
  <si>
    <t>Scripps Networks Interactive</t>
  </si>
  <si>
    <t>American National Insurance</t>
  </si>
  <si>
    <t>Galveston, TX</t>
  </si>
  <si>
    <t>Scotts Miracle-Gro</t>
  </si>
  <si>
    <t>Marysville, OH</t>
  </si>
  <si>
    <t>Unisys</t>
  </si>
  <si>
    <t>Blue Bell, PA</t>
  </si>
  <si>
    <t>Carterâ€™s</t>
  </si>
  <si>
    <t>NOW</t>
  </si>
  <si>
    <t>Mercury General</t>
  </si>
  <si>
    <t>Iron Mountain</t>
  </si>
  <si>
    <t>Carlyle Group</t>
  </si>
  <si>
    <t>Brinker International</t>
  </si>
  <si>
    <t>Northern Tier Energy</t>
  </si>
  <si>
    <t>LinkedIn</t>
  </si>
  <si>
    <t>Service Corp. International</t>
  </si>
  <si>
    <t>Stericycle</t>
  </si>
  <si>
    <t>Sabre</t>
  </si>
  <si>
    <t>Southlake, TX</t>
  </si>
  <si>
    <t>Graham Holdings</t>
  </si>
  <si>
    <t>Education</t>
  </si>
  <si>
    <t>Taylor Morrison Home</t>
  </si>
  <si>
    <t>Cooper Tire &amp; Rubber</t>
  </si>
  <si>
    <t>Old Dominion Freight Line</t>
  </si>
  <si>
    <t>Thomasville, NC</t>
  </si>
  <si>
    <t>Warner Music Group</t>
  </si>
  <si>
    <t>Green Plains</t>
  </si>
  <si>
    <t>Alpha Natural Resources</t>
  </si>
  <si>
    <t>Bristol, VA</t>
  </si>
  <si>
    <t>Convergys</t>
  </si>
  <si>
    <t>TECO Energy</t>
  </si>
  <si>
    <t>IMS Health Holdings</t>
  </si>
  <si>
    <t>MSC Industrial Direct</t>
  </si>
  <si>
    <t>Systemax</t>
  </si>
  <si>
    <t>Port Washington, NY</t>
  </si>
  <si>
    <t>Triple-S Management</t>
  </si>
  <si>
    <t>San Juan, PR</t>
  </si>
  <si>
    <t>StanCorp Financial Group</t>
  </si>
  <si>
    <t>Universal Forest Products</t>
  </si>
  <si>
    <t>Gannett</t>
  </si>
  <si>
    <t>Amkor Technology</t>
  </si>
  <si>
    <t>Linn Energy</t>
  </si>
  <si>
    <t>Sentry Insurance Group</t>
  </si>
  <si>
    <t>Stevens Point, WI</t>
  </si>
  <si>
    <t>Weis Markets</t>
  </si>
  <si>
    <t>Sunbury, PA</t>
  </si>
  <si>
    <t>Timken</t>
  </si>
  <si>
    <t>North Canton, OH</t>
  </si>
  <si>
    <t>Cabot</t>
  </si>
  <si>
    <t>Univision Communications</t>
  </si>
  <si>
    <t>Keysight Technologies</t>
  </si>
  <si>
    <t>Santa Rosa, CA</t>
  </si>
  <si>
    <t>Olin</t>
  </si>
  <si>
    <t>Clayton, MO</t>
  </si>
  <si>
    <t>Cinemark Holdings</t>
  </si>
  <si>
    <t>Cracker Barrel Old Country Store</t>
  </si>
  <si>
    <t>Lebanon, TN</t>
  </si>
  <si>
    <t>Penn National Gaming</t>
  </si>
  <si>
    <t>Wyomissing, PA</t>
  </si>
  <si>
    <t>Comerica</t>
  </si>
  <si>
    <t>AmSurg</t>
  </si>
  <si>
    <t>DST Systems</t>
  </si>
  <si>
    <t>Legg Mason</t>
  </si>
  <si>
    <t>KLA-Tencor</t>
  </si>
  <si>
    <t>Sanderson Farms</t>
  </si>
  <si>
    <t>Laurel, MS</t>
  </si>
  <si>
    <t>PriceSmart</t>
  </si>
  <si>
    <t>Superior Energy Services</t>
  </si>
  <si>
    <t>Bon-Ton Stores</t>
  </si>
  <si>
    <t>York, PA</t>
  </si>
  <si>
    <t>KapStone Paper &amp; Packaging</t>
  </si>
  <si>
    <t>Mednax</t>
  </si>
  <si>
    <t>Sunrise, FL</t>
  </si>
  <si>
    <t>Total System Services</t>
  </si>
  <si>
    <t>Global Payments</t>
  </si>
  <si>
    <t>Diebold</t>
  </si>
  <si>
    <t>Scientific Games</t>
  </si>
  <si>
    <t>Applied Industrial Technologies</t>
  </si>
  <si>
    <t>Equity Residential</t>
  </si>
  <si>
    <t>Crane</t>
  </si>
  <si>
    <t>Paychex</t>
  </si>
  <si>
    <t>Rochester, NY</t>
  </si>
  <si>
    <t>New Jersey Resources</t>
  </si>
  <si>
    <t>Wall, NJ</t>
  </si>
  <si>
    <t>B/E Aerospace</t>
  </si>
  <si>
    <t>Wellington, FL</t>
  </si>
  <si>
    <t>Equinix</t>
  </si>
  <si>
    <t>Monster Beverage</t>
  </si>
  <si>
    <t>Corona, CA</t>
  </si>
  <si>
    <t>TransDigm Group</t>
  </si>
  <si>
    <t>Acuity Brands</t>
  </si>
  <si>
    <t>Hologic</t>
  </si>
  <si>
    <t>TrueBlue</t>
  </si>
  <si>
    <t>Tacoma, WA</t>
  </si>
  <si>
    <t>Broadridge Financial Solutions</t>
  </si>
  <si>
    <t>Lake Success, NY</t>
  </si>
  <si>
    <t>Verso</t>
  </si>
  <si>
    <t>Wolverine World Wide</t>
  </si>
  <si>
    <t>Rockford, MI</t>
  </si>
  <si>
    <t>Hain Celestial Group</t>
  </si>
  <si>
    <t>Heartland Payment Systems</t>
  </si>
  <si>
    <t>Panera Bread</t>
  </si>
  <si>
    <t>Continental Resources</t>
  </si>
  <si>
    <t>Dentsply Sirona</t>
  </si>
  <si>
    <t>ArcBest</t>
  </si>
  <si>
    <t>Fort Smith, AR</t>
  </si>
  <si>
    <t>Equifax</t>
  </si>
  <si>
    <t>WGL Holdings</t>
  </si>
  <si>
    <t>TriNet Group</t>
  </si>
  <si>
    <t>San Leandro, CA</t>
  </si>
  <si>
    <t>Pinnacle Foods</t>
  </si>
  <si>
    <t>Plexus</t>
  </si>
  <si>
    <t>Kennametal</t>
  </si>
  <si>
    <t>Chicoâ€™s FAS</t>
  </si>
  <si>
    <t>Fort Myers, FL</t>
  </si>
  <si>
    <t>Kar Auction Services</t>
  </si>
  <si>
    <t>GNC Holdings</t>
  </si>
  <si>
    <t>Crestwood Equity Partners</t>
  </si>
  <si>
    <t>WABCO Holdings</t>
  </si>
  <si>
    <t>Rochester Hills, MI</t>
  </si>
  <si>
    <t>DSW</t>
  </si>
  <si>
    <t>Valmont Industries</t>
  </si>
  <si>
    <t>Greenbrier Cos.</t>
  </si>
  <si>
    <t>Lake Oswego, OR</t>
  </si>
  <si>
    <t>Alexion Pharmaceuticals</t>
  </si>
  <si>
    <t>New Haven, CT</t>
  </si>
  <si>
    <t>Insperity</t>
  </si>
  <si>
    <t>Kingwood, TX</t>
  </si>
  <si>
    <t>Hawaiian Electric Industries</t>
  </si>
  <si>
    <t>Honolulu, HI</t>
  </si>
  <si>
    <t>Alere</t>
  </si>
  <si>
    <t>ServiceMaster Global Holdings</t>
  </si>
  <si>
    <t>Apollo Education Group</t>
  </si>
  <si>
    <t>AMC Networks</t>
  </si>
  <si>
    <t>Meritage Homes</t>
  </si>
  <si>
    <t>Hyster-Yale Materials Handling</t>
  </si>
  <si>
    <t>Caleres</t>
  </si>
  <si>
    <t>PC Connection</t>
  </si>
  <si>
    <t>Merrimack, NH</t>
  </si>
  <si>
    <t>Arch Coal</t>
  </si>
  <si>
    <t>Mattress Firm Holding</t>
  </si>
  <si>
    <t>HCP</t>
  </si>
  <si>
    <t>Platform Specialty Products</t>
  </si>
  <si>
    <t>West Palm Beach, FL</t>
  </si>
  <si>
    <t>Benchmark Electronics</t>
  </si>
  <si>
    <t>Angleton, TX</t>
  </si>
  <si>
    <t>A.O. Smith</t>
  </si>
  <si>
    <t>Lincoln Electric Holdings</t>
  </si>
  <si>
    <t>Vornado Realty Trust</t>
  </si>
  <si>
    <t>Teradata</t>
  </si>
  <si>
    <t>Dayton, OH</t>
  </si>
  <si>
    <t>Nortek</t>
  </si>
  <si>
    <t>Moog</t>
  </si>
  <si>
    <t>Elma, NY</t>
  </si>
  <si>
    <t>Beacon Roofing Supply</t>
  </si>
  <si>
    <t>Herndon, VA</t>
  </si>
  <si>
    <t>National General Holdings</t>
  </si>
  <si>
    <t>Aretec Group</t>
  </si>
  <si>
    <t>J.Crew Group</t>
  </si>
  <si>
    <t>EnerSys</t>
  </si>
  <si>
    <t>Reading, PA</t>
  </si>
  <si>
    <t>Autodesk</t>
  </si>
  <si>
    <t>San Rafael, CA</t>
  </si>
  <si>
    <t>Great Plains Energy</t>
  </si>
  <si>
    <t>Mutual of America Life Insurance</t>
  </si>
  <si>
    <t>Edwards Lifesciences</t>
  </si>
  <si>
    <t>Boston Properties</t>
  </si>
  <si>
    <t>ITT</t>
  </si>
  <si>
    <t>White Plains, NY</t>
  </si>
  <si>
    <t>Affiliated Managers Group</t>
  </si>
  <si>
    <t>Tops Holding</t>
  </si>
  <si>
    <t>Williamsville, NY</t>
  </si>
  <si>
    <t>United Refining</t>
  </si>
  <si>
    <t>Warren, PA</t>
  </si>
  <si>
    <t>Southwest Gas</t>
  </si>
  <si>
    <t>Medical Mutual of Ohio</t>
  </si>
  <si>
    <t>Westar Energy</t>
  </si>
  <si>
    <t>Topeka, KS</t>
  </si>
  <si>
    <t>Ciena</t>
  </si>
  <si>
    <t>Hanover, MD</t>
  </si>
  <si>
    <t>Vectren</t>
  </si>
  <si>
    <t>Edgewell Personal Care</t>
  </si>
  <si>
    <t>Armstrong World Industries</t>
  </si>
  <si>
    <t>Lancaster, PA</t>
  </si>
  <si>
    <t>Kansas City Southern</t>
  </si>
  <si>
    <t>Enable Midstream Partners</t>
  </si>
  <si>
    <t>Cliffs Natural Resources</t>
  </si>
  <si>
    <t>General Growth Properties</t>
  </si>
  <si>
    <t>California Resources</t>
  </si>
  <si>
    <t>TRI Pointe Group</t>
  </si>
  <si>
    <t>Mettler-Toledo International</t>
  </si>
  <si>
    <t>A. Schulman</t>
  </si>
  <si>
    <t>Fairlawn, OH</t>
  </si>
  <si>
    <t>Toro</t>
  </si>
  <si>
    <t>Bloomington, MN</t>
  </si>
  <si>
    <t>SPX FLOW</t>
  </si>
  <si>
    <t>Intuitive Surgical</t>
  </si>
  <si>
    <t>West</t>
  </si>
  <si>
    <t>Public Storage</t>
  </si>
  <si>
    <t>Xilinx</t>
  </si>
  <si>
    <t>Stifel Financial</t>
  </si>
  <si>
    <t>Donaldson</t>
  </si>
  <si>
    <t>Granite Construction</t>
  </si>
  <si>
    <t>Watsonville, CA</t>
  </si>
  <si>
    <t>Pool</t>
  </si>
  <si>
    <t>Covington, LA</t>
  </si>
  <si>
    <t>Express</t>
  </si>
  <si>
    <t>G-III Apparel Group</t>
  </si>
  <si>
    <t>Kemper</t>
  </si>
  <si>
    <t>EQT</t>
  </si>
  <si>
    <t>Nationstar Mortgage Holdings</t>
  </si>
  <si>
    <t>Coppell, TX</t>
  </si>
  <si>
    <t>Parexel International</t>
  </si>
  <si>
    <t>Columbia Sportswear</t>
  </si>
  <si>
    <t>inVentiv Health</t>
  </si>
  <si>
    <t>Burlington, MA</t>
  </si>
  <si>
    <t>Hawaiian Holdings</t>
  </si>
  <si>
    <t>AptarGroup</t>
  </si>
  <si>
    <t>Crystal Lake, IL</t>
  </si>
  <si>
    <t>IHS Markit</t>
  </si>
  <si>
    <t>Belden</t>
  </si>
  <si>
    <t>Maxim Integrated Products</t>
  </si>
  <si>
    <t>Coca-Cola Bottling</t>
  </si>
  <si>
    <t>HNI</t>
  </si>
  <si>
    <t>Muscatine, IA</t>
  </si>
  <si>
    <t>Vishay Intertechnology</t>
  </si>
  <si>
    <t>Malvern, PA</t>
  </si>
  <si>
    <t>Tetra Tech</t>
  </si>
  <si>
    <t>Teledyne Technologies</t>
  </si>
  <si>
    <t>Party City Holdco</t>
  </si>
  <si>
    <t>Elmsford, NY</t>
  </si>
  <si>
    <t>Pinnacle Entertainment</t>
  </si>
  <si>
    <t>Trimble Navigation</t>
  </si>
  <si>
    <t>Penn Mutual Life Insurance</t>
  </si>
  <si>
    <t>MPM Holdings</t>
  </si>
  <si>
    <t>Waterford, NY</t>
  </si>
  <si>
    <t>Sears Hometown &amp; Outlet Stores</t>
  </si>
  <si>
    <t>Tupperware Brands</t>
  </si>
  <si>
    <t>Alliance Holdings</t>
  </si>
  <si>
    <t>Universal</t>
  </si>
  <si>
    <t>Curtiss-Wright</t>
  </si>
  <si>
    <t>Brocade Communications Systems</t>
  </si>
  <si>
    <t>PerkinElmer</t>
  </si>
  <si>
    <t>Wayfair</t>
  </si>
  <si>
    <t>Nu Skin Enterprises</t>
  </si>
  <si>
    <t>Provo, UT</t>
  </si>
  <si>
    <t>Genesis Energy</t>
  </si>
  <si>
    <t>Synopsys</t>
  </si>
  <si>
    <t>Amica Mutual Insurance</t>
  </si>
  <si>
    <t>Lincoln, RI</t>
  </si>
  <si>
    <t>Carpenter Technology</t>
  </si>
  <si>
    <t>Illumina</t>
  </si>
  <si>
    <t>Sinclair Broadcast Group</t>
  </si>
  <si>
    <t>Hunt Valley, MD</t>
  </si>
  <si>
    <t>Twitter</t>
  </si>
  <si>
    <t>Dominoâ€™s Pizza</t>
  </si>
  <si>
    <t>Ann Arbor, MI</t>
  </si>
  <si>
    <t>Zions Bancorp.</t>
  </si>
  <si>
    <t>Salt Lake City, UT</t>
  </si>
  <si>
    <t>Guess</t>
  </si>
  <si>
    <t>Boyd Gaming</t>
  </si>
  <si>
    <t>Akamai Technologies</t>
  </si>
  <si>
    <t>Prologis</t>
  </si>
  <si>
    <t>OGE Energy</t>
  </si>
  <si>
    <t>Outerwall</t>
  </si>
  <si>
    <t>OneMain Holdings</t>
  </si>
  <si>
    <t>Magellan Midstream Partners</t>
  </si>
  <si>
    <t>Knights of Columbus</t>
  </si>
  <si>
    <t>Symetra Financial</t>
  </si>
  <si>
    <t>Gartner</t>
  </si>
  <si>
    <t>Fredâ€™s</t>
  </si>
  <si>
    <t>Hovnanian Enterprises</t>
  </si>
  <si>
    <t>Red Bank, NJ</t>
  </si>
  <si>
    <t>Kirby</t>
  </si>
  <si>
    <t>Microchip Technology</t>
  </si>
  <si>
    <t>Chandler, AZ</t>
  </si>
  <si>
    <t>Herman Miller</t>
  </si>
  <si>
    <t>Zeeland, MI</t>
  </si>
  <si>
    <t>Spirit Airlines</t>
  </si>
  <si>
    <t>Miramar, FL</t>
  </si>
  <si>
    <t>NewMarket</t>
  </si>
  <si>
    <t>VCA</t>
  </si>
  <si>
    <t>Selective Insurance Group</t>
  </si>
  <si>
    <t>Branchville, NJ</t>
  </si>
  <si>
    <t>hhgregg</t>
  </si>
  <si>
    <t>Popular</t>
  </si>
  <si>
    <t>Hato Rey, PR</t>
  </si>
  <si>
    <t>Waste Connections</t>
  </si>
  <si>
    <t>Restoration Hardware</t>
  </si>
  <si>
    <t>Corte Madera, CA</t>
  </si>
  <si>
    <t>Cheesecake Factory</t>
  </si>
  <si>
    <t>Calabasas Hills, CA</t>
  </si>
  <si>
    <t>Mueller Industries</t>
  </si>
  <si>
    <t>Maximus</t>
  </si>
  <si>
    <t>TTM Technologies</t>
  </si>
  <si>
    <t>Costa Mesa, CA</t>
  </si>
  <si>
    <t>Werner Enterprises</t>
  </si>
  <si>
    <t>Engility Holdings</t>
  </si>
  <si>
    <t>Chantilly, VA</t>
  </si>
  <si>
    <t>Rexnord</t>
  </si>
  <si>
    <t>NuStar Energy</t>
  </si>
  <si>
    <t>H.B. Fuller</t>
  </si>
  <si>
    <t>Vista Outdoor</t>
  </si>
  <si>
    <t>Clearfield, UT</t>
  </si>
  <si>
    <t>On Assignment</t>
  </si>
  <si>
    <t>Calabasas, CA</t>
  </si>
  <si>
    <t>Verisk Analytics</t>
  </si>
  <si>
    <t>Jersey City, NJ</t>
  </si>
  <si>
    <t>Par Pacific Holdings</t>
  </si>
  <si>
    <t>Alliance One International</t>
  </si>
  <si>
    <t>Morrisville, NC</t>
  </si>
  <si>
    <t>Whiting Petroleum</t>
  </si>
  <si>
    <t>Waters</t>
  </si>
  <si>
    <t>Milford, MA</t>
  </si>
  <si>
    <t>Tower International</t>
  </si>
  <si>
    <t>Livonia, MI</t>
  </si>
  <si>
    <t>Woodward</t>
  </si>
  <si>
    <t>Fort Collins, CO</t>
  </si>
  <si>
    <t>Stewart Information Services</t>
  </si>
  <si>
    <t>PharMerica</t>
  </si>
  <si>
    <t>Wabash National</t>
  </si>
  <si>
    <t>Lafayette, IN</t>
  </si>
  <si>
    <t>Ferrellgas Partners</t>
  </si>
  <si>
    <t>Dycom Industries</t>
  </si>
  <si>
    <t>Palm Beach Gardens, FL</t>
  </si>
  <si>
    <t>IDEX</t>
  </si>
  <si>
    <t>Bio-Rad Laboratories</t>
  </si>
  <si>
    <t>Hercules, CA</t>
  </si>
  <si>
    <t>QEP Resources</t>
  </si>
  <si>
    <t>Griffon</t>
  </si>
  <si>
    <t>American Greetings</t>
  </si>
  <si>
    <t>Tribune Media</t>
  </si>
  <si>
    <t>Rackspace Hosting</t>
  </si>
  <si>
    <t>VeriFone Systems</t>
  </si>
  <si>
    <t>Genesee &amp; Wyoming</t>
  </si>
  <si>
    <t>Darien, CT</t>
  </si>
  <si>
    <t>99 Cents Only Stores</t>
  </si>
  <si>
    <t>Roadrunner Transportation Systems</t>
  </si>
  <si>
    <t>Cudahy, WI</t>
  </si>
  <si>
    <t>Super Micro Computer</t>
  </si>
  <si>
    <t>First Republic Bank</t>
  </si>
  <si>
    <t>Hill-Rom Holdings</t>
  </si>
  <si>
    <t>Providence Service</t>
  </si>
  <si>
    <t>Tucson, AZ</t>
  </si>
  <si>
    <t>Allison Transmission Holdings</t>
  </si>
  <si>
    <t>Indianaoplis, IN</t>
  </si>
  <si>
    <t>Spire</t>
  </si>
  <si>
    <t>WPX Energy</t>
  </si>
  <si>
    <t>Century Aluminum</t>
  </si>
  <si>
    <t>Adams Resources &amp; Energy</t>
  </si>
  <si>
    <t>Nuance Communications</t>
  </si>
  <si>
    <t>Primoris Services</t>
  </si>
  <si>
    <t>Schnitzer Steel Industries</t>
  </si>
  <si>
    <t>Delta Tucker Holdings</t>
  </si>
  <si>
    <t>Hospitality Properties Trust</t>
  </si>
  <si>
    <t>Newton, MA</t>
  </si>
  <si>
    <t>Cenveo</t>
  </si>
  <si>
    <t>F5 Networks</t>
  </si>
  <si>
    <t>BlueLinx Holdings</t>
  </si>
  <si>
    <t>Revlon</t>
  </si>
  <si>
    <t>DeVry Education Group</t>
  </si>
  <si>
    <t>MDC Holdings</t>
  </si>
  <si>
    <t>EP Energy</t>
  </si>
  <si>
    <t>New York Community Bancorp</t>
  </si>
  <si>
    <t>Westbury, NY</t>
  </si>
  <si>
    <t>Portland General Electric</t>
  </si>
  <si>
    <t>Wendyâ€™s</t>
  </si>
  <si>
    <t>Briggs &amp; Stratton</t>
  </si>
  <si>
    <t>Wauwatosa, WI</t>
  </si>
  <si>
    <t>Row Labels</t>
  </si>
  <si>
    <t>Grand Total</t>
  </si>
  <si>
    <t>Sum of Revenue</t>
  </si>
  <si>
    <t>Sum of Profits</t>
  </si>
  <si>
    <t>Sum of Employees</t>
  </si>
  <si>
    <t>NY</t>
  </si>
  <si>
    <t>GA</t>
  </si>
  <si>
    <t>NE</t>
  </si>
  <si>
    <t>IL</t>
  </si>
  <si>
    <t>NC</t>
  </si>
  <si>
    <t>TX</t>
  </si>
  <si>
    <t>NJ</t>
  </si>
  <si>
    <t>New York</t>
  </si>
  <si>
    <t>Cupertino</t>
  </si>
  <si>
    <t>Atlanta</t>
  </si>
  <si>
    <t>Omaha</t>
  </si>
  <si>
    <t>San Francisco</t>
  </si>
  <si>
    <t>Foster City</t>
  </si>
  <si>
    <t>Chicago</t>
  </si>
  <si>
    <t>Charlotte</t>
  </si>
  <si>
    <t>Irving</t>
  </si>
  <si>
    <t>Mountain View</t>
  </si>
  <si>
    <t>Dallas</t>
  </si>
  <si>
    <t>New Brunswick</t>
  </si>
  <si>
    <t>(Multiple Items)</t>
  </si>
  <si>
    <t>Fortune 1000 Companies</t>
  </si>
  <si>
    <t># of Employees</t>
  </si>
  <si>
    <t>Data Soucre: CM Analytics</t>
  </si>
  <si>
    <t>Created by M. Summers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</si>
</sst>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5" formatCode="_(* #,##0_);_(* \(#,##0\);_(* &quot;-&quot;??_);_(@_)"/>
  </numFmts>
  <fonts count="20" x14ac:knownFonts="1">
    <font>
      <sz val="11"/>
      <color theme="1"/>
      <name val="Gill Sans MT"/>
      <family val="2"/>
      <scheme val="minor"/>
    </font>
    <font>
      <sz val="11"/>
      <color theme="1"/>
      <name val="Gill Sans MT"/>
      <family val="2"/>
      <scheme val="minor"/>
    </font>
    <font>
      <sz val="18"/>
      <color theme="3"/>
      <name val="Impact"/>
      <family val="2"/>
      <scheme val="major"/>
    </font>
    <font>
      <b/>
      <sz val="15"/>
      <color theme="3"/>
      <name val="Gill Sans MT"/>
      <family val="2"/>
      <scheme val="minor"/>
    </font>
    <font>
      <b/>
      <sz val="13"/>
      <color theme="3"/>
      <name val="Gill Sans MT"/>
      <family val="2"/>
      <scheme val="minor"/>
    </font>
    <font>
      <b/>
      <sz val="11"/>
      <color theme="3"/>
      <name val="Gill Sans MT"/>
      <family val="2"/>
      <scheme val="minor"/>
    </font>
    <font>
      <sz val="11"/>
      <color rgb="FF006100"/>
      <name val="Gill Sans MT"/>
      <family val="2"/>
      <scheme val="minor"/>
    </font>
    <font>
      <sz val="11"/>
      <color rgb="FF9C0006"/>
      <name val="Gill Sans MT"/>
      <family val="2"/>
      <scheme val="minor"/>
    </font>
    <font>
      <sz val="11"/>
      <color rgb="FF9C5700"/>
      <name val="Gill Sans MT"/>
      <family val="2"/>
      <scheme val="minor"/>
    </font>
    <font>
      <sz val="11"/>
      <color rgb="FF3F3F76"/>
      <name val="Gill Sans MT"/>
      <family val="2"/>
      <scheme val="minor"/>
    </font>
    <font>
      <b/>
      <sz val="11"/>
      <color rgb="FF3F3F3F"/>
      <name val="Gill Sans MT"/>
      <family val="2"/>
      <scheme val="minor"/>
    </font>
    <font>
      <b/>
      <sz val="11"/>
      <color rgb="FFFA7D00"/>
      <name val="Gill Sans MT"/>
      <family val="2"/>
      <scheme val="minor"/>
    </font>
    <font>
      <sz val="11"/>
      <color rgb="FFFA7D00"/>
      <name val="Gill Sans MT"/>
      <family val="2"/>
      <scheme val="minor"/>
    </font>
    <font>
      <b/>
      <sz val="11"/>
      <color theme="0"/>
      <name val="Gill Sans MT"/>
      <family val="2"/>
      <scheme val="minor"/>
    </font>
    <font>
      <sz val="11"/>
      <color rgb="FFFF0000"/>
      <name val="Gill Sans MT"/>
      <family val="2"/>
      <scheme val="minor"/>
    </font>
    <font>
      <i/>
      <sz val="11"/>
      <color rgb="FF7F7F7F"/>
      <name val="Gill Sans MT"/>
      <family val="2"/>
      <scheme val="minor"/>
    </font>
    <font>
      <b/>
      <sz val="11"/>
      <color theme="1"/>
      <name val="Gill Sans MT"/>
      <family val="2"/>
      <scheme val="minor"/>
    </font>
    <font>
      <sz val="11"/>
      <color theme="0"/>
      <name val="Gill Sans MT"/>
      <family val="2"/>
      <scheme val="minor"/>
    </font>
    <font>
      <b/>
      <sz val="12"/>
      <color theme="0"/>
      <name val="Gill Sans MT"/>
      <family val="2"/>
      <scheme val="minor"/>
    </font>
    <font>
      <b/>
      <sz val="14"/>
      <color theme="0"/>
      <name val="Gill Sans MT"/>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249977111117893"/>
        <bgColor indexed="64"/>
      </patternFill>
    </fill>
    <fill>
      <patternFill patternType="solid">
        <fgColor theme="1" tint="0.3499862666707357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165" fontId="0" fillId="0" borderId="0" xfId="1" applyNumberFormat="1" applyFont="1"/>
    <xf numFmtId="0" fontId="16" fillId="0" borderId="0" xfId="0" applyFont="1"/>
    <xf numFmtId="0" fontId="16" fillId="0" borderId="10" xfId="0" applyFont="1" applyBorder="1"/>
    <xf numFmtId="0" fontId="0" fillId="0" borderId="0" xfId="0" pivotButton="1"/>
    <xf numFmtId="0" fontId="0" fillId="0" borderId="0" xfId="0" applyAlignment="1">
      <alignment horizontal="left"/>
    </xf>
    <xf numFmtId="0" fontId="0" fillId="0" borderId="0" xfId="0" applyNumberFormat="1"/>
    <xf numFmtId="3" fontId="0" fillId="0" borderId="0" xfId="0" applyNumberFormat="1"/>
    <xf numFmtId="0" fontId="0" fillId="0" borderId="0" xfId="0" applyFill="1"/>
    <xf numFmtId="0" fontId="17" fillId="0" borderId="0" xfId="0" applyFont="1"/>
    <xf numFmtId="0" fontId="18" fillId="33" borderId="0" xfId="0" applyFont="1" applyFill="1"/>
    <xf numFmtId="0" fontId="19" fillId="33" borderId="0" xfId="0" applyFont="1" applyFill="1" applyAlignment="1">
      <alignment horizontal="left" vertical="center"/>
    </xf>
    <xf numFmtId="0" fontId="19" fillId="0" borderId="0" xfId="0" applyFont="1" applyFill="1" applyAlignment="1">
      <alignment horizontal="left" vertical="center"/>
    </xf>
    <xf numFmtId="0" fontId="0" fillId="34" borderId="0" xfId="0" applyFill="1"/>
    <xf numFmtId="0" fontId="17" fillId="34" borderId="0" xfId="0" applyFon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6">
    <dxf>
      <font>
        <b/>
        <i val="0"/>
        <strike val="0"/>
        <condense val="0"/>
        <extend val="0"/>
        <outline val="0"/>
        <shadow val="0"/>
        <u val="none"/>
        <vertAlign val="baseline"/>
        <sz val="12"/>
        <color theme="0"/>
        <name val="Gill Sans MT"/>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Gill Sans MT"/>
        <family val="2"/>
        <scheme val="minor"/>
      </font>
    </dxf>
    <dxf>
      <font>
        <b val="0"/>
        <i val="0"/>
        <strike val="0"/>
        <condense val="0"/>
        <extend val="0"/>
        <outline val="0"/>
        <shadow val="0"/>
        <u val="none"/>
        <vertAlign val="baseline"/>
        <sz val="11"/>
        <color theme="1"/>
        <name val="Gill Sans MT"/>
        <family val="2"/>
        <scheme val="minor"/>
      </font>
      <numFmt numFmtId="165" formatCode="_(* #,##0_);_(* \(#,##0\);_(* &quot;-&quot;??_);_(@_)"/>
    </dxf>
    <dxf>
      <font>
        <b val="0"/>
        <i val="0"/>
        <strike val="0"/>
        <condense val="0"/>
        <extend val="0"/>
        <outline val="0"/>
        <shadow val="0"/>
        <u val="none"/>
        <vertAlign val="baseline"/>
        <sz val="11"/>
        <color theme="1"/>
        <name val="Gill Sans MT"/>
        <family val="2"/>
        <scheme val="minor"/>
      </font>
      <numFmt numFmtId="165" formatCode="_(* #,##0_);_(* \(#,##0\);_(* &quot;-&quot;??_);_(@_)"/>
    </dxf>
    <dxf>
      <font>
        <b val="0"/>
        <i val="0"/>
        <strike val="0"/>
        <condense val="0"/>
        <extend val="0"/>
        <outline val="0"/>
        <shadow val="0"/>
        <u val="none"/>
        <vertAlign val="baseline"/>
        <sz val="11"/>
        <color theme="1"/>
        <name val="Gill Sans MT"/>
        <family val="2"/>
        <scheme val="minor"/>
      </font>
      <numFmt numFmtId="165" formatCode="_(* #,##0_);_(* \(#,##0\);_(* &quot;-&quot;??_);_(@_)"/>
    </dxf>
    <dxf>
      <font>
        <b/>
        <i val="0"/>
        <strike val="0"/>
        <condense val="0"/>
        <extend val="0"/>
        <outline val="0"/>
        <shadow val="0"/>
        <u val="none"/>
        <vertAlign val="baseline"/>
        <sz val="11"/>
        <color theme="1"/>
        <name val="Gill Sans MT"/>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[fortune1000_Dashboard_001.xlsm]INDUSTRY!PivotTable21</c:name>
    <c:fmtId val="0"/>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INDUSTRY!$B$3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INDUSTRY!$A$4:$A$6</c:f>
              <c:strCache>
                <c:ptCount val="2"/>
                <c:pt idx="0">
                  <c:v>Food Consumer Products</c:v>
                </c:pt>
                <c:pt idx="1">
                  <c:v>Specialty Retailers: Other</c:v>
                </c:pt>
              </c:strCache>
            </c:strRef>
          </c:cat>
          <c:val>
            <c:numRef>
              <c:f>INDUSTRY!$B$4:$B$6</c:f>
              <c:numCache>
                <c:formatCode>General</c:formatCode>
                <c:ptCount val="2"/>
                <c:pt idx="0">
                  <c:v>308</c:v>
                </c:pt>
                <c:pt idx="1">
                  <c:v>181</c:v>
                </c:pt>
              </c:numCache>
            </c:numRef>
          </c:val>
          <c:extLst>
            <c:ext xmlns:c16="http://schemas.microsoft.com/office/drawing/2014/chart" uri="{C3380CC4-5D6E-409C-BE32-E72D297353CC}">
              <c16:uniqueId val="{00000000-07CD-4146-93DE-7E72F351930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[fortune1000_Dashboard_001.xlsm]INDUSTRY!PivotTable22</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r>
              <a:rPr lang="en-US" b="1">
                <a:latin typeface="Segoe UI Semibold" panose="020B0702040204020203" pitchFamily="34" charset="0"/>
                <a:cs typeface="Segoe UI Semibold" panose="020B0702040204020203" pitchFamily="34" charset="0"/>
              </a:rPr>
              <a:t>Profits</a:t>
            </a:r>
            <a:r>
              <a:rPr lang="en-US" b="1" baseline="0">
                <a:latin typeface="Segoe UI Semibold" panose="020B0702040204020203" pitchFamily="34" charset="0"/>
                <a:cs typeface="Segoe UI Semibold" panose="020B0702040204020203" pitchFamily="34" charset="0"/>
              </a:rPr>
              <a:t> by Industry</a:t>
            </a:r>
            <a:endParaRPr lang="en-US" b="1">
              <a:latin typeface="Segoe UI Semibold" panose="020B0702040204020203" pitchFamily="34" charset="0"/>
              <a:cs typeface="Segoe UI Semibold" panose="020B0702040204020203"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INDUSTRY!$I$4</c:f>
              <c:strCache>
                <c:ptCount val="1"/>
                <c:pt idx="0">
                  <c:v>Total</c:v>
                </c:pt>
              </c:strCache>
            </c:strRef>
          </c:tx>
          <c:spPr>
            <a:solidFill>
              <a:schemeClr val="accent1"/>
            </a:solidFill>
            <a:ln>
              <a:noFill/>
            </a:ln>
            <a:effectLst/>
          </c:spPr>
          <c:invertIfNegative val="0"/>
          <c:cat>
            <c:strRef>
              <c:f>INDUSTRY!$H$5:$H$78</c:f>
              <c:strCache>
                <c:ptCount val="73"/>
                <c:pt idx="0">
                  <c:v>Commercial Banks</c:v>
                </c:pt>
                <c:pt idx="1">
                  <c:v>Pharmaceuticals</c:v>
                </c:pt>
                <c:pt idx="2">
                  <c:v>Computers, Office Equipment</c:v>
                </c:pt>
                <c:pt idx="3">
                  <c:v>Telecommunications</c:v>
                </c:pt>
                <c:pt idx="4">
                  <c:v>Insurance: Property and Casualty (Stock)</c:v>
                </c:pt>
                <c:pt idx="5">
                  <c:v>Petroleum Refining</c:v>
                </c:pt>
                <c:pt idx="6">
                  <c:v>Utilities: Gas and Electric</c:v>
                </c:pt>
                <c:pt idx="7">
                  <c:v>Aerospace and Defense</c:v>
                </c:pt>
                <c:pt idx="8">
                  <c:v>Diversified Financials</c:v>
                </c:pt>
                <c:pt idx="9">
                  <c:v>Computer Software</c:v>
                </c:pt>
                <c:pt idx="10">
                  <c:v>Motor Vehicles and Parts</c:v>
                </c:pt>
                <c:pt idx="11">
                  <c:v>Entertainment</c:v>
                </c:pt>
                <c:pt idx="12">
                  <c:v>Semiconductors and Other Electronic Components</c:v>
                </c:pt>
                <c:pt idx="13">
                  <c:v>Airlines</c:v>
                </c:pt>
                <c:pt idx="14">
                  <c:v>Chemicals</c:v>
                </c:pt>
                <c:pt idx="15">
                  <c:v>Internet Services and Retailing</c:v>
                </c:pt>
                <c:pt idx="16">
                  <c:v>Specialty Retailers: Other</c:v>
                </c:pt>
                <c:pt idx="17">
                  <c:v>General Merchandisers</c:v>
                </c:pt>
                <c:pt idx="18">
                  <c:v>Insurance: Life, Health (stock)</c:v>
                </c:pt>
                <c:pt idx="19">
                  <c:v>Food Consumer Products</c:v>
                </c:pt>
                <c:pt idx="20">
                  <c:v>Network and Other Communications Equipment</c:v>
                </c:pt>
                <c:pt idx="21">
                  <c:v>Financial Data Services</c:v>
                </c:pt>
                <c:pt idx="22">
                  <c:v>Food and Drug Stores</c:v>
                </c:pt>
                <c:pt idx="23">
                  <c:v>Information Technology Services</c:v>
                </c:pt>
                <c:pt idx="24">
                  <c:v>Tobacco</c:v>
                </c:pt>
                <c:pt idx="25">
                  <c:v>Health Care: Insurance and Managed Care</c:v>
                </c:pt>
                <c:pt idx="26">
                  <c:v>Securities</c:v>
                </c:pt>
                <c:pt idx="27">
                  <c:v>Beverages</c:v>
                </c:pt>
                <c:pt idx="28">
                  <c:v>Food Services</c:v>
                </c:pt>
                <c:pt idx="29">
                  <c:v>Medical Products and Equipment</c:v>
                </c:pt>
                <c:pt idx="30">
                  <c:v>Electronics, Electrical Equip.</c:v>
                </c:pt>
                <c:pt idx="31">
                  <c:v>Household and Personal Products</c:v>
                </c:pt>
                <c:pt idx="32">
                  <c:v>Hotels, Casinos, Resorts</c:v>
                </c:pt>
                <c:pt idx="33">
                  <c:v>Real estate</c:v>
                </c:pt>
                <c:pt idx="34">
                  <c:v>Scientific,Photographic and Control Equipment</c:v>
                </c:pt>
                <c:pt idx="35">
                  <c:v>Railroads</c:v>
                </c:pt>
                <c:pt idx="36">
                  <c:v>Miscellaneous</c:v>
                </c:pt>
                <c:pt idx="37">
                  <c:v>Apparel</c:v>
                </c:pt>
                <c:pt idx="38">
                  <c:v>Insurance: Property and Casualty (Mutual)</c:v>
                </c:pt>
                <c:pt idx="39">
                  <c:v>Mail, Package, and Freight Delivery</c:v>
                </c:pt>
                <c:pt idx="40">
                  <c:v>Pipelines</c:v>
                </c:pt>
                <c:pt idx="41">
                  <c:v>Health Care: Pharmacy and Other Services</c:v>
                </c:pt>
                <c:pt idx="42">
                  <c:v>Insurance: Life, Health (Mutual)</c:v>
                </c:pt>
                <c:pt idx="43">
                  <c:v>Wholesalers: Diversified</c:v>
                </c:pt>
                <c:pt idx="44">
                  <c:v>Food Production</c:v>
                </c:pt>
                <c:pt idx="45">
                  <c:v>Construction and Farm Machinery</c:v>
                </c:pt>
                <c:pt idx="46">
                  <c:v>Specialty Retailers: Apparel</c:v>
                </c:pt>
                <c:pt idx="47">
                  <c:v>Packaging, Containers</c:v>
                </c:pt>
                <c:pt idx="48">
                  <c:v>Diversified Outsourcing Services</c:v>
                </c:pt>
                <c:pt idx="49">
                  <c:v>Computer Peripherals</c:v>
                </c:pt>
                <c:pt idx="50">
                  <c:v>Homebuilders</c:v>
                </c:pt>
                <c:pt idx="51">
                  <c:v>Home Equipment, Furnishings</c:v>
                </c:pt>
                <c:pt idx="52">
                  <c:v>Wholesalers: Health Care</c:v>
                </c:pt>
                <c:pt idx="53">
                  <c:v>Health Care: Medical Facilities</c:v>
                </c:pt>
                <c:pt idx="54">
                  <c:v>Automotive Retailing, Services</c:v>
                </c:pt>
                <c:pt idx="55">
                  <c:v>Transportation Equipment</c:v>
                </c:pt>
                <c:pt idx="56">
                  <c:v>Building Materials, Glass</c:v>
                </c:pt>
                <c:pt idx="57">
                  <c:v>Trucking, Truck Leasing</c:v>
                </c:pt>
                <c:pt idx="58">
                  <c:v>Wholesalers: Electronics and Office Equipment</c:v>
                </c:pt>
                <c:pt idx="59">
                  <c:v>Engineering, Construction</c:v>
                </c:pt>
                <c:pt idx="60">
                  <c:v>Waste Management</c:v>
                </c:pt>
                <c:pt idx="61">
                  <c:v>Advertising, marketing</c:v>
                </c:pt>
                <c:pt idx="62">
                  <c:v>Wholesalers: Food and Grocery</c:v>
                </c:pt>
                <c:pt idx="63">
                  <c:v>Temporary Help</c:v>
                </c:pt>
                <c:pt idx="64">
                  <c:v>Transportation and Logistics</c:v>
                </c:pt>
                <c:pt idx="65">
                  <c:v>Industrial Machinery</c:v>
                </c:pt>
                <c:pt idx="66">
                  <c:v>Education</c:v>
                </c:pt>
                <c:pt idx="67">
                  <c:v>Forest and Paper Products</c:v>
                </c:pt>
                <c:pt idx="68">
                  <c:v>Publishing, Printing</c:v>
                </c:pt>
                <c:pt idx="69">
                  <c:v>Metals</c:v>
                </c:pt>
                <c:pt idx="70">
                  <c:v>Oil and Gas Equipment, Services</c:v>
                </c:pt>
                <c:pt idx="71">
                  <c:v>Energy</c:v>
                </c:pt>
                <c:pt idx="72">
                  <c:v>Mining, Crude-Oil Production</c:v>
                </c:pt>
              </c:strCache>
            </c:strRef>
          </c:cat>
          <c:val>
            <c:numRef>
              <c:f>INDUSTRY!$I$5:$I$78</c:f>
              <c:numCache>
                <c:formatCode>General</c:formatCode>
                <c:ptCount val="73"/>
                <c:pt idx="0">
                  <c:v>129760</c:v>
                </c:pt>
                <c:pt idx="1">
                  <c:v>68273</c:v>
                </c:pt>
                <c:pt idx="2">
                  <c:v>58433</c:v>
                </c:pt>
                <c:pt idx="3">
                  <c:v>48637</c:v>
                </c:pt>
                <c:pt idx="4">
                  <c:v>44803</c:v>
                </c:pt>
                <c:pt idx="5">
                  <c:v>31888</c:v>
                </c:pt>
                <c:pt idx="6">
                  <c:v>30015</c:v>
                </c:pt>
                <c:pt idx="7">
                  <c:v>28742</c:v>
                </c:pt>
                <c:pt idx="8">
                  <c:v>28548</c:v>
                </c:pt>
                <c:pt idx="9">
                  <c:v>26457</c:v>
                </c:pt>
                <c:pt idx="10">
                  <c:v>25898</c:v>
                </c:pt>
                <c:pt idx="11">
                  <c:v>25686</c:v>
                </c:pt>
                <c:pt idx="12">
                  <c:v>24721</c:v>
                </c:pt>
                <c:pt idx="13">
                  <c:v>23800</c:v>
                </c:pt>
                <c:pt idx="14">
                  <c:v>22628</c:v>
                </c:pt>
                <c:pt idx="15">
                  <c:v>22232</c:v>
                </c:pt>
                <c:pt idx="16">
                  <c:v>20560</c:v>
                </c:pt>
                <c:pt idx="17">
                  <c:v>20137</c:v>
                </c:pt>
                <c:pt idx="18">
                  <c:v>19731</c:v>
                </c:pt>
                <c:pt idx="19">
                  <c:v>19263</c:v>
                </c:pt>
                <c:pt idx="20">
                  <c:v>18907</c:v>
                </c:pt>
                <c:pt idx="21">
                  <c:v>17456</c:v>
                </c:pt>
                <c:pt idx="22">
                  <c:v>16759</c:v>
                </c:pt>
                <c:pt idx="23">
                  <c:v>16402</c:v>
                </c:pt>
                <c:pt idx="24">
                  <c:v>15467</c:v>
                </c:pt>
                <c:pt idx="25">
                  <c:v>15019</c:v>
                </c:pt>
                <c:pt idx="26">
                  <c:v>14255</c:v>
                </c:pt>
                <c:pt idx="27">
                  <c:v>11698</c:v>
                </c:pt>
                <c:pt idx="28">
                  <c:v>10873</c:v>
                </c:pt>
                <c:pt idx="29">
                  <c:v>10834</c:v>
                </c:pt>
                <c:pt idx="30">
                  <c:v>10345</c:v>
                </c:pt>
                <c:pt idx="31">
                  <c:v>10139</c:v>
                </c:pt>
                <c:pt idx="32">
                  <c:v>9824</c:v>
                </c:pt>
                <c:pt idx="33">
                  <c:v>9480</c:v>
                </c:pt>
                <c:pt idx="34">
                  <c:v>9346</c:v>
                </c:pt>
                <c:pt idx="35">
                  <c:v>9005</c:v>
                </c:pt>
                <c:pt idx="36">
                  <c:v>8591</c:v>
                </c:pt>
                <c:pt idx="37">
                  <c:v>8236</c:v>
                </c:pt>
                <c:pt idx="38">
                  <c:v>8031</c:v>
                </c:pt>
                <c:pt idx="39">
                  <c:v>5894</c:v>
                </c:pt>
                <c:pt idx="40">
                  <c:v>5814</c:v>
                </c:pt>
                <c:pt idx="41">
                  <c:v>5644</c:v>
                </c:pt>
                <c:pt idx="42">
                  <c:v>5601</c:v>
                </c:pt>
                <c:pt idx="43">
                  <c:v>5193</c:v>
                </c:pt>
                <c:pt idx="44">
                  <c:v>4989</c:v>
                </c:pt>
                <c:pt idx="45">
                  <c:v>4981</c:v>
                </c:pt>
                <c:pt idx="46">
                  <c:v>4583</c:v>
                </c:pt>
                <c:pt idx="47">
                  <c:v>4445</c:v>
                </c:pt>
                <c:pt idx="48">
                  <c:v>4305</c:v>
                </c:pt>
                <c:pt idx="49">
                  <c:v>3975</c:v>
                </c:pt>
                <c:pt idx="50">
                  <c:v>3539</c:v>
                </c:pt>
                <c:pt idx="51">
                  <c:v>3388</c:v>
                </c:pt>
                <c:pt idx="52">
                  <c:v>3361</c:v>
                </c:pt>
                <c:pt idx="53">
                  <c:v>2983</c:v>
                </c:pt>
                <c:pt idx="54">
                  <c:v>2550</c:v>
                </c:pt>
                <c:pt idx="55">
                  <c:v>2438</c:v>
                </c:pt>
                <c:pt idx="56">
                  <c:v>2222</c:v>
                </c:pt>
                <c:pt idx="57">
                  <c:v>1910</c:v>
                </c:pt>
                <c:pt idx="58">
                  <c:v>1857</c:v>
                </c:pt>
                <c:pt idx="59">
                  <c:v>1765</c:v>
                </c:pt>
                <c:pt idx="60">
                  <c:v>1718</c:v>
                </c:pt>
                <c:pt idx="61">
                  <c:v>1549</c:v>
                </c:pt>
                <c:pt idx="62">
                  <c:v>1166</c:v>
                </c:pt>
                <c:pt idx="63">
                  <c:v>1000</c:v>
                </c:pt>
                <c:pt idx="64">
                  <c:v>895</c:v>
                </c:pt>
                <c:pt idx="65">
                  <c:v>605</c:v>
                </c:pt>
                <c:pt idx="66">
                  <c:v>69</c:v>
                </c:pt>
                <c:pt idx="67">
                  <c:v>-5</c:v>
                </c:pt>
                <c:pt idx="68">
                  <c:v>-1339</c:v>
                </c:pt>
                <c:pt idx="69">
                  <c:v>-2241</c:v>
                </c:pt>
                <c:pt idx="70">
                  <c:v>-4047</c:v>
                </c:pt>
                <c:pt idx="71">
                  <c:v>-13038</c:v>
                </c:pt>
                <c:pt idx="72">
                  <c:v>-124555</c:v>
                </c:pt>
              </c:numCache>
            </c:numRef>
          </c:val>
          <c:extLst>
            <c:ext xmlns:c16="http://schemas.microsoft.com/office/drawing/2014/chart" uri="{C3380CC4-5D6E-409C-BE32-E72D297353CC}">
              <c16:uniqueId val="{00000000-4CA4-4D49-9F37-C79F97566400}"/>
            </c:ext>
          </c:extLst>
        </c:ser>
        <c:dLbls>
          <c:showLegendKey val="0"/>
          <c:showVal val="0"/>
          <c:showCatName val="0"/>
          <c:showSerName val="0"/>
          <c:showPercent val="0"/>
          <c:showBubbleSize val="0"/>
        </c:dLbls>
        <c:gapWidth val="112"/>
        <c:overlap val="-27"/>
        <c:axId val="681052248"/>
        <c:axId val="681052904"/>
      </c:barChart>
      <c:catAx>
        <c:axId val="681052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81052904"/>
        <c:crosses val="autoZero"/>
        <c:auto val="1"/>
        <c:lblAlgn val="ctr"/>
        <c:lblOffset val="100"/>
        <c:noMultiLvlLbl val="0"/>
      </c:catAx>
      <c:valAx>
        <c:axId val="681052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81052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[fortune1000_Dashboard_001.xlsm]INDUSTRY!PivotTable22</c:name>
    <c:fmtId val="8"/>
  </c:pivotSource>
  <c:chart>
    <c:title>
      <c:tx>
        <c:rich>
          <a:bodyPr rot="0" spcFirstLastPara="1" vertOverflow="ellipsis" vert="horz" wrap="square" anchor="ctr" anchorCtr="1"/>
          <a:lstStyle/>
          <a:p>
            <a:pPr algn="ctr" rtl="0">
              <a:defRPr lang="en-US" sz="1400" b="1" i="0" u="none" strike="noStrike" kern="1200" cap="all"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sz="1400" b="1"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rPr>
              <a:t>Top 10 INdustry by % of Profit</a:t>
            </a:r>
          </a:p>
        </c:rich>
      </c:tx>
      <c:overlay val="0"/>
      <c:spPr>
        <a:noFill/>
        <a:ln>
          <a:noFill/>
        </a:ln>
        <a:effectLst/>
      </c:spPr>
      <c:txPr>
        <a:bodyPr rot="0" spcFirstLastPara="1" vertOverflow="ellipsis" vert="horz" wrap="square" anchor="ctr" anchorCtr="1"/>
        <a:lstStyle/>
        <a:p>
          <a:pPr algn="ctr" rtl="0">
            <a:defRPr lang="en-US" sz="1400" b="1" i="0" u="none" strike="noStrike" kern="1200" cap="all"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7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INDUSTRY!$I$4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60E-459A-B860-4371DE28FDF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60E-459A-B860-4371DE28FDF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60E-459A-B860-4371DE28FDF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60E-459A-B860-4371DE28FDF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60E-459A-B860-4371DE28FDF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E60E-459A-B860-4371DE28FDF5}"/>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E60E-459A-B860-4371DE28FDF5}"/>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E60E-459A-B860-4371DE28FDF5}"/>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E60E-459A-B860-4371DE28FDF5}"/>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E60E-459A-B860-4371DE28FDF5}"/>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E60E-459A-B860-4371DE28FDF5}"/>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E60E-459A-B860-4371DE28FDF5}"/>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E60E-459A-B860-4371DE28FDF5}"/>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E60E-459A-B860-4371DE28FDF5}"/>
              </c:ext>
            </c:extLst>
          </c:dPt>
          <c:dPt>
            <c:idx val="14"/>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E60E-459A-B860-4371DE28FDF5}"/>
              </c:ext>
            </c:extLst>
          </c:dPt>
          <c:dPt>
            <c:idx val="15"/>
            <c:bubble3D val="0"/>
            <c:spPr>
              <a:solidFill>
                <a:schemeClr val="accent4">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E60E-459A-B860-4371DE28FDF5}"/>
              </c:ext>
            </c:extLst>
          </c:dPt>
          <c:dPt>
            <c:idx val="16"/>
            <c:bubble3D val="0"/>
            <c:spPr>
              <a:solidFill>
                <a:schemeClr val="accent5">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E60E-459A-B860-4371DE28FDF5}"/>
              </c:ext>
            </c:extLst>
          </c:dPt>
          <c:dPt>
            <c:idx val="17"/>
            <c:bubble3D val="0"/>
            <c:spPr>
              <a:solidFill>
                <a:schemeClr val="accent6">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3-E60E-459A-B860-4371DE28FDF5}"/>
              </c:ext>
            </c:extLst>
          </c:dPt>
          <c:dPt>
            <c:idx val="18"/>
            <c:bubble3D val="0"/>
            <c:spPr>
              <a:solidFill>
                <a:schemeClr val="accent1">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5-E60E-459A-B860-4371DE28FDF5}"/>
              </c:ext>
            </c:extLst>
          </c:dPt>
          <c:dPt>
            <c:idx val="19"/>
            <c:bubble3D val="0"/>
            <c:spPr>
              <a:solidFill>
                <a:schemeClr val="accent2">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7-E60E-459A-B860-4371DE28FDF5}"/>
              </c:ext>
            </c:extLst>
          </c:dPt>
          <c:dPt>
            <c:idx val="20"/>
            <c:bubble3D val="0"/>
            <c:spPr>
              <a:solidFill>
                <a:schemeClr val="accent3">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9-E60E-459A-B860-4371DE28FDF5}"/>
              </c:ext>
            </c:extLst>
          </c:dPt>
          <c:dPt>
            <c:idx val="21"/>
            <c:bubble3D val="0"/>
            <c:spPr>
              <a:solidFill>
                <a:schemeClr val="accent4">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B-E60E-459A-B860-4371DE28FDF5}"/>
              </c:ext>
            </c:extLst>
          </c:dPt>
          <c:dPt>
            <c:idx val="22"/>
            <c:bubble3D val="0"/>
            <c:spPr>
              <a:solidFill>
                <a:schemeClr val="accent5">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D-E60E-459A-B860-4371DE28FDF5}"/>
              </c:ext>
            </c:extLst>
          </c:dPt>
          <c:dPt>
            <c:idx val="23"/>
            <c:bubble3D val="0"/>
            <c:spPr>
              <a:solidFill>
                <a:schemeClr val="accent6">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F-E60E-459A-B860-4371DE28FDF5}"/>
              </c:ext>
            </c:extLst>
          </c:dPt>
          <c:dPt>
            <c:idx val="24"/>
            <c:bubble3D val="0"/>
            <c:spPr>
              <a:solidFill>
                <a:schemeClr val="accent1">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1-E60E-459A-B860-4371DE28FDF5}"/>
              </c:ext>
            </c:extLst>
          </c:dPt>
          <c:dPt>
            <c:idx val="25"/>
            <c:bubble3D val="0"/>
            <c:spPr>
              <a:solidFill>
                <a:schemeClr val="accent2">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3-E60E-459A-B860-4371DE28FDF5}"/>
              </c:ext>
            </c:extLst>
          </c:dPt>
          <c:dPt>
            <c:idx val="26"/>
            <c:bubble3D val="0"/>
            <c:spPr>
              <a:solidFill>
                <a:schemeClr val="accent3">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5-E60E-459A-B860-4371DE28FDF5}"/>
              </c:ext>
            </c:extLst>
          </c:dPt>
          <c:dPt>
            <c:idx val="27"/>
            <c:bubble3D val="0"/>
            <c:spPr>
              <a:solidFill>
                <a:schemeClr val="accent4">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7-E60E-459A-B860-4371DE28FDF5}"/>
              </c:ext>
            </c:extLst>
          </c:dPt>
          <c:dPt>
            <c:idx val="28"/>
            <c:bubble3D val="0"/>
            <c:spPr>
              <a:solidFill>
                <a:schemeClr val="accent5">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9-E60E-459A-B860-4371DE28FDF5}"/>
              </c:ext>
            </c:extLst>
          </c:dPt>
          <c:dPt>
            <c:idx val="29"/>
            <c:bubble3D val="0"/>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B-E60E-459A-B860-4371DE28FDF5}"/>
              </c:ext>
            </c:extLst>
          </c:dPt>
          <c:dPt>
            <c:idx val="30"/>
            <c:bubble3D val="0"/>
            <c:spPr>
              <a:solidFill>
                <a:schemeClr val="accent1">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D-E60E-459A-B860-4371DE28FDF5}"/>
              </c:ext>
            </c:extLst>
          </c:dPt>
          <c:dPt>
            <c:idx val="31"/>
            <c:bubble3D val="0"/>
            <c:spPr>
              <a:solidFill>
                <a:schemeClr val="accent2">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F-E60E-459A-B860-4371DE28FDF5}"/>
              </c:ext>
            </c:extLst>
          </c:dPt>
          <c:dPt>
            <c:idx val="32"/>
            <c:bubble3D val="0"/>
            <c:spPr>
              <a:solidFill>
                <a:schemeClr val="accent3">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1-E60E-459A-B860-4371DE28FDF5}"/>
              </c:ext>
            </c:extLst>
          </c:dPt>
          <c:dPt>
            <c:idx val="33"/>
            <c:bubble3D val="0"/>
            <c:spPr>
              <a:solidFill>
                <a:schemeClr val="accent4">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3-E60E-459A-B860-4371DE28FDF5}"/>
              </c:ext>
            </c:extLst>
          </c:dPt>
          <c:dPt>
            <c:idx val="34"/>
            <c:bubble3D val="0"/>
            <c:spPr>
              <a:solidFill>
                <a:schemeClr val="accent5">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5-E60E-459A-B860-4371DE28FDF5}"/>
              </c:ext>
            </c:extLst>
          </c:dPt>
          <c:dPt>
            <c:idx val="35"/>
            <c:bubble3D val="0"/>
            <c:spPr>
              <a:solidFill>
                <a:schemeClr val="accent6">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7-E60E-459A-B860-4371DE28FDF5}"/>
              </c:ext>
            </c:extLst>
          </c:dPt>
          <c:dPt>
            <c:idx val="36"/>
            <c:bubble3D val="0"/>
            <c:spPr>
              <a:solidFill>
                <a:schemeClr val="accent1">
                  <a:lumMod val="70000"/>
                  <a:lumOff val="3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9-E60E-459A-B860-4371DE28FDF5}"/>
              </c:ext>
            </c:extLst>
          </c:dPt>
          <c:dPt>
            <c:idx val="37"/>
            <c:bubble3D val="0"/>
            <c:spPr>
              <a:solidFill>
                <a:schemeClr val="accent2">
                  <a:lumMod val="70000"/>
                  <a:lumOff val="3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B-E60E-459A-B860-4371DE28FDF5}"/>
              </c:ext>
            </c:extLst>
          </c:dPt>
          <c:dPt>
            <c:idx val="38"/>
            <c:bubble3D val="0"/>
            <c:spPr>
              <a:solidFill>
                <a:schemeClr val="accent3">
                  <a:lumMod val="70000"/>
                  <a:lumOff val="3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D-E60E-459A-B860-4371DE28FDF5}"/>
              </c:ext>
            </c:extLst>
          </c:dPt>
          <c:dPt>
            <c:idx val="39"/>
            <c:bubble3D val="0"/>
            <c:spPr>
              <a:solidFill>
                <a:schemeClr val="accent4">
                  <a:lumMod val="70000"/>
                  <a:lumOff val="3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F-E60E-459A-B860-4371DE28FDF5}"/>
              </c:ext>
            </c:extLst>
          </c:dPt>
          <c:dPt>
            <c:idx val="40"/>
            <c:bubble3D val="0"/>
            <c:spPr>
              <a:solidFill>
                <a:schemeClr val="accent5">
                  <a:lumMod val="70000"/>
                  <a:lumOff val="3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1-E60E-459A-B860-4371DE28FDF5}"/>
              </c:ext>
            </c:extLst>
          </c:dPt>
          <c:dPt>
            <c:idx val="41"/>
            <c:bubble3D val="0"/>
            <c:spPr>
              <a:solidFill>
                <a:schemeClr val="accent6">
                  <a:lumMod val="70000"/>
                  <a:lumOff val="3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3-E60E-459A-B860-4371DE28FDF5}"/>
              </c:ext>
            </c:extLst>
          </c:dPt>
          <c:dPt>
            <c:idx val="42"/>
            <c:bubble3D val="0"/>
            <c:spPr>
              <a:solidFill>
                <a:schemeClr val="accent1">
                  <a:lumMod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5-E60E-459A-B860-4371DE28FDF5}"/>
              </c:ext>
            </c:extLst>
          </c:dPt>
          <c:dPt>
            <c:idx val="43"/>
            <c:bubble3D val="0"/>
            <c:spPr>
              <a:solidFill>
                <a:schemeClr val="accent2">
                  <a:lumMod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7-E60E-459A-B860-4371DE28FDF5}"/>
              </c:ext>
            </c:extLst>
          </c:dPt>
          <c:dPt>
            <c:idx val="44"/>
            <c:bubble3D val="0"/>
            <c:spPr>
              <a:solidFill>
                <a:schemeClr val="accent3">
                  <a:lumMod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9-E60E-459A-B860-4371DE28FDF5}"/>
              </c:ext>
            </c:extLst>
          </c:dPt>
          <c:dPt>
            <c:idx val="45"/>
            <c:bubble3D val="0"/>
            <c:spPr>
              <a:solidFill>
                <a:schemeClr val="accent4">
                  <a:lumMod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B-E60E-459A-B860-4371DE28FDF5}"/>
              </c:ext>
            </c:extLst>
          </c:dPt>
          <c:dPt>
            <c:idx val="46"/>
            <c:bubble3D val="0"/>
            <c:spPr>
              <a:solidFill>
                <a:schemeClr val="accent5">
                  <a:lumMod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D-E60E-459A-B860-4371DE28FDF5}"/>
              </c:ext>
            </c:extLst>
          </c:dPt>
          <c:dPt>
            <c:idx val="47"/>
            <c:bubble3D val="0"/>
            <c:spPr>
              <a:solidFill>
                <a:schemeClr val="accent6">
                  <a:lumMod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F-E60E-459A-B860-4371DE28FDF5}"/>
              </c:ext>
            </c:extLst>
          </c:dPt>
          <c:dPt>
            <c:idx val="48"/>
            <c:bubble3D val="0"/>
            <c:spPr>
              <a:solidFill>
                <a:schemeClr val="accent1">
                  <a:lumMod val="50000"/>
                  <a:lumOff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1-E60E-459A-B860-4371DE28FDF5}"/>
              </c:ext>
            </c:extLst>
          </c:dPt>
          <c:dPt>
            <c:idx val="49"/>
            <c:bubble3D val="0"/>
            <c:spPr>
              <a:solidFill>
                <a:schemeClr val="accent2">
                  <a:lumMod val="50000"/>
                  <a:lumOff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3-E60E-459A-B860-4371DE28FDF5}"/>
              </c:ext>
            </c:extLst>
          </c:dPt>
          <c:dPt>
            <c:idx val="50"/>
            <c:bubble3D val="0"/>
            <c:spPr>
              <a:solidFill>
                <a:schemeClr val="accent3">
                  <a:lumMod val="50000"/>
                  <a:lumOff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5-E60E-459A-B860-4371DE28FDF5}"/>
              </c:ext>
            </c:extLst>
          </c:dPt>
          <c:dPt>
            <c:idx val="51"/>
            <c:bubble3D val="0"/>
            <c:spPr>
              <a:solidFill>
                <a:schemeClr val="accent4">
                  <a:lumMod val="50000"/>
                  <a:lumOff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7-E60E-459A-B860-4371DE28FDF5}"/>
              </c:ext>
            </c:extLst>
          </c:dPt>
          <c:dPt>
            <c:idx val="52"/>
            <c:bubble3D val="0"/>
            <c:spPr>
              <a:solidFill>
                <a:schemeClr val="accent5">
                  <a:lumMod val="50000"/>
                  <a:lumOff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9-E60E-459A-B860-4371DE28FDF5}"/>
              </c:ext>
            </c:extLst>
          </c:dPt>
          <c:dPt>
            <c:idx val="53"/>
            <c:bubble3D val="0"/>
            <c:spPr>
              <a:solidFill>
                <a:schemeClr val="accent6">
                  <a:lumMod val="50000"/>
                  <a:lumOff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B-E60E-459A-B860-4371DE28FDF5}"/>
              </c:ext>
            </c:extLst>
          </c:dPt>
          <c:dPt>
            <c:idx val="54"/>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D-E60E-459A-B860-4371DE28FDF5}"/>
              </c:ext>
            </c:extLst>
          </c:dPt>
          <c:dPt>
            <c:idx val="55"/>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F-E60E-459A-B860-4371DE28FDF5}"/>
              </c:ext>
            </c:extLst>
          </c:dPt>
          <c:dPt>
            <c:idx val="56"/>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1-E60E-459A-B860-4371DE28FDF5}"/>
              </c:ext>
            </c:extLst>
          </c:dPt>
          <c:dPt>
            <c:idx val="57"/>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3-E60E-459A-B860-4371DE28FDF5}"/>
              </c:ext>
            </c:extLst>
          </c:dPt>
          <c:dPt>
            <c:idx val="58"/>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5-E60E-459A-B860-4371DE28FDF5}"/>
              </c:ext>
            </c:extLst>
          </c:dPt>
          <c:dPt>
            <c:idx val="59"/>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7-E60E-459A-B860-4371DE28FDF5}"/>
              </c:ext>
            </c:extLst>
          </c:dPt>
          <c:dPt>
            <c:idx val="60"/>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9-E60E-459A-B860-4371DE28FDF5}"/>
              </c:ext>
            </c:extLst>
          </c:dPt>
          <c:dPt>
            <c:idx val="61"/>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B-E60E-459A-B860-4371DE28FDF5}"/>
              </c:ext>
            </c:extLst>
          </c:dPt>
          <c:dPt>
            <c:idx val="62"/>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D-E60E-459A-B860-4371DE28FDF5}"/>
              </c:ext>
            </c:extLst>
          </c:dPt>
          <c:dPt>
            <c:idx val="63"/>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F-E60E-459A-B860-4371DE28FDF5}"/>
              </c:ext>
            </c:extLst>
          </c:dPt>
          <c:dPt>
            <c:idx val="64"/>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1-E60E-459A-B860-4371DE28FDF5}"/>
              </c:ext>
            </c:extLst>
          </c:dPt>
          <c:dPt>
            <c:idx val="65"/>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3-E60E-459A-B860-4371DE28FDF5}"/>
              </c:ext>
            </c:extLst>
          </c:dPt>
          <c:dPt>
            <c:idx val="66"/>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5-E60E-459A-B860-4371DE28FDF5}"/>
              </c:ext>
            </c:extLst>
          </c:dPt>
          <c:dPt>
            <c:idx val="67"/>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7-E60E-459A-B860-4371DE28FDF5}"/>
              </c:ext>
            </c:extLst>
          </c:dPt>
          <c:dPt>
            <c:idx val="68"/>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9-E60E-459A-B860-4371DE28FDF5}"/>
              </c:ext>
            </c:extLst>
          </c:dPt>
          <c:dPt>
            <c:idx val="69"/>
            <c:bubble3D val="0"/>
            <c:spPr>
              <a:solidFill>
                <a:schemeClr val="accent4">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B-E60E-459A-B860-4371DE28FDF5}"/>
              </c:ext>
            </c:extLst>
          </c:dPt>
          <c:dPt>
            <c:idx val="70"/>
            <c:bubble3D val="0"/>
            <c:spPr>
              <a:solidFill>
                <a:schemeClr val="accent5">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D-E60E-459A-B860-4371DE28FDF5}"/>
              </c:ext>
            </c:extLst>
          </c:dPt>
          <c:dPt>
            <c:idx val="71"/>
            <c:bubble3D val="0"/>
            <c:spPr>
              <a:solidFill>
                <a:schemeClr val="accent6">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F-E60E-459A-B860-4371DE28FDF5}"/>
              </c:ext>
            </c:extLst>
          </c:dPt>
          <c:dPt>
            <c:idx val="72"/>
            <c:bubble3D val="0"/>
            <c:spPr>
              <a:solidFill>
                <a:schemeClr val="accent1">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1-E60E-459A-B860-4371DE28FDF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INDUSTRY!$H$5:$H$78</c:f>
              <c:strCache>
                <c:ptCount val="73"/>
                <c:pt idx="0">
                  <c:v>Commercial Banks</c:v>
                </c:pt>
                <c:pt idx="1">
                  <c:v>Pharmaceuticals</c:v>
                </c:pt>
                <c:pt idx="2">
                  <c:v>Computers, Office Equipment</c:v>
                </c:pt>
                <c:pt idx="3">
                  <c:v>Telecommunications</c:v>
                </c:pt>
                <c:pt idx="4">
                  <c:v>Insurance: Property and Casualty (Stock)</c:v>
                </c:pt>
                <c:pt idx="5">
                  <c:v>Petroleum Refining</c:v>
                </c:pt>
                <c:pt idx="6">
                  <c:v>Utilities: Gas and Electric</c:v>
                </c:pt>
                <c:pt idx="7">
                  <c:v>Aerospace and Defense</c:v>
                </c:pt>
                <c:pt idx="8">
                  <c:v>Diversified Financials</c:v>
                </c:pt>
                <c:pt idx="9">
                  <c:v>Computer Software</c:v>
                </c:pt>
                <c:pt idx="10">
                  <c:v>Motor Vehicles and Parts</c:v>
                </c:pt>
                <c:pt idx="11">
                  <c:v>Entertainment</c:v>
                </c:pt>
                <c:pt idx="12">
                  <c:v>Semiconductors and Other Electronic Components</c:v>
                </c:pt>
                <c:pt idx="13">
                  <c:v>Airlines</c:v>
                </c:pt>
                <c:pt idx="14">
                  <c:v>Chemicals</c:v>
                </c:pt>
                <c:pt idx="15">
                  <c:v>Internet Services and Retailing</c:v>
                </c:pt>
                <c:pt idx="16">
                  <c:v>Specialty Retailers: Other</c:v>
                </c:pt>
                <c:pt idx="17">
                  <c:v>General Merchandisers</c:v>
                </c:pt>
                <c:pt idx="18">
                  <c:v>Insurance: Life, Health (stock)</c:v>
                </c:pt>
                <c:pt idx="19">
                  <c:v>Food Consumer Products</c:v>
                </c:pt>
                <c:pt idx="20">
                  <c:v>Network and Other Communications Equipment</c:v>
                </c:pt>
                <c:pt idx="21">
                  <c:v>Financial Data Services</c:v>
                </c:pt>
                <c:pt idx="22">
                  <c:v>Food and Drug Stores</c:v>
                </c:pt>
                <c:pt idx="23">
                  <c:v>Information Technology Services</c:v>
                </c:pt>
                <c:pt idx="24">
                  <c:v>Tobacco</c:v>
                </c:pt>
                <c:pt idx="25">
                  <c:v>Health Care: Insurance and Managed Care</c:v>
                </c:pt>
                <c:pt idx="26">
                  <c:v>Securities</c:v>
                </c:pt>
                <c:pt idx="27">
                  <c:v>Beverages</c:v>
                </c:pt>
                <c:pt idx="28">
                  <c:v>Food Services</c:v>
                </c:pt>
                <c:pt idx="29">
                  <c:v>Medical Products and Equipment</c:v>
                </c:pt>
                <c:pt idx="30">
                  <c:v>Electronics, Electrical Equip.</c:v>
                </c:pt>
                <c:pt idx="31">
                  <c:v>Household and Personal Products</c:v>
                </c:pt>
                <c:pt idx="32">
                  <c:v>Hotels, Casinos, Resorts</c:v>
                </c:pt>
                <c:pt idx="33">
                  <c:v>Real estate</c:v>
                </c:pt>
                <c:pt idx="34">
                  <c:v>Scientific,Photographic and Control Equipment</c:v>
                </c:pt>
                <c:pt idx="35">
                  <c:v>Railroads</c:v>
                </c:pt>
                <c:pt idx="36">
                  <c:v>Miscellaneous</c:v>
                </c:pt>
                <c:pt idx="37">
                  <c:v>Apparel</c:v>
                </c:pt>
                <c:pt idx="38">
                  <c:v>Insurance: Property and Casualty (Mutual)</c:v>
                </c:pt>
                <c:pt idx="39">
                  <c:v>Mail, Package, and Freight Delivery</c:v>
                </c:pt>
                <c:pt idx="40">
                  <c:v>Pipelines</c:v>
                </c:pt>
                <c:pt idx="41">
                  <c:v>Health Care: Pharmacy and Other Services</c:v>
                </c:pt>
                <c:pt idx="42">
                  <c:v>Insurance: Life, Health (Mutual)</c:v>
                </c:pt>
                <c:pt idx="43">
                  <c:v>Wholesalers: Diversified</c:v>
                </c:pt>
                <c:pt idx="44">
                  <c:v>Food Production</c:v>
                </c:pt>
                <c:pt idx="45">
                  <c:v>Construction and Farm Machinery</c:v>
                </c:pt>
                <c:pt idx="46">
                  <c:v>Specialty Retailers: Apparel</c:v>
                </c:pt>
                <c:pt idx="47">
                  <c:v>Packaging, Containers</c:v>
                </c:pt>
                <c:pt idx="48">
                  <c:v>Diversified Outsourcing Services</c:v>
                </c:pt>
                <c:pt idx="49">
                  <c:v>Computer Peripherals</c:v>
                </c:pt>
                <c:pt idx="50">
                  <c:v>Homebuilders</c:v>
                </c:pt>
                <c:pt idx="51">
                  <c:v>Home Equipment, Furnishings</c:v>
                </c:pt>
                <c:pt idx="52">
                  <c:v>Wholesalers: Health Care</c:v>
                </c:pt>
                <c:pt idx="53">
                  <c:v>Health Care: Medical Facilities</c:v>
                </c:pt>
                <c:pt idx="54">
                  <c:v>Automotive Retailing, Services</c:v>
                </c:pt>
                <c:pt idx="55">
                  <c:v>Transportation Equipment</c:v>
                </c:pt>
                <c:pt idx="56">
                  <c:v>Building Materials, Glass</c:v>
                </c:pt>
                <c:pt idx="57">
                  <c:v>Trucking, Truck Leasing</c:v>
                </c:pt>
                <c:pt idx="58">
                  <c:v>Wholesalers: Electronics and Office Equipment</c:v>
                </c:pt>
                <c:pt idx="59">
                  <c:v>Engineering, Construction</c:v>
                </c:pt>
                <c:pt idx="60">
                  <c:v>Waste Management</c:v>
                </c:pt>
                <c:pt idx="61">
                  <c:v>Advertising, marketing</c:v>
                </c:pt>
                <c:pt idx="62">
                  <c:v>Wholesalers: Food and Grocery</c:v>
                </c:pt>
                <c:pt idx="63">
                  <c:v>Temporary Help</c:v>
                </c:pt>
                <c:pt idx="64">
                  <c:v>Transportation and Logistics</c:v>
                </c:pt>
                <c:pt idx="65">
                  <c:v>Industrial Machinery</c:v>
                </c:pt>
                <c:pt idx="66">
                  <c:v>Education</c:v>
                </c:pt>
                <c:pt idx="67">
                  <c:v>Forest and Paper Products</c:v>
                </c:pt>
                <c:pt idx="68">
                  <c:v>Publishing, Printing</c:v>
                </c:pt>
                <c:pt idx="69">
                  <c:v>Metals</c:v>
                </c:pt>
                <c:pt idx="70">
                  <c:v>Oil and Gas Equipment, Services</c:v>
                </c:pt>
                <c:pt idx="71">
                  <c:v>Energy</c:v>
                </c:pt>
                <c:pt idx="72">
                  <c:v>Mining, Crude-Oil Production</c:v>
                </c:pt>
              </c:strCache>
            </c:strRef>
          </c:cat>
          <c:val>
            <c:numRef>
              <c:f>INDUSTRY!$I$5:$I$78</c:f>
              <c:numCache>
                <c:formatCode>General</c:formatCode>
                <c:ptCount val="73"/>
                <c:pt idx="0">
                  <c:v>129760</c:v>
                </c:pt>
                <c:pt idx="1">
                  <c:v>68273</c:v>
                </c:pt>
                <c:pt idx="2">
                  <c:v>58433</c:v>
                </c:pt>
                <c:pt idx="3">
                  <c:v>48637</c:v>
                </c:pt>
                <c:pt idx="4">
                  <c:v>44803</c:v>
                </c:pt>
                <c:pt idx="5">
                  <c:v>31888</c:v>
                </c:pt>
                <c:pt idx="6">
                  <c:v>30015</c:v>
                </c:pt>
                <c:pt idx="7">
                  <c:v>28742</c:v>
                </c:pt>
                <c:pt idx="8">
                  <c:v>28548</c:v>
                </c:pt>
                <c:pt idx="9">
                  <c:v>26457</c:v>
                </c:pt>
                <c:pt idx="10">
                  <c:v>25898</c:v>
                </c:pt>
                <c:pt idx="11">
                  <c:v>25686</c:v>
                </c:pt>
                <c:pt idx="12">
                  <c:v>24721</c:v>
                </c:pt>
                <c:pt idx="13">
                  <c:v>23800</c:v>
                </c:pt>
                <c:pt idx="14">
                  <c:v>22628</c:v>
                </c:pt>
                <c:pt idx="15">
                  <c:v>22232</c:v>
                </c:pt>
                <c:pt idx="16">
                  <c:v>20560</c:v>
                </c:pt>
                <c:pt idx="17">
                  <c:v>20137</c:v>
                </c:pt>
                <c:pt idx="18">
                  <c:v>19731</c:v>
                </c:pt>
                <c:pt idx="19">
                  <c:v>19263</c:v>
                </c:pt>
                <c:pt idx="20">
                  <c:v>18907</c:v>
                </c:pt>
                <c:pt idx="21">
                  <c:v>17456</c:v>
                </c:pt>
                <c:pt idx="22">
                  <c:v>16759</c:v>
                </c:pt>
                <c:pt idx="23">
                  <c:v>16402</c:v>
                </c:pt>
                <c:pt idx="24">
                  <c:v>15467</c:v>
                </c:pt>
                <c:pt idx="25">
                  <c:v>15019</c:v>
                </c:pt>
                <c:pt idx="26">
                  <c:v>14255</c:v>
                </c:pt>
                <c:pt idx="27">
                  <c:v>11698</c:v>
                </c:pt>
                <c:pt idx="28">
                  <c:v>10873</c:v>
                </c:pt>
                <c:pt idx="29">
                  <c:v>10834</c:v>
                </c:pt>
                <c:pt idx="30">
                  <c:v>10345</c:v>
                </c:pt>
                <c:pt idx="31">
                  <c:v>10139</c:v>
                </c:pt>
                <c:pt idx="32">
                  <c:v>9824</c:v>
                </c:pt>
                <c:pt idx="33">
                  <c:v>9480</c:v>
                </c:pt>
                <c:pt idx="34">
                  <c:v>9346</c:v>
                </c:pt>
                <c:pt idx="35">
                  <c:v>9005</c:v>
                </c:pt>
                <c:pt idx="36">
                  <c:v>8591</c:v>
                </c:pt>
                <c:pt idx="37">
                  <c:v>8236</c:v>
                </c:pt>
                <c:pt idx="38">
                  <c:v>8031</c:v>
                </c:pt>
                <c:pt idx="39">
                  <c:v>5894</c:v>
                </c:pt>
                <c:pt idx="40">
                  <c:v>5814</c:v>
                </c:pt>
                <c:pt idx="41">
                  <c:v>5644</c:v>
                </c:pt>
                <c:pt idx="42">
                  <c:v>5601</c:v>
                </c:pt>
                <c:pt idx="43">
                  <c:v>5193</c:v>
                </c:pt>
                <c:pt idx="44">
                  <c:v>4989</c:v>
                </c:pt>
                <c:pt idx="45">
                  <c:v>4981</c:v>
                </c:pt>
                <c:pt idx="46">
                  <c:v>4583</c:v>
                </c:pt>
                <c:pt idx="47">
                  <c:v>4445</c:v>
                </c:pt>
                <c:pt idx="48">
                  <c:v>4305</c:v>
                </c:pt>
                <c:pt idx="49">
                  <c:v>3975</c:v>
                </c:pt>
                <c:pt idx="50">
                  <c:v>3539</c:v>
                </c:pt>
                <c:pt idx="51">
                  <c:v>3388</c:v>
                </c:pt>
                <c:pt idx="52">
                  <c:v>3361</c:v>
                </c:pt>
                <c:pt idx="53">
                  <c:v>2983</c:v>
                </c:pt>
                <c:pt idx="54">
                  <c:v>2550</c:v>
                </c:pt>
                <c:pt idx="55">
                  <c:v>2438</c:v>
                </c:pt>
                <c:pt idx="56">
                  <c:v>2222</c:v>
                </c:pt>
                <c:pt idx="57">
                  <c:v>1910</c:v>
                </c:pt>
                <c:pt idx="58">
                  <c:v>1857</c:v>
                </c:pt>
                <c:pt idx="59">
                  <c:v>1765</c:v>
                </c:pt>
                <c:pt idx="60">
                  <c:v>1718</c:v>
                </c:pt>
                <c:pt idx="61">
                  <c:v>1549</c:v>
                </c:pt>
                <c:pt idx="62">
                  <c:v>1166</c:v>
                </c:pt>
                <c:pt idx="63">
                  <c:v>1000</c:v>
                </c:pt>
                <c:pt idx="64">
                  <c:v>895</c:v>
                </c:pt>
                <c:pt idx="65">
                  <c:v>605</c:v>
                </c:pt>
                <c:pt idx="66">
                  <c:v>69</c:v>
                </c:pt>
                <c:pt idx="67">
                  <c:v>-5</c:v>
                </c:pt>
                <c:pt idx="68">
                  <c:v>-1339</c:v>
                </c:pt>
                <c:pt idx="69">
                  <c:v>-2241</c:v>
                </c:pt>
                <c:pt idx="70">
                  <c:v>-4047</c:v>
                </c:pt>
                <c:pt idx="71">
                  <c:v>-13038</c:v>
                </c:pt>
                <c:pt idx="72">
                  <c:v>-124555</c:v>
                </c:pt>
              </c:numCache>
            </c:numRef>
          </c:val>
          <c:extLst>
            <c:ext xmlns:c16="http://schemas.microsoft.com/office/drawing/2014/chart" uri="{C3380CC4-5D6E-409C-BE32-E72D297353CC}">
              <c16:uniqueId val="{00000092-E60E-459A-B860-4371DE28FDF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[fortune1000_Dashboard_001.xlsm]Company_Pivot!PivotTable20</c:name>
    <c:fmtId val="2"/>
  </c:pivotSource>
  <c:chart>
    <c:title>
      <c:tx>
        <c:rich>
          <a:bodyPr rot="0" spcFirstLastPara="1" vertOverflow="ellipsis" vert="horz" wrap="square" anchor="ctr" anchorCtr="1"/>
          <a:lstStyle/>
          <a:p>
            <a:pPr algn="ctr" rtl="0">
              <a:defRPr lang="en-US" sz="1400" b="1" i="0" u="none" strike="noStrike" kern="1200" cap="all"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sz="1400" b="1" i="0" u="none" strike="noStrike" kern="1200" cap="all"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rPr>
              <a:t>Top 10 Companies by Revenue</a:t>
            </a:r>
          </a:p>
        </c:rich>
      </c:tx>
      <c:overlay val="0"/>
      <c:spPr>
        <a:noFill/>
        <a:ln>
          <a:noFill/>
        </a:ln>
        <a:effectLst/>
      </c:spPr>
      <c:txPr>
        <a:bodyPr rot="0" spcFirstLastPara="1" vertOverflow="ellipsis" vert="horz" wrap="square" anchor="ctr" anchorCtr="1"/>
        <a:lstStyle/>
        <a:p>
          <a:pPr algn="ctr" rtl="0">
            <a:defRPr lang="en-US" sz="1400" b="1" i="0" u="none" strike="noStrike" kern="1200" cap="all"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Company_Pivot!$R$3</c:f>
              <c:strCache>
                <c:ptCount val="1"/>
                <c:pt idx="0">
                  <c:v>Sum of Revenue</c:v>
                </c:pt>
              </c:strCache>
            </c:strRef>
          </c:tx>
          <c:spPr>
            <a:solidFill>
              <a:schemeClr val="accent6">
                <a:lumMod val="75000"/>
              </a:schemeClr>
            </a:solidFill>
            <a:ln>
              <a:noFill/>
            </a:ln>
            <a:effectLst/>
          </c:spPr>
          <c:invertIfNegative val="0"/>
          <c:cat>
            <c:strRef>
              <c:f>Company_Pivot!$Q$4:$Q$14</c:f>
              <c:strCache>
                <c:ptCount val="10"/>
                <c:pt idx="0">
                  <c:v>AT&amp;T</c:v>
                </c:pt>
                <c:pt idx="1">
                  <c:v>Ford Motor</c:v>
                </c:pt>
                <c:pt idx="2">
                  <c:v>General Motors</c:v>
                </c:pt>
                <c:pt idx="3">
                  <c:v>CVS Health</c:v>
                </c:pt>
                <c:pt idx="4">
                  <c:v>UnitedHealth Group</c:v>
                </c:pt>
                <c:pt idx="5">
                  <c:v>McKesson</c:v>
                </c:pt>
                <c:pt idx="6">
                  <c:v>Berkshire Hathaway</c:v>
                </c:pt>
                <c:pt idx="7">
                  <c:v>Apple</c:v>
                </c:pt>
                <c:pt idx="8">
                  <c:v>Exxon Mobil</c:v>
                </c:pt>
                <c:pt idx="9">
                  <c:v>Walmart</c:v>
                </c:pt>
              </c:strCache>
            </c:strRef>
          </c:cat>
          <c:val>
            <c:numRef>
              <c:f>Company_Pivot!$R$4:$R$14</c:f>
              <c:numCache>
                <c:formatCode>#,##0</c:formatCode>
                <c:ptCount val="10"/>
                <c:pt idx="0">
                  <c:v>146801</c:v>
                </c:pt>
                <c:pt idx="1">
                  <c:v>149558</c:v>
                </c:pt>
                <c:pt idx="2">
                  <c:v>152356</c:v>
                </c:pt>
                <c:pt idx="3">
                  <c:v>153290</c:v>
                </c:pt>
                <c:pt idx="4">
                  <c:v>157107</c:v>
                </c:pt>
                <c:pt idx="5">
                  <c:v>181241</c:v>
                </c:pt>
                <c:pt idx="6">
                  <c:v>210821</c:v>
                </c:pt>
                <c:pt idx="7">
                  <c:v>233715</c:v>
                </c:pt>
                <c:pt idx="8">
                  <c:v>246204</c:v>
                </c:pt>
                <c:pt idx="9">
                  <c:v>482130</c:v>
                </c:pt>
              </c:numCache>
            </c:numRef>
          </c:val>
          <c:extLst>
            <c:ext xmlns:c16="http://schemas.microsoft.com/office/drawing/2014/chart" uri="{C3380CC4-5D6E-409C-BE32-E72D297353CC}">
              <c16:uniqueId val="{00000000-375D-4DDB-B384-DD9D55458996}"/>
            </c:ext>
          </c:extLst>
        </c:ser>
        <c:ser>
          <c:idx val="1"/>
          <c:order val="1"/>
          <c:tx>
            <c:strRef>
              <c:f>Company_Pivot!$S$3</c:f>
              <c:strCache>
                <c:ptCount val="1"/>
                <c:pt idx="0">
                  <c:v>Sum of Profits</c:v>
                </c:pt>
              </c:strCache>
            </c:strRef>
          </c:tx>
          <c:spPr>
            <a:solidFill>
              <a:schemeClr val="accent6">
                <a:lumMod val="60000"/>
                <a:lumOff val="40000"/>
              </a:schemeClr>
            </a:solidFill>
            <a:ln>
              <a:noFill/>
            </a:ln>
            <a:effectLst/>
          </c:spPr>
          <c:invertIfNegative val="0"/>
          <c:cat>
            <c:strRef>
              <c:f>Company_Pivot!$Q$4:$Q$14</c:f>
              <c:strCache>
                <c:ptCount val="10"/>
                <c:pt idx="0">
                  <c:v>AT&amp;T</c:v>
                </c:pt>
                <c:pt idx="1">
                  <c:v>Ford Motor</c:v>
                </c:pt>
                <c:pt idx="2">
                  <c:v>General Motors</c:v>
                </c:pt>
                <c:pt idx="3">
                  <c:v>CVS Health</c:v>
                </c:pt>
                <c:pt idx="4">
                  <c:v>UnitedHealth Group</c:v>
                </c:pt>
                <c:pt idx="5">
                  <c:v>McKesson</c:v>
                </c:pt>
                <c:pt idx="6">
                  <c:v>Berkshire Hathaway</c:v>
                </c:pt>
                <c:pt idx="7">
                  <c:v>Apple</c:v>
                </c:pt>
                <c:pt idx="8">
                  <c:v>Exxon Mobil</c:v>
                </c:pt>
                <c:pt idx="9">
                  <c:v>Walmart</c:v>
                </c:pt>
              </c:strCache>
            </c:strRef>
          </c:cat>
          <c:val>
            <c:numRef>
              <c:f>Company_Pivot!$S$4:$S$14</c:f>
              <c:numCache>
                <c:formatCode>#,##0</c:formatCode>
                <c:ptCount val="10"/>
                <c:pt idx="0">
                  <c:v>13345</c:v>
                </c:pt>
                <c:pt idx="1">
                  <c:v>7373</c:v>
                </c:pt>
                <c:pt idx="2">
                  <c:v>9687</c:v>
                </c:pt>
                <c:pt idx="3">
                  <c:v>5237</c:v>
                </c:pt>
                <c:pt idx="4">
                  <c:v>5813</c:v>
                </c:pt>
                <c:pt idx="5">
                  <c:v>1476</c:v>
                </c:pt>
                <c:pt idx="6">
                  <c:v>24083</c:v>
                </c:pt>
                <c:pt idx="7">
                  <c:v>53394</c:v>
                </c:pt>
                <c:pt idx="8">
                  <c:v>16150</c:v>
                </c:pt>
                <c:pt idx="9">
                  <c:v>14694</c:v>
                </c:pt>
              </c:numCache>
            </c:numRef>
          </c:val>
          <c:extLst>
            <c:ext xmlns:c16="http://schemas.microsoft.com/office/drawing/2014/chart" uri="{C3380CC4-5D6E-409C-BE32-E72D297353CC}">
              <c16:uniqueId val="{00000001-375D-4DDB-B384-DD9D55458996}"/>
            </c:ext>
          </c:extLst>
        </c:ser>
        <c:dLbls>
          <c:showLegendKey val="0"/>
          <c:showVal val="0"/>
          <c:showCatName val="0"/>
          <c:showSerName val="0"/>
          <c:showPercent val="0"/>
          <c:showBubbleSize val="0"/>
        </c:dLbls>
        <c:gapWidth val="47"/>
        <c:axId val="540613408"/>
        <c:axId val="540613736"/>
      </c:barChart>
      <c:catAx>
        <c:axId val="5406134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40613736"/>
        <c:crosses val="autoZero"/>
        <c:auto val="1"/>
        <c:lblAlgn val="ctr"/>
        <c:lblOffset val="100"/>
        <c:noMultiLvlLbl val="0"/>
      </c:catAx>
      <c:valAx>
        <c:axId val="540613736"/>
        <c:scaling>
          <c:orientation val="minMax"/>
          <c:max val="50000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40613408"/>
        <c:crosses val="autoZero"/>
        <c:crossBetween val="between"/>
        <c:majorUnit val="100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[fortune1000_Dashboard_001.xlsm]Company_Pivot!PivotTable2</c:name>
    <c:fmtId val="2"/>
  </c:pivotSource>
  <c:chart>
    <c:title>
      <c:tx>
        <c:rich>
          <a:bodyPr rot="0" spcFirstLastPara="1" vertOverflow="ellipsis" vert="horz" wrap="square" anchor="ctr" anchorCtr="1"/>
          <a:lstStyle/>
          <a:p>
            <a:pPr>
              <a:defRPr lang="en-US" sz="1400" b="1" i="0" u="none" strike="noStrike" kern="1200" cap="all"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sz="1400" b="1" i="0" u="none" strike="noStrike" kern="1200" cap="all" spc="0" baseline="0" dirty="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rPr>
              <a:t>Top 10 Companies by Profit</a:t>
            </a:r>
          </a:p>
        </c:rich>
      </c:tx>
      <c:overlay val="0"/>
      <c:spPr>
        <a:noFill/>
        <a:ln>
          <a:noFill/>
        </a:ln>
        <a:effectLst/>
      </c:spPr>
      <c:txPr>
        <a:bodyPr rot="0" spcFirstLastPara="1" vertOverflow="ellipsis" vert="horz" wrap="square" anchor="ctr" anchorCtr="1"/>
        <a:lstStyle/>
        <a:p>
          <a:pPr>
            <a:defRPr lang="en-US" sz="1400" b="1" i="0" u="none" strike="noStrike" kern="1200" cap="all"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Company_Pivot!$J$3</c:f>
              <c:strCache>
                <c:ptCount val="1"/>
                <c:pt idx="0">
                  <c:v>Total</c:v>
                </c:pt>
              </c:strCache>
            </c:strRef>
          </c:tx>
          <c:spPr>
            <a:solidFill>
              <a:schemeClr val="accent1"/>
            </a:solidFill>
            <a:ln>
              <a:noFill/>
            </a:ln>
            <a:effectLst/>
          </c:spPr>
          <c:invertIfNegative val="0"/>
          <c:cat>
            <c:strRef>
              <c:f>Company_Pivot!$I$4:$I$14</c:f>
              <c:strCache>
                <c:ptCount val="10"/>
                <c:pt idx="0">
                  <c:v>Apple</c:v>
                </c:pt>
                <c:pt idx="1">
                  <c:v>J.P. Morgan Chase</c:v>
                </c:pt>
                <c:pt idx="2">
                  <c:v>Berkshire Hathaway</c:v>
                </c:pt>
                <c:pt idx="3">
                  <c:v>Wells Fargo</c:v>
                </c:pt>
                <c:pt idx="4">
                  <c:v>Gilead Sciences</c:v>
                </c:pt>
                <c:pt idx="5">
                  <c:v>Verizon</c:v>
                </c:pt>
                <c:pt idx="6">
                  <c:v>Citigroup</c:v>
                </c:pt>
                <c:pt idx="7">
                  <c:v>Alphabet</c:v>
                </c:pt>
                <c:pt idx="8">
                  <c:v>Exxon Mobil</c:v>
                </c:pt>
                <c:pt idx="9">
                  <c:v>Bank of America Corp.</c:v>
                </c:pt>
              </c:strCache>
            </c:strRef>
          </c:cat>
          <c:val>
            <c:numRef>
              <c:f>Company_Pivot!$J$4:$J$14</c:f>
              <c:numCache>
                <c:formatCode>#,##0</c:formatCode>
                <c:ptCount val="10"/>
                <c:pt idx="0">
                  <c:v>53394</c:v>
                </c:pt>
                <c:pt idx="1">
                  <c:v>24442</c:v>
                </c:pt>
                <c:pt idx="2">
                  <c:v>24083</c:v>
                </c:pt>
                <c:pt idx="3">
                  <c:v>22894</c:v>
                </c:pt>
                <c:pt idx="4">
                  <c:v>18108</c:v>
                </c:pt>
                <c:pt idx="5">
                  <c:v>17879</c:v>
                </c:pt>
                <c:pt idx="6">
                  <c:v>17242</c:v>
                </c:pt>
                <c:pt idx="7">
                  <c:v>16348</c:v>
                </c:pt>
                <c:pt idx="8">
                  <c:v>16150</c:v>
                </c:pt>
                <c:pt idx="9">
                  <c:v>15888</c:v>
                </c:pt>
              </c:numCache>
            </c:numRef>
          </c:val>
          <c:extLst>
            <c:ext xmlns:c16="http://schemas.microsoft.com/office/drawing/2014/chart" uri="{C3380CC4-5D6E-409C-BE32-E72D297353CC}">
              <c16:uniqueId val="{00000000-25A6-4D21-9EC5-CBF088EDE9AF}"/>
            </c:ext>
          </c:extLst>
        </c:ser>
        <c:dLbls>
          <c:showLegendKey val="0"/>
          <c:showVal val="0"/>
          <c:showCatName val="0"/>
          <c:showSerName val="0"/>
          <c:showPercent val="0"/>
          <c:showBubbleSize val="0"/>
        </c:dLbls>
        <c:gapWidth val="219"/>
        <c:overlap val="-27"/>
        <c:axId val="549496784"/>
        <c:axId val="549497112"/>
      </c:barChart>
      <c:catAx>
        <c:axId val="549496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497112"/>
        <c:crosses val="autoZero"/>
        <c:auto val="1"/>
        <c:lblAlgn val="ctr"/>
        <c:lblOffset val="100"/>
        <c:noMultiLvlLbl val="0"/>
      </c:catAx>
      <c:valAx>
        <c:axId val="549497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496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[fortune1000_Dashboard_001.xlsm]Company_Pivot!PivotTable23</c:name>
    <c:fmtId val="5"/>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 of Profit by Company</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Company_Pivot!$M$3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3CD-435C-B21F-2BD622B6AC6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3CD-435C-B21F-2BD622B6AC6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3CD-435C-B21F-2BD622B6AC6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3CD-435C-B21F-2BD622B6AC6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B3CD-435C-B21F-2BD622B6AC68}"/>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B3CD-435C-B21F-2BD622B6AC68}"/>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B3CD-435C-B21F-2BD622B6AC68}"/>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B3CD-435C-B21F-2BD622B6AC68}"/>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B3CD-435C-B21F-2BD622B6AC68}"/>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B3CD-435C-B21F-2BD622B6AC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Company_Pivot!$L$4:$L$14</c:f>
              <c:strCache>
                <c:ptCount val="10"/>
                <c:pt idx="0">
                  <c:v>Apple</c:v>
                </c:pt>
                <c:pt idx="1">
                  <c:v>J.P. Morgan Chase</c:v>
                </c:pt>
                <c:pt idx="2">
                  <c:v>Berkshire Hathaway</c:v>
                </c:pt>
                <c:pt idx="3">
                  <c:v>Wells Fargo</c:v>
                </c:pt>
                <c:pt idx="4">
                  <c:v>Gilead Sciences</c:v>
                </c:pt>
                <c:pt idx="5">
                  <c:v>Verizon</c:v>
                </c:pt>
                <c:pt idx="6">
                  <c:v>Citigroup</c:v>
                </c:pt>
                <c:pt idx="7">
                  <c:v>Alphabet</c:v>
                </c:pt>
                <c:pt idx="8">
                  <c:v>Exxon Mobil</c:v>
                </c:pt>
                <c:pt idx="9">
                  <c:v>Bank of America Corp.</c:v>
                </c:pt>
              </c:strCache>
            </c:strRef>
          </c:cat>
          <c:val>
            <c:numRef>
              <c:f>Company_Pivot!$M$4:$M$14</c:f>
              <c:numCache>
                <c:formatCode>#,##0</c:formatCode>
                <c:ptCount val="10"/>
                <c:pt idx="0">
                  <c:v>53394</c:v>
                </c:pt>
                <c:pt idx="1">
                  <c:v>24442</c:v>
                </c:pt>
                <c:pt idx="2">
                  <c:v>24083</c:v>
                </c:pt>
                <c:pt idx="3">
                  <c:v>22894</c:v>
                </c:pt>
                <c:pt idx="4">
                  <c:v>18108</c:v>
                </c:pt>
                <c:pt idx="5">
                  <c:v>17879</c:v>
                </c:pt>
                <c:pt idx="6">
                  <c:v>17242</c:v>
                </c:pt>
                <c:pt idx="7">
                  <c:v>16348</c:v>
                </c:pt>
                <c:pt idx="8">
                  <c:v>16150</c:v>
                </c:pt>
                <c:pt idx="9">
                  <c:v>15888</c:v>
                </c:pt>
              </c:numCache>
            </c:numRef>
          </c:val>
          <c:extLst>
            <c:ext xmlns:c16="http://schemas.microsoft.com/office/drawing/2014/chart" uri="{C3380CC4-5D6E-409C-BE32-E72D297353CC}">
              <c16:uniqueId val="{00000014-B3CD-435C-B21F-2BD622B6AC6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kern="1200" cap="all"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rPr>
              <a:t>Profit</a:t>
            </a:r>
            <a:r>
              <a:rPr lang="en-US" sz="1400" b="0" i="0" u="none" strike="noStrike" kern="1200" cap="all" spc="0" baseline="0">
                <a:solidFill>
                  <a:sysClr val="windowText" lastClr="000000">
                    <a:lumMod val="65000"/>
                    <a:lumOff val="35000"/>
                  </a:sysClr>
                </a:solidFill>
                <a:latin typeface="Calibri" panose="020F0502020204030204"/>
                <a:ea typeface="+mn-ea"/>
                <a:cs typeface="Segoe UI Semibold" panose="020B0702040204020203" pitchFamily="34" charset="0"/>
              </a:rPr>
              <a:t> </a:t>
            </a:r>
            <a:r>
              <a:rPr lang="en-US" sz="1400" b="1" i="0" u="none" strike="noStrike" kern="1200" cap="all"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rPr>
              <a:t>by</a:t>
            </a:r>
            <a:r>
              <a:rPr lang="en-US" sz="1400" b="0" i="0" u="none" strike="noStrike" baseline="0">
                <a:solidFill>
                  <a:sysClr val="windowText" lastClr="000000">
                    <a:lumMod val="65000"/>
                    <a:lumOff val="35000"/>
                  </a:sysClr>
                </a:solidFill>
                <a:latin typeface="Calibri" panose="020F0502020204030204"/>
              </a:rPr>
              <a:t> </a:t>
            </a:r>
            <a:r>
              <a:rPr lang="en-US" sz="1400" b="1" i="0" u="none" strike="noStrike" kern="1200" cap="all"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rPr>
              <a:t>State</a:t>
            </a:r>
          </a:p>
        </cx:rich>
      </cx:tx>
    </cx:title>
    <cx:plotArea>
      <cx:plotAreaRegion>
        <cx:series layoutId="regionMap" uniqueId="{DAE34C9A-BDEB-45AA-B39B-797098299E21}">
          <cx:dataId val="0"/>
          <cx:layoutPr>
            <cx:geography cultureLanguage="en-US" cultureRegion="US" attribution="Powered by Bing">
              <cx:geoCache provider="{E9337A44-BEBE-4D9F-B70C-5C5E7DAFC167}">
                <cx:binary>1HtZc+Q2su5fcfTzRRsAAQKYGJ+Iy6UWVqmkllrq5YWhVsvcCS4AuPz6k1Wy3W3ZxxMz90Tc8AvE
IvZM5Jf5Jah/Ps3/eKqfH4cf5qZux388zT+9yY3p/vHjj+NT/tw8jm+b4mnQo/7ZvH3SzY/655+L
p+cfvw6PU9FmP1JM2I9P+eNgnuc3//VPGC171kf99GgK3b6zz8Ny+zza2ox/UfenVT88fm2KNipG
MxRPhvz05vTpzQ/PrSnM8n7pnn9687v6Nz/8+HqUP8z4Qw2LMvYr9GX0rfIEltiTnoexkOTND7Vu
s1+qkeBvfYJ9xaTklHsK+7/OfXpsoP/pefrhkx6qX9/+2You63n8+nV4HkfYzOXv9z1/t/6X7T1p
25qzxDIQ3k9v7tvCPH/94c48mufxzQ/FqMOXBqE+b+L+7rLrH38v8//656sXIIdXb75Ty2uh/auq
P2ol/CsZ/Hta8fhbkLXHKSO+UpRI+Uor6i2R3BMKU+lR7BHv17l/0YoeTP5D+Djoumgff637N3Tz
qv9rDcFW/4Ya2h//ShL/noYYfksIqEh4Qiiq/NcakqAhLoUvBMZE8T9oaF+DZnQx/tWK/txuvvV8
pZXz9v6GWgn/71/J4N/TiifeUs4JxpRjyhhhr9CMEAVwJjj1iPI8rjywqxckfbGb8LEuftZDW/wH
NvN931eaOW/xb6iZ7f+mZuhbn51dDFgKEz73AbG+9zPSe8sY41wQqRQo7rWf2T7rIftP1PJbx1c6
OW/ub6CTv17i91HA71r+m1GAp94yxRUBDShKJSfg5b/XjpJvFehFUh8zJTHz1e/t5pV//p+X9eeQ
9qr773by93D+7z/+KpA/c7L/JoiRt8yngnNw7JQJLF7pQr31wI48DJ7FlwBi7NepXzDs/fP8+B+4
lV+6vbKS877+huo4xb/K5P9dHYy85VRQQSiogp99+R/0IQkhEEBTCKNfIujvfcrp+cvwOFb/gUf5
1vOVVs7b+ztqJflf1ArEX54UQvrSB3fOzp78e8QS7K0vfEUww/jMWij/de5vvCV5Hsbn5df3f3ZS
/hyuzpzn176vNQNb/P+hmf+Z1/xG/qJH8xhfWON31Oava3/lRK+6/hX5fDn5+68/veFcgZf4jYye
x/gXsda3Xs+Po/npDSKEnbUMAZvymcc5Ayicnl+qKHvLMMdKKJ8wygXovz2zlgulxURSBcqn4kKP
3vwwanuu8ijwKg8CEIml9IRU5DemfqPrJdPtbwL55fcPrW1udNGa8ac3FPbTvTS7LBXDsgglcAIF
4DGjDM5Y9/R4C9kAaE3+j1k93fXWzqd28lRMNN50ZmZHh7t5m3W5u9dsbveWFTLqCy4jNPAhIKbo
tkVq71yqm/cNrp+yRh/drPJN6rWnws+jPo9KTtvrBiuUpGz5XCDZbfOhdvtZsd2ouvtJyvm6LZf5
Whnpb75TxJ9sjIMLeb0xhhUVQjDMwOuT32+MtUtXqdy6U0a9ZjupMqSGPa1s4LvcZO1RC5FHpLHl
th1QGlo7yuMwzeTU5ezZ5Gt3ULO71n43X1FStzvPIrOR1PlXQ9XFeBrsjShyFio2VTsyZy4YZFpf
pTL96qqp2OG5vdXCkvei0UNI6OjitOzcoZCt2fq4/dnofDoMvqTBwkyM2n7aZ64tD56dykNlRhvO
YhTbZamy2J9JevDy6SZFSEZj6rx7OysZKMHyQx7zFmX7dpHozl87b9eyxYVZNhT/QqY+nNU/yBQg
SQJb5JBwofiVTAuRS18t5pSti9k4mxcb5ZiNMyOy9y7DIe/WJUErg8UWqNi2XfnZ6OmrZNm4LVRP
D6PpNnVa4WvnrLcz2ti49R0N+nI7zAO/K/26uiXZEICg6T2Ec30wpPxjVhuXuNqfAte59pDNOM6Y
XNtgKtegLfD0voLYO8j98m6u89YP6iortnXekUDQRp/YTPJtz9MhAqMjAdKyvnY8jbB1pox6IrJg
oRN57wmQpVpvZO43D0vGIyeaKTK8y68qoq8XZxPRFVVYLKvZ5ZTfVoVcd2VumgdqTj23/dHz6rui
8afkW+FUMSfLUhbhX59x8kfjFQyCKDjlPtgwRFq/14dYUDahrh5PLf9SZas+yGrwQHQl2g25TYMy
pcXBMe5fzY4V22rIYz9t457mB9MPZUJbfrKG4WNh2tjL0VaZSPU9fvjrdULk/btjI4gATiQ8RQFj
oDgfq+8whuM5Y92YtSdM0ZiUFb9q/YbHPJ+KyC6++hfTUcDNP8wHaSUsmPSJuuQDv5+vg/O/9kOu
T9GISH6NyHNvqiVAiPKYDISdFlO1ceGt6q4HgwowGyNfWX1Q2ASZZfhW3HqLyh6Mh5s9njyAM/Gl
7G1QmwI96Lx2QTqk3VanuI1HtYgrvTbDpqNiDUac+lf/Qn5nrPoepEF6FPIBlHnM98/e5PcCFMIr
8qxtihNn3mdR5/lB5HD4Z0kGgKusDzO/wrEQ3MWj69DRAyQ6DKulm9Lvb4uCZpHDeWwIdPIWQMOx
IzeXomLqmbRG7L0CTHAhaxVNeM0O89qacMyHDbUDIDuB3Yl2nTaTZXCq+inp5dCEReNIsiKPJLjo
2WYcRH3CIu2DdC3FB9XoPMzzZCFpfiKlFSQwtbRRY8JMrSNAQDdusm6SQcqr+QpNdUiMwnFL6JwQ
0XkhGu3PZsT5CQ3YhCmhLLJFQY5SpiTolmrdZX49HlLdTkHHTHv6a7nzPx4kSH+Be/R8BSxGsLP9
fXdwsW95y3mKrhYZmnSmAUF8eif58HHKEQCvK2k4DXKKaL58rYgsn72GRLTU02NfCRIOFfOvc1Ti
fTUhtzVUpLflguagOLd1Yzh7aPlqbXVilbefqV9+LrVcgkYu+XWVL8tNXzdVMPAakKj12SMjqQhU
d8t6yaN6GFW8uFWEtF9uyq6Zjmu12ogzhfZZS+4mWrHNQnu2y1fpwrXH7Q5x3G9aNrNd0foxQu20
m9eij5nf1qeMm8ClwydXzd117XXDAxPvBjrOH+TIzRUmENT/Fi3dvJzg30cf4g9HG+JeQARIEQN1
B68CzOR7EfuDLPCQG+/KNGkR9qQmByUtOeBxxn2QFWRbr77cXSouxSzTFIXo3GZAaOk33/qQFD11
azd89+q7JlyUpA8ug38bzY1NGTqxdNHLuJfqtC5hiu9arj5CYVtIFsFJ8YJLdzQNzR7RevNdx0vF
y5SXBeYNTjeKsYeXd95lBd8mX1QFykiFxfsxN9Gf7ulb61/GJV+bTC7JyxrOUrg8fbfYswhf1nSp
eZnUds11SSIyOLvlRuKDPje7NEjZINGL5C81l2K5iP/yyMBkq/6Ug4/fEkfWOB2zI/LSQ0Go2vGo
0KO9cgSgz6nZi0vUpRvjrA0niGMfHF9/XmtTbRZzv6DpZ6cZ2dvKO5Zs/RnPxo/cUrw3Vf5Yz2aN
8mr+0jWYR6V1ZTgJWYXzfLAKd/epFadypFVQj362XYf2Ay0gXNV8vWotjouBZFvbNgdw+F1gSe02
ZYtij6ZekKfaDzoztEHWQ5hQpfRE6aTDZX43IXDn2VAGRU0DM/k2mtKiCFeToqASLMgkqzc0HXQg
8Xw3tQCj1sEYhRQ6xOUzRGdr2KPVi5siYa0Ix4n6H0ZJT37xtS/dyVWivCo8tAe1mU3lDzfE0Wub
qSWuykkE2LRd2PhmiYRF2wbMIGqVLLbU07e5Z8Eh+W4D5vuZ1Z9lM+iIL10XFE6G3BvZtmd5F5as
CpxWClbVlTCYDDs0DEFVdUdd9X48FrkKIGX5cZ1XFEgvqTxxyrIxPyCDm6DWSyy5srvBH+KxHeiR
91kPr6uPVYqDfHRVSOr5a8m7O8oGG2mf3pbZcKV6I6NVNbdrxkDAY7ft1Zhva5egNn2fqi6NsrkI
NZ7i1ronMc/RULfV1pDaxLPuvWuPfa5MF6a687Zm6VCYe3MgxyGckd9uZeaTg8aAjCQCtCn2Q7dD
vX8Yct9PwGMfKouGyOZ1sSnlEPGKgBwEaK+cn4q+vm1Ei66oBJTUzNt1Yt5kBOH9IvoxQjMcsFYO
U5iaY2O1DVrH93OedQFbw2LIzI6UHNx73h97vmz9xaV725cloHoLkjbrEpC5pAEd8yxabQnRTQNQ
XIl70tc6WGnWBqYImnoeQkRHG4tVCxA+nsPB0f0gEA2aCS3hSuefxVQl9fzAePnV13aj58HFnJW3
baaHo+Qi0bhaQj31ctNPNi6p++KJ/FgjXoeouDXg5wNXkWPbV3cOB7LsxqhgbRWQaaEBq3cpIgdT
84e5zPvrqWNhl9sBVOZuht4fIgNMb8X6Lvc6Glrt+3E2dCfEqY11WbigGMl0JTK1cT3LEpWS2JXt
e891WyyLLBp1NwQWMx2Zou6DZW55YBhAa7nWX1fmZEA7M8WzCdcOZ2HXCg5RtzvZxlQBm/Ax89ag
G1C9xYt/gqzisPGFCojMaaAqmSUTWTZtKb44lF0DYNWJHKuHxaIKmF237FrqJUu6tDGvcNJklIdM
1GCkfvaO6XQG0yrjPH1sfGQiD4KNTTbLDbB1k+Cl20g/W07uvSjra2/KYwyAGCxTm4brKqtglHaK
+Vye7Mho2Fg2BCUf3/cO+CBZyREJPQWzAFOe2263QnwZ+ErfQ7C1KUt1P/lZuWlrfSR4bPaG9p/g
DPWB10q586qmD3jTZUE/rQQcNP+EJMhv5q6Ku66iG6aLNGhsjYO5OkpfD7GoGxJoy+4oRKgBuO12
5zAtQop6FJVKPk9jr0NYYRuhQhyADn3hdRPqs6QL7q8xk+gBFR6gn599cIJtgYrNYbcaFbJ1y4vy
au7lFLpMYADIOip1DkRpWdiBt4CTNbCitWTlu1oWsaPLeDPiMioHtrdDWYACvGHr+10VdamtgtQo
tVndGMym1KE11efKuSkAQY6+X4W1+ZCP1X6urAwGwdZgmKshUtacFn6je0T3czqOQdn5YzytM4ly
/51ZqYy9BUijadRhWDobKCXCBddLMNfY2zJiA9H36OCuJyfpoelCoQy/K3C9zQAPw3yospClzRrQ
oblr0xoiUMNsCLxol9ZpuyX8s1XuSG1aBVXrvedUHkUKGl5Nvpcul+GSqioai/WO9kLD5uY+pJrM
G+c9goG5bW2L+wqAM1yGkQYV7bc5RNVrVbRhNzESzVW2beoymBVuo2WwXTCU8HMQ3UNf4dug0+un
VjUBr3QRtKokIfL8j0M/n3KAzq5ZtzaldiNEt+k1y0PbcBkUeV1tpmpKA1ag7VyOTZCieYHckGxj
XKj95BGIoD3vjqA6hwSOBgSgKI8Wbd5b5CGIbFAfNagXG2XUwaQd30Ji4kaU813p1p3W+RV26bNt
q2dixzwgbt7xdW1CQuaPuCVtQHIMdsemPii6nAflbK96kw0Rm6wGbrWGhrcf/KEDkIZDHjjuIn8A
1pTzfp83x1ENGwCYovPY01So3bKk5CPlyMUKs+ngMoVO7ahxeGlxKS4/q7XNrrGfz4eUry6+dDv3
JyCYJ5nB3G5d0a2Z7bzrXC22WZWV7wuDf76MMU7LFdLOfujBn25Yg2kyKYGuF1S34Xoeo5XvXFOb
L35ZFZHmJD/NRo/H2npp5KkBfXLNEF/GEmuzBAJ8+DuKZr0HKtZsbTPpQ5m3OFhF/ShQN3ylDTn4
8MHMR8RIG0uK9BHSLtMVwvkcKWybz8jPNpemIPo6sFUG6ZHcLcDepmqfr+vwbmBwdF9Gc1flMtZP
VKAprDHG17iVJpE5chsCqZb7tFMf+XlebKsrl4r842LxGM84y4+TNfwqq8BldEwtn9esjifi919n
0etgsb29g5DnMANrjpfUqZ1zhLzDNmXBpRlmHzzWsS/LiHDoFe1wvWQzSfho+s2Eh+JBUPlwaclX
diqbnH6wmZzjQszs0KAxO+VRhVgbEeXQ57bRke758FVmxRBg3yvv1DCgLV0WuhPGR+9YT0lw2QvL
wWRwO36ZtWLhsMr82gqtEn9Jq43DgwEGL99fBETq/gbcVf+h5qMXgx1Mh77qhxMXUxlpTIdHrefw
0rTzCxswrfltV6X1ztfM7Vpb9Le1Z0CzZyEqiHZlLtNHxAsVSoLYSXl+dUCoRnEvNX9IVX53aZrZ
7HYqz2mDHst46Lg+NHDuToPXIAjVLHs0tfpFkBJNQbu27pak67iTWd7tyGTwbaqde5l4ck3YWakC
m8EYfGz8yJKlO464ZyezzEuY40Y/TewDWmv66NIcR70b8FHX2pwoZAdfGrToMHis/lLCR1QRQkN6
dAjlpwXWGKaL1z4pDfxyIl8aP+8ixiZ9tbDJu3Ka5NFliiacHRw47JMyqqVZr1JfjFeT9ZuoLxfx
RU7By1IGC9lVI9SVhI/Drkhnx6jREnzy6NXH1O0urSDk46GBuU56Rt7x0gCrUj4u6PayHj8dcdgu
BT5VNTNHNXIvmtZ1fHQO8n7nPTf56kKtVXpaOlIecS9U1BouPwtQ1qUF5CGGUMqmvwbw5Id8oWVs
9GI+j/P4smuupiYE0kmua6DTB6NEF+eAeJ9yOJWXMUa44g9BQPlNJnlzaM7QdCb3n/xCQ1NYx2pA
PVSl402VeTJZa0zjhdX5p3axm8teUk/ygGp/V5SoAG7Qr4krWhXDYVo+ljPbXsYxiJOgF371ji9D
n2Tgcze+j8qPLmv3l3HyGVIJeTnM70aKsmSRa7/hJZgXhAfJpUWVGRsUYBLv1r5je9rgeVNqP7RU
6AdNspDP6/xYyEpFHC/Foeea3vIeP02omh/BeDDkA/z0WuYQ7eMcUhri3AHT+gh5SX5fUy/dwRWv
2aQ5nT6T8XDpSHk5xwbyGgn48zr2cD5ufNneXyo7LXNIoHb+aeLSnOaONy+jltV6O03Yvi+H0d/z
vmaxrorl0Z8guPGzRzMPzcbiXO9Vjft7Cgm+y/Kxb6YQ0lreVZul8zWpCx5clunc/NlwUd3Z0fOS
Qssyvrxv8w5IpJk+dYuG6KQtzW6aOX1YBdtdlqi9JYumbCHH0hTeDc9y8zKiX8kCYr1avitKnx7c
Alh9GdJPVURrm3+UsyHbFg3rFiu/+ogLFl2GdHO+RHItyAHhIX1nlrYIlA8kDclR3XQtMUE/9uSm
GwvvuJoJhZe9z12+hzTP+qBbDvyMzGJTzmr91GEI7e2y3sA1hw18llbx3A00KUrW3FmJPr2sCr6T
CNJCT9e44OxKIrgXuFSM+XqqMtHeu9Xv9kZVwHFnWz0aHFxWa9eJx/1Y8H1e6yzQNIUcMdW3L9IZ
bRsOWTcClqfixPMxfxl1IPZ+gsTonSBTncxePb0osEYHCo7+s8x6u/G8Fo7MrP17ORRAT0HBiCAS
Xo6Yzab0+nLsFgnUkJZbTPOn2YHrzkg1J4rRIfYgJDCpFIHuahsYW3f7ofQ/I1J2u8bj/ZXOMwhN
Ws9tfabFVVf5fCPFsgISOvCq9lZhrvel8EwwYSCr8A3WdsIsDwZl6xAiP3ldmvV2MQO70mqMsezU
tgUGCy7mi79U6IYWbI29yeehGycWqdlfIrh++SxkB9czpCDA7KS+11Lti3KagybtvWR2cje0wAEL
YcSV8IBVZ8zSUBVw8bZSd4dq9hnSGLu6lPzB0jwLKXVuZ31DN7kAGx15N8e5G2yymqo/pL3oXoqs
oWUgIJ90VlqbCFmICs4TPM6cN4l19DDMfb6VRdok396/bndpfCk80vzSd7Ys32bterh0uwxwabG6
Aea4PH57CTCuQi04CywrEXAnVumkclkdsE6EDo2QLpDjcgVj6XD2UR27qn1oBYP8SwEMKEdm3Wpp
Hor8YwM3XBAQN3U0+K5LRsu6pD8XlcUQ63YOYv62mhKSjlMymQKEi1HE5coDCSLa1P6jMHjZI0VM
oofaBCvTXexsbcEJzGUs3bVg1n9p4JbKJJU2JmnOxeWpOmBITu28md5V9RTyMR8Tg581QrChvOh0
cikW1QcrV3kAtzF0oyYT57ZZ4qJ3H4sx0wdRAAFI62AU4xQz3l83wjuKbBi3F/GAlY0xraYy0NWQ
Bj4CwlD27v6yOciOdknTBA3uADkmvSaGfakMjIqAqWxaUdwT18HYo3mPy3wOxwo6mGkAWcE3hmtY
GnIsiEaby7tLbTtCiO57XZTbpYraGZL0YuiDthURBApZZ7zwsrDcK1WkO2Bxum5gx2uJMlDaFsKx
92MFr70R3eRN6mJN3YmVRdRYoJZCeTFpmzGR0o5Jt3hjojNwvLrFLkx9myZplVcRZK/4y/l4GZ0P
RieXeZuCqLCcuQ1yZvYkLXcjXBnuVmLbOAOogisWXANZtjbyOaQcyqJGAV8FCn1XjqEzwzvLWrvF
OVyklraet3QURx8tQxMUlUgDuIWGC5FOoc06TA8FKzZC93KnM6USIIvM8CLJcTkkROEhGdwMSUhX
+CGXMwnK891e12nA35IuMck9P0Fz+jSN49dSpE0o7VDB9Zp3Yq7ttoP2r+u1zyI6Tw/ubJH4bJEj
6n95GuDmDFL8aGo3JmcuNpW/7trBe1gL5V+l9dGXVtwg3eeHldYQH5ad3FsY5GqcnAvrUbHN0CPg
6SVncSmKMipIYbepGHaj9acsSKkfUlctW06cij1H7AkVa7nPVvdguF0PpvTqQzuy7nZd+ioqlsy/
4r72NqWH6nCxOQ/hElJsUp16ibPES9LZBGqZIbaYU6DG4BpCtSBvC18TtNfS8k3bQ4I4qyCy7voi
wMv7jE3pTaVVGXt1rWOO6/UWtZBlhHm6ZLCQs63yskjIAjccJe/XoJ4I2XVNTZOcqavFdGLjrynA
ieA50KFe19vRqw4lUOTkUjSzd6NGTIDO0qM8A1heAtx9KypE2nDSaoDtoKesKu6xkiaEACxNkLYP
fo7isZrhsgESIgL3Y4IRmLxwn7msyGaZ6U3u0T4RIwcKLstd7gHRiXuI/MGuXRFMeQUComTYTp4+
NmahybdC+/CNwDrQOUCN/pLmjQpavbRh7suX9U8jWMDsai+wncujrihtcikg5WSTQjwo7eb9CAaa
GFNeF23NNzWdTXJ51f725FQJ32EI/rAiMMB6npc6yAiYYXEu6OKhGIv5Y1bBnThka24aUmCwxKyL
apuWkA4e87p5Oeci9AZAQ6QWl3DkhSZb8X6S1XLgzXysSq0CTFMIjgS40b5W9qW4/MTwDUsNXyhA
DYb0ua8nvZ/OO7kUjYd4lLbtOdmVp8l6LrrM1XHT2jogOPfCdtUn7fB7NQDK5yks4VJILH55Sn97
gsG8oO3hLr8qzZQYn0zJ5YnN6fc/LxW4E1FT+t0u632dXApPFeBX+uY+Y7Tc5EQNyaVoesCxFCK2
l5+Xd7JCcLOeZyxE/TgkqefAGZTNGORSdAHAwb3N/BWuQL0lkOeuFQUoyb1Vh7zp5xAxMe9XB0yS
dN2BKFl3wdxkTQS3bpAalYDtFE+QhoYrULpZJ/3A3AqJGobfpab1IJbo9GEidR6YBfAiO9/BImPg
c4fhfFEKsroUPkTrgcZF8yIS21QKkvgKspTnU3HZSQX/e7FNga5jtGs9aTdzUT1iy8sDd1nUL2Ta
2TNOXWDLgnVGGnKGcBGS3kB6zQZw61HHWT7NCWdsTuBDlxRuA6Y20KvCSVk22b4axxAoEoB2I8DU
aIubX34rWwZZaus9nco2wpBVC1njhU2vusQObVx7KfjinMJht9Srg1pk7SZP7fs6ozpZzrZygYPL
06t3mQ8HUZkeblzhXFijVdzB1wZX5dqU/83ZmS1JimtZ+4k4BmgAbvoC8Nk95iEjbrDIoQRIIITE
+PT/8qg8pyuruqt+6xu39EjLKHcQ0t5rfWvXRpV9mUkt2zO8wsRCZNapV8Zxuvpi3kWN7+DuohkL
NX2SrTRbf67j25mH2wFt7gc8mCZvEsogTLsVd6OYDpPxzgae9GWYqwESsMDPidjzaJVnAornWBi7
rebSvCdNeKlgsT41rJ9P8UhULh9LlswPrV2TmxaMgSbeeKwTGIKkhLdEYYmnXAR2t1RiuZ1Mt2Tc
eW1exDyEQJhws7HhBJtGjSW02JCdA6Z3jeTlXTPJJkb13ri8bAQk5frarkTsBsTLdB9C4d3MsfHz
UU3TPWhetFGBX+xLvmzD1Wvvmr6FSszJXRGbNgsTWDd9VaYRxJcvQUJd2pjrbl3PYcbkKM8BOLE0
WIje8lDJc9SJFe5MHOZjI5InNdbfe7/oLp/voMWjBNTYVFSdyMwmjL7OLc0WLwreB+rxDaEB6Iuw
qV5najafP4+6ES5CWAYHTmT/0jf9TuuaPSSTfusXEeaJJNCUjOP7cAEAE67sqfNZ/wqePzh0VaDy
QbT2VQcry2fRwhS6/m0s/cwwNaekS9qtbcRCUxWU3sHXOJujcelfI14cUc4nXw0NcD/IupGNljvf
dyWknG3VTPODu5G8trefL8R2FeCJOTnURoKU6HTw4bwe8EDDnsRQDGgMUHhYppa7AXY7eo8X47z4
hSy22reTvMBIGTaeLsM7cf3TUq3Npqxmve9pi0eHOXm0ki73peq9LGR8yZZ10TnYL4dLbU02q3pJ
x9oH5tatxTFasQOpYekPfsnCvW3Vj6Yf/HRou+4lGSW8jcpCbKOrl4cE0BlSEOMWdYNLfZyVX0fx
mMhxLzriv8xxdbSzLLOaC/MUhbM6tPPYZyC4oCf7N9Z6DB8iwjES8BmMnF2B/c3uUio1b7hURapq
iaMwcfa+N81wmgNd/CDSNRtrgRJtAjscpt50Lz0MjkFodUvXGtDXTG540j7AmQqfqpK4J15ha6jb
tFpcfejnwd62+BY8Wpq9I649fz7pFSj0U9VuowVW14J/g7uGo659UK0aLiTsL5/vggjQnucbODeR
ST0iyowUa3m792ZFX6NZ7fpVN1+nBDpbMdbiZlTzm5m75QxbFNo34m6HKGbhPbu+rON6ZjV09Man
Eh1LhP3PYJEltXJ3YJ+yAWhFGvT9lFcFX+4JW7vDWMJtK4jMCw1YpF1gaIcFas9ibMmXEGJlWs5+
FnVB+TW2KCWKPoWvPbyBu+L5bC07FonQT0kC2YKb+F1cpQRIld0ZBtGQRU3Ct51kPqyPZfkWK76J
13J9S5IRRJQqm1zEZMg7X9utRxf36BqDHdSs1bdZVHncRfyHV5tZbr1xEjuUZ/FRd26Djax8AwAp
tk1cNsdp8JP7YanRF82vQSLIs2F+BQMRB0FY+uEzK8zPt59/C4cTJilDqahtYR75jM15XugXSuy6
M4UAsnJ9a/r5y9gHIO7C6TfL/PVmLEUqxkTdLoABTnGdoMClUIAZb+QtVMsm472AV1ot0E0g7/r8
W9LAvgfiUT7RAkYAXJJlL/w4elgD/2rDaJNSsk5P7Y4xQX/z3fhVw0x+bdtlzAHvNLdKoEqqktZL
m76Cj7PI+stU9VuwifUzreY3X+o6xfMRf4Q2vjdxaH5MXMOaKYoyXfUe4k9RpVZGKesYtmWtIJEy
WaRyEfa4RJw/FeskNjUqgp0XrWEuIi/YkHmcbisVvKlKrAe6Wneha5QHvO5eOuzsTU2fR86nxwbP
fEuou6080WbeEgcHLCKKuxHrTe/LJh/s4I4L5ezUje5RG/UUGOI2NVnfVahLksYh+hrrqgfr2SDv
h9Hbi7UbX/FvvsiezqkzeDB6WMWZidYiWxz0rSXp0KJRGr+ueo5TajNpCf9C4PA37WE2fnBLjN0p
UfpbQ4sBgmm5J5CS9pCZqozxie7bsfWv56veeE6yTRlClyGFsrdwhdEwjuGcUVm4jW7D6LFfaJJa
3fKjkgSeHtPR0clBHKAerTui2KWWfvlWilqmq/K+loEHj66e0buKxcsX7Mjf7PydzhM82Il0F+JR
nbX9GNzYeniZvbBIY92wcz3Y974P+kcluu5YXPVNHvfsI36bdSd21rHgaQpCdUpcEzy0ODxT7KYK
lW9Lntc1+qi7IPdK7VLOebhZi1AcgpC3ma3remdXCHOxNu4wMhKndZ+gO3Ox2sEWwSHmi+UMVAa6
QqWjHdwvfaFDsqaMepcakPYGfnH30PWk38ZOh9nPO+hClRMRPvHGznmcSPthq3oLGtnbsalUh1hf
r4pPHo2syMGXqjt1BXzcILA5Gdn8UK6zdxO4cff5jvGxgMFa24ttHRCQtS1TmFs5iyryXa76e88C
um1w9zfCVjPaiOhjAhK7phKlWBa1pblxDkaGMeuznQFeBHFF35LxuS3r5cyneAFQab0L8WlzWhZ7
RYn8k23Wf7/0ehd5ww84GXdTXQAs9AhKi2qdT55ezqoM6ufKW6KTB3wuLds6uV3kkNziqVwAfwfa
pmC2fsxM+Vld0nUPm6p+VM2h72187BceHYXvPVoisAqthULKw/VGt/LSMrRidm7LbC1cuZWDWrdh
acL0s5m2zeBOhQoP02STRxV4AGCq6m5ogD3MPLE32KIiHd+oCW1Vd/2G4J+8iylQYJlpU0/Pjb8M
F4gX8Y11UYO+YmQvfVnummRZ07kIugNM4y5fjdWbqsW/dcwkR/y6Z+lPrxWaqpdwFiQtpnYzF6Z7
uzqPH1Vp2pzWE98sdkGF1sBAwLdRF9pNY+qgLxy9aXE71rXfoPDeOlWF95MU8VZCHss7W/u7IWYi
ZROvU8ftsaXGvnAfWrpoyqy5PiajbXUaVma+lwv76ncNv7bw0z0Q++ZEUdpnRRlUudB258b++s2L
Z0Fm0EXgWL8V14rSm/ccAOxGVzTT8T0hJkr7cRy/xjhY+JCUG+hFCnhQUN2t49W/L7zcD9fh2Svq
TWN1haOugKK0apER7H/bspX1mVnySCO4LLzy1tvQq1Q+AcLei2QutgreByx8+9FMMIGGvvkNGg1c
tSBqzlOMaink1YOJuypXtNZ7Fo9T1hJs2Ctn6kQbvaQDEdHB85XeW4SrcO0H4GKrN61pFc5kT0ua
d5FWr6z1IbFAr2+dxJnPXfLVx2Hhl6J57KL6to+sn9ORJ7dVSNyui8rxtOhKnJpA8F2g4aeGA7ws
Pr412giYt406zVGws4nDGVaJL0xEEz5wAerby3XQ2UtVk43ykThJDRnbu7BmQ4aPAP8pQCuEr40P
RZ6FWx34BnHf1TLY4KOrDQSs4KExtf+AB7ifU+ngjFKKxo/2509UvGnLfuNVVuZ8HQPsK2WxKzt/
3OH8ABY1hP2JGNefugqnvO6XgwCAv0PFUaRBEqqN36o+k/ibUx/P/Qm98o3HwWQVbnqee3UxciAH
1CZt3tIQMl9dkhPKLJxu9q10pr6bB2ZOvvQuqgzlTSyVwwlHywuUryaVyi/PUqkdbZw9BVVxCPzG
uyvEGqTziEdZQQ177SU8ynZ4cWJbqaq5cTFRN55Zg4Nj5d3njxoZAKdtwizs1HLThfJJVH70NPou
AF6avI5Vz+8r8zrOuxnSyUNdaQjA3IS7cdZ201G5iTV0kijYu1LjgenWfCR9uxMeSp2G7ULYFe+E
w/GtNXtnfDAPdYfd3jYN/+qbICNaiEe5RGFGHGI0onqvhzHZGsbbvRNufnXgkup2TrKmoergedQ+
SoYFC/tjHyfC8lQzAemvIQa0S/uIqwFRCvmjE0iYVCxf3XBtd8n7LAIBUqMo9tOazMeqkudlRJ2j
+zjKUMv0Hw5Y8ejLFohdFJ6Gcl4R/MCVqJdhfkXwZE1r8BQwmKL5FTULQMqifxgoycNOyHv0EG0+
tX2y4Zr3ewYB46odiMvnSzUT/N42GPNEuKynLnr6fJGQdpewT6eqmV+nBjCUqUW9q0iJbAtPEMHx
/GNRDupiCxzHtAUBE8xO7pUr/aMspjBvGtu9Q6m6c6T44jFvj158RGmFraAe0L7GQ6xu2vdwwXZX
D6ICThXrrYWdAyBFecC2RrVbmqTGnV3kk1th1CToBEbjpTilgpui8xoo9hS9etU8eYnUJx9qbS2A
bjs0NIn0lmM12CmLu747hZ5EoyJ8MOQTJQcHaK91QXBZLNpMrSKD2sSrd4BsGdYk+rZ5UvcDp+5S
j8lZ8LlES6kBmTUwnD1ALVEENtt1pjn6EL4TiwdNjuRIZYXqOoZHBREzeYityxIl3i2mcbwMOuqO
CuUIGFFdvKwza7cvaPJbpFtUewvAZDNG4XQud4Gvxa0ojXxmZZWPgT9dTHh1Axsb3PaCRgcTt1+C
vgxuwbGckNszBzLw9jlqg2M7mxqGjBGbapk7iBV19XVejq7eTXFYPJlpmZ7CVaINkd/hY7mLx4S9
RwfcwN9LinwuPMgLjdYI+9TmEk0wXn07EbBZAywI30VZa6NqL/XSp9g81N65pEeBgRduJcQxMp+Q
DGrOTPb1HjUQqOh5hnymGezhyWdPpXO3oqXNR4IJJYC/AKT04rEjq8rGQeq3thMwcCL2g8Bm523S
oRBlqOJZsjNtXB8bpoMLZCr/0sBquQDHc8ep986uNZsWstRbNAKsNa6sTloUrw6a8B4OHuQ+tO/Q
nO+qHjEmQ5qnwoXDPfHilDUtXHrUoY3f+x+DF4O38+AZD4EPuA2u6QEDOyAZmYa8+DGpttXiQf6X
LHwJOXCBeYnU49QEkOpj+71a1XPUAdMZh2pF+2q7LUxtuoWu1wdhcbbBGD82UXcpZbOBaMWOs4ZI
tvTLvmLY6VKIHqjefEG2IVSd23n0BXoC+8qtprefPypLG29aPXZ71mlohjg1VeUXGxyrMnPdBFUT
mOV5Cdk3Ckkr04P32ph1PhaDme4qKua7gHVimyACCOdmAEQEN7lmMbj/2Vcv6PhuEFUyeV8Ncg8/
JkodwMs93HcC5UPwcx2a2wgIhItDcZkQ13pw0DOQaPSeo8FtV8voFtG0eks8El34UJ0AOHcPnOFh
aj2dhx5lkLYUTJEF4mQLUXUfB2WyQ7YxzD2ln8NV4eFbmzuDZMqG0gR7bBw886oyeyEkCoZAg2VY
uj1cMcCIfVVsdLGKi6LJz5cq6ZOjbNemwT7VfTSNx0+fL551gCGQC4TkkqgcODZkBG0eAfsH99Gg
5d6vlEo7oXiT9uhDAUBUqNrnmN4vNbyD3t3X1xfTpMajIJAiw3MHVzUPglM5+fItaIE2Lkswbviy
BkeHagVSN6lBcXo1mJtBpKSp2z286GCjYsOyfu7C26onKkPaz+1HD7LhMnnTzi5ztOmhpCLA08bH
dirjbVCZx4FH8QmSdnxKRFnntl7NxuO6SVdp9bny2vXR1k/0uu+KoIp3YzP1T0BD0MhbF2aes98b
DsyELuWad9PcHZkCrMFj2+xBqR+T7krBtB+2aMRlGT9h0GW4nSo8mIX/TMbBXQoJ9Eqa0Dt4gXhY
Vi+6mfXAnxaH571CUOz3vnoslzWDIw2NGgyc698TM65vM0cPygpSbz/fAhA5c72CEYdEkPq6LY/h
HNDbjiwGeOlKs5Z1X4h15G6avk9TMNytViDKoEEDDZBgL+gltzKINOJUi0J3mpg8Bl3CaFm81nQe
t3Ly/UNYDXd40ODkh/6YFwN4Ud4X0S64LtVSdyk8nfU4jcZuivFqYFcFPc2fL/MNVB9zdLBWdVoC
59mDtz1yGfo3zVS5vJ/alyacTAbQmLxxs+6blfB7wxEc0PqgNeHfqRDgiod6fpgic0Z1kOynygdu
q2X9DDswuamuOHlM+iPrUVvHNKEPbZGA1IamJ0l5bCBH9XWRRkUNFpJ0w65dZnj8Yfu9MgItT2Vv
VD3RFOtiPAQQVI7RMKaEhskDuOk6C2RJ959vAXuNeYRo7t0aB+e5a8GsjT3JZIxnhXj+BTSz3kAp
5dm4KP+i/dG/qCnEjl7jSAyIsI/z8NZ4YfUQRtY+apTIngjfWu77zxXHpRBe+/NPnz/zxrhP14bs
IucBn0To6pGo5AIZZXxbF0hc3TICbAr6rJ37hKdCY8sIwCAhjDrAQhTLO4TRRzL182Nl7AQZXSIA
wAEsD1PT3zIbVmmtVpKtdmTPNAasuWjuvuArwRirav0xuPi5F+K+wqO+K9kKfdF3d8OK+AlsFrTt
ruBrxso5/npNyYZ1BEK7FOqgfDBPfgt4B2pc8UQt2Omw5MeoVPMN8RE2Kyt7TQ5odUDItj9i9Ftx
lFtF6HSu1djmsRuKD8dqsPEd/zLWLNpqx79PEZTfYFAgX0IAWEb53gMk5C7z11a+AVx8FTAnT+2K
XzGhGz9wBzxBJ564x/4J3F4ixqeAG0GjhFWgzFw+fr54i0b8Zk2iYzg1Jl+jZM2nLqrOny/VAIPD
lOTjU8EtwVkGnhB5Nww/QmyRByPuHHavvfTmYV9Df4WfPsabgsNmJp630XDagFcHSEFWpgbNHjQ7
kFgmNUUDU3d0I/ws6aHBoxC2XeR2fu1Bf6Ie23F4X3sG2TeTPWw8UyZogeBM7uOvyKAl9w4CV2ZV
3OxgB9gNtjSSaQZBOSAndpWHDZ3C9DMZ93PGwc9o3O9B/W+6WyATlj+n6v3n7X9h7M910IP9nPj2
3z/+9S1+x89fep1O8Mubv0xK+F9mIfw+0+9/+cv/v0EJ6KpjhI//k/37y6SE18p+w2SCqv33qIrr
9IGf/+rnpISY/yu+DrkIMKQvxlyD6/ikn5MSkvBfcRxwzEOg18kHGL3035MSon+h0AlpjFgsRdqf
4GPY3yclYC4gvQ4GTBinmGuS4BP++0v+cgPED/3z/R+zitd5dBBerwMVrp+VwtthESOYyUXw65C2
vqac/xAGDeFJy4GVHGec7vdR4eZb6h5Y0KKjMfOyjfVY3jBYM12wkkMrujlrfWBAGLywG+j0D5ng
4Jq1//PHiTDMCLEt5uP4+lP2W+KidGHXsBNG8MX50pXdtg6/jUvUAf3+QPSqA6/SuNQbu9spmRSm
fvzn9v0Pl+PX6PnvVyOiHFcXVkL8l1EASc1Xi1w6BVdWvOl4HB7ZXOy5s+1p8gsA5NgXwNi4swUY
sfv7//Z1lNOfvzuWCtYKY9yPfPqn796XUykGGdCTbCb2oYtFIp6Fg2AZYiRRqvDJqxG2gBqgo/Xo
1chUNQpIV92cakvdjliQ5dCgIWFNdt3/w4e7Tsz4043BWmVYbzHG5kWfH/4P62QycoSh3tOTKmy/
qa15Y8ogpmGKYNvYCnsQAmOpoCL3WIuBGlWDtIhAUT+Gj0p7y6HFHjQhn/T3n4v+Gmb+vGN4GqCx
MKhp1xFmv67fWSvbRHNFEVsu6E4YxKIwjcHPcaD/5kspnqlf70iokCJa6ZRbNbKjMg0DOwe4QO5t
TcM9seOWK7NAn3XR1vMLxDwjUd/6wREWUk7noX8kGsrogrEcsK3Ru0x8/s5LqCWDRh1io30iET4G
aZSXldDv0MOevTqkD57s7vCQyUsSgAdwdXDPUbXD2QcPkCz3gyh+sy3t7wvtaeTRYnIo6+jN4+Gr
H7YJBgv+3fIOfs0lX68WyoKYcx+jW3hEP2cM/OEu1gFQAyVQblUaIVNRWArYLHC5xGVMwaNVqMFx
0FSgetK47b/pojTZ//WDBAF2HhjqmN9E/zRzQ9TEV0iCI30Vg2wB/ozesCAP6zDvutA9LquEgLvY
Ey3owTkkzGJvfvr7i/HXlcP9gMYUo+18Fvss/HXlVA7JPA6m/IQ4wW9euKcYBZDNw3KgSXJH4Sng
Hv3T9vbX3Rb/TR4G1/sQ4Ej402r1x5pGMDDoifhsP/ea5eAiH7WI7zRO9G2dQFRtWH0DXV+lco0u
PlVpbwLy0vfsHx6d8K/7DUTt6/gsTihuxHVQ5h+3/rggARBkHPdaOiDLEzmTxF1itSIBrJIHP16+
scgD/wgeM1PVhMDu2F6CWa8Hu7YVQI4ObIgr49QujB3hdKhNwtUD8Vt20Es9pKaXxQHmDfQ5u2yl
xuYdIOqBx234vbL4fW7s/7Bx/2niz+8rG1ND4JZh86QYlffrlylCtP4Fl/Q00UWjkOuK276HeYCG
GDVT7aNkSuJz51mEwpmiB2XZsCkW/k50Zx7suqZT52PewiDbbbxGJEMBDNAPs4IOwwStloXejbJi
U/glROsmaDb+IJeNt4hoqyICcZBjGAcD6L6rE9vv/36t/jqi5ue3oyRBK4LlGvl/elykSvjcyA7r
RjKzn72uyZCGmtKpxXwPM34ZxKz/YYpBcF3/v+74HKcRQhsBZo0QzOn49YrOXdzrPjIgDK4gTyPE
ctdVyHl3RqYJ65NtAlN8VyoSnz5f4jCj/Ls0bfMPh3Lw69mDg55i5hFYTIoKBQOi/vxJutJpZUzn
HV0hvW0V+I9UJWoXcSGzcq5Awk41JjzFMU8b4ZFLaC1OQtuTfYyE8g4iYY65QeIRamz/D4c2+3VH
vX42TLKKfBR9eKQpudZwf3yIOrlSTGmKEpBZcOU9FW0C5mr04g3DQZEs+TjUCDfF8cWPQmj3CCZ1
TRHfXs8VMalwg6ilD7OfeKeJIRXL52oPTo1sg8ScZAFVDj0qKMCWRft5ijcJqjKIrZiRMWMsXlov
oNLDpQBpMrDzbJS4JLUJbuKKm/3i4iRHs3/vixhiCxLjLUgK10OZsnXs7+bSR6j6WvfJsqkAV81b
0+tmg/JI5stahaBv9SbwEI6DGeDfTXsw1/r090sbt/DXlcZQ+oKeBojFE58Qjurv12vYwpejc0Po
UYhAZZbxZx/0xlZX3NvytrklV9wRtJCf1xBVQGzHfoYwdw1fbSyRBr3SgfWVkDQYT7WpYlamvjbL
sSGLPNQe5iZdmdXKTfUWZdd7Q5vDWssJa4dCZehmpKxrTo5JxO/nyQdyKCVEcyQnIVW7TMowOrax
hcbLpxsjapE1Ygxxs4HAlVQsWZ8UNVLVFBhIMINRB4IDOQaKWnf8fD/XiuQ2idrU7wkOmS6K422x
9hlZEYTx1Dhupo7oE8ifKo0riGrTvC+GacH4snVbqAG0zATkwYXcbVEeYAlNVxh7Rg++xHvsG9U9
d8SDWVXDrGpfVSfHw1piVFfMHrCvIQCMsghTyt6Xat4sqrSPZWi6dAS0skmMh6D0VaiSLOKp39A7
hz30dvKczkfwEBvud9MB9f/O1KU9NzaG4Qt3biMJwsnRYpMzsrAd2mXQP5ZhzA049SIzq6JZBMkj
h1fVHokNstqEXyIfsFAlEEkhI+Zl4hB+VOq9busvhO3VGlTo053Ko7GazxasS7ZO/qsehTgMAYO0
MKgNPNwQnuSiUx0Uemcj1eZz5HuITsMmgBsMuId2FT2w8aYaCL/YpN6tsx4hklqks5PocULPnmpe
bE3s3C5ZC34EZ/Zct9V0nmuyxxjj8uA3/Ec7x+PWlonZqMjqlOiq2iKKDYHhKuogM2pTf0CaAnjx
u2yXWxq3e8x8GR+iEPd8Iijk3fDArxxhoTDCS7DrqKpaRSjj4XNKE92XQYEAn0Dh0YD8m2buDlVs
VA4U+jfLrXjwxuK3AkTyZmKQtMdSJVABHIpZpjAlRLzIDmSvxl5TDW154wokdcM1jr9MHZigur0Y
TOQ4FSXFIAsbDZksommDSSIkh6HTPw3jsEn6bjdgXhxBjOUhbsod0+WMQQk8I03FNhhv0OUcy/oQ
JLLP3BXbibub0KxIYCu27rHWSK77AfUM8gMpSTBhoAzbGI+SmnIjhu73Fd63/gazQLBSE/wpMMVv
SdXbkwZnkQicwUmy6jtkjG6wk4V5V67JTpBaIqTiL8dk4EFu7VcPj8ZzQd7qdnpIZBWeQRN32XW6
4A5T7urT1I4Xb1DbySzmyj3sPil9x12OMLGH7QPTjBL+o0KUeMOavt9arwyg/I0a00zWk1URovw1
aHO+1gJ6tPmgZLZ7BNaghQv1Udg6xYaR3IyUmjt8QZ0OdR8dirD4oEmxnFyjf/PoOF0EHA4gbyTO
fNzVFERD9SQYVlgL0DColhdaPPZhhVUxDNF3d0bIu3zQofXTLkbhTSPS39pW5itvmqPyW5Jx81sy
BXCJGbgX5cwtjUZMUli/Cr+dju0AvoRJAsOs6r9UPiaWm+jV6v69CgqMs2DlLfRruKSFoEh2JfJS
iCmbpogcEQMCW6nBaTiDLXA1EABAhNyA0l92PiTGjd8gEZT4JQKrkVefMcfgpUc7DOomMlmvbIaN
AHlVlBSptDJtgqC766SwhzGWiL5WxQVSHqyxtX3057LYYubQYfTW95ItmK9jlgjiWKQOZqR5Ycb3
vkzrobG7BIZYht4Io0vSGhL9EPBzFQf7xRYXSGb2niTbtojDLb/ql5T1UOoneNW9xRQXT4fBUxvt
Bcb8PA0BGVNMjXjuaT2fvUAWL4bSH8KfgbSvC0IXFp9kbAdyr7ouThGJgbEI9/MG0Da8VTD/eVsC
18Jh3e4rcBFw9tc0KMwr8qCY60FFv+/h0ZybMXkqF1PheQNmdNXYvZJvZtrEuZnBN5KWLU/iPPsj
qmsKbToS/k2lE/k+YuzZFNRiG2DYQdrM7GCt8Q5wpe9MYfDP6XDG7IgYJvOlH+Np+9mcteiMt6Fz
uGR9jxgoECS96wfM7Zlg86BefFxtiIEOMzWHBLvTPaA8p9t5EzQxO2Hi2B3+nw+4ZGE7bpum6jd+
bZ8gjkUn0YCtMzJ5LxquH5o1aZG9qqcNnyaEdkCEvI40GLdAsDezh82JwBs5N6H9sS5W5O1ExkN7
xQMxUZSlEwPx2+rdhJ4hL0u6bDSXMxZJeC88CwCcoZf4f7yd13ac3LZun4jdCJN0SxWVVUqWg25o
tmSTc5rw9KeDvSxb6z9rnX1zbjBMKCSrYIYxvq8PVw8iXl1EcrbVCb8qMqzuEmduS/q+UQ5uWfdb
r63C6dzPFavFSt61TuA1ogo3URuYl0pXntwGYEmgDCj6wtDcS7wnW5GizooaW/Gznj4FSBc8HiU/
SdU2bvUx7UEjtTu9Ht3PdTt9HrK4Ochc9Hvdrb8oNdNs0owzwLbc8gmR59uiRlaezgHBsWVx4Yix
fZ0SPaSDjNVzWs6110uiRrUofuQtvD0HQ8eljux7cuT5rdNqClLhSu7y3rkMi8OLefjMj3ND3w2w
wVRNdM5aUZNfasqTYu6A/RQnJWL9Yky4jWZjZ5URYffCwIsMhMfHq2Mdx0myujS6Lci0YR+jAN3J
tNqQ90k8vZPyMjQJHvEkafgee5N5ECKyVhC/0QDgoflXTqaU1TkekKo08zCe6IfVgiWxa0826/Fh
3Fplt80017ptyrreDOB0vERE3XGiaAm+2Ozq9s1rrRsgUsNlAqbvm2hSbmQrfJEm/bUNrHgbaKnr
N4N7TWoyS8lclXtZ4F8liu9sdWKpDP44VzpZNNt0olsMh9Q5QGeV/pCXo++0erNVsM96iZEHu9wA
8zJlBBxQ4ymmv/7EpI76PfAD7IrmlyxE/5IErrohkifI6CTmBYM9PKMcPpTITkbeiU1XTFiEo4JI
fG+lN5IRfG9Yrcv7jnW8QULByKiBbnG/253zIyqH8dg64hmY3WtVJSx3Bby/IOlgP6jfMNbELEny
CMv0cDfknblzG8nzr7u7Rd3oB818UY3hWpC03IaiQ+fmHjvkfxPPd65V34WpPaOE5u0iHe4FMtlr
MmbsEITXIfuIIf9MTjU6DGlMN42WodWsB5lLuQsc09rWRfRsWeclGCYjI9rbpZxYpfyQWJG8Qc+/
OXb/yQRYY6vWzoqlu63KPGQSZ+LTiUOvmclB8cr6rV3Em7F6bp0q3ecSaNqUD8DHZHfM3DDYIeHf
NlOfL+K4G1E3wQbn4o2iO/KgFrui10DNfhhGDUuyND6SjvYmja9t7KZnU6bWLo7k0QHS5WUmqZJw
KL+q+fS115JDP2kvpj9odQHzIHscppEsipOIDYSOQ958VPoYoX/qupsYgRyC/Vc9M5Ghpk3mw8eb
vT7D1cuXUYqWKbar19is9cKrpHmdhqjcjHVXMTFOzY1RtRV2RIWvpZ43I4ytDZTKe/KZm9ieel9D
UBwYChqxapNCF+DPs6QL49SPSDfWEgZEmqAsbEf4MEVWM/u1tsDkIE8sRM4xxv6VgMbthp2tawCC
ZPfYV2hGslofjlvXjeESCVfbtFoLCWnM7sJuyHbDLA+aBfVqHmBZWSEaYhSOfty1h0lPGWSDgqD4
IrtWIh5nHOfeXLUCO2fXbGoZbLFvKz6LvrKLR+ayGXoEN0a4O9/W6VUx0i99qj7nUe7shCWtTdcr
G8MsbtF1AeWBU4kOJ9wuCkrmiM7ObeN+6wgNEX38nRXvQRRR5zcIsrZDIz4yMNwxF30Vs1XSJzFy
hzZyGXsct0Kx7x0lBgXXip3RmIjgZyAkUHZ8g/SUnzrRjhm6h+bpmJdGThdKL2erh0qpv08mSwwD
hwrd5qcmWFKwhJJMI2daGSqaV4b6oxrRW+R570KlKc8CD9smN9JHVhWneURqaldAQPlF90VoTPRj
1sHtUUQmrVF4DFqul/V2vg/SVycyv0NQYMwwVHvXTpBEpf0hDmoYd3XEQJCgCMkjY2uF4UXVjHpn
dDpoCWeoN6zx7/MqvcbO+FAxCab/6ARrSvcF3UHswS6BLkDYaOciwnGUF4m+wRhM0q6kPNUxeBob
49Wo8hJwMoHzHHlMU8ek+/SdxA8faBZgrRL+X1gy/LQdOgqt/2YUd3MWSW90sSGmth8q1maEebpN
TaPc5oM5emX5LVOwTnagsg+p/poOY+tjwTS9DIWQrdS+NhXtpXRQjnfal0E3G4xZ2SVkIrhJM5gx
tlt6wqxseloZfZr3Xd1encDEBT264SYT7T0UwtZXApRF/CJHM+B/0apW4Q1IrRVuNyMUEFVzza2M
1bp9XwwRqFrDzD1VyzA5fDEb3EiYoCXqrUOQAMYxEjPfJEOkeKPN35hHF6JLkl71IUTkA3twIwhW
+SIXJ4fVBF3Ft/i5lBjhhJRfszhiqHeZKTv6oo8zXM9EE9MyzzfBuamN6D2ntllxhQ/CWghyqdF7
wRTpPgKIS9IwuuaauU8z+5NB5lzW+yEEaaAXOWqi4Wtjfs707hWlHNOT7rQMYbqc+m3YinNrxBkw
hMbYl2DV4gZYVKR2cDHhiIgxOth5+LFQqx9aSPfcY5lKRpflsAmbFRlfyCgX6MiSU9e6U2AJ7ows
3cyEpw+2NYNSUN2HMcbj2hbDhRDo+Bi6peaztph93SVKZMx145tOUTL6pImvqdnB0DTkxqCA0QqL
ZyKe6qnB77kjXRBsI0gCBy1EIpkOUt31SqFsM8BDm7q2p509xvpelvV303W0G8sCoks3fNJiJtpb
vNTq0Fgo+0v8NwK2HPdJruteJovkijb4zkAMc3xrbzsxopqcNHqdMmZFpSJ31Hkv1sN1w6KkUvkz
M+JWRptsYDBkniT5vR+yOrpWhpGqzGYH6KGYFrulrVnbMG+8RkUeHeAOhtdRx+uhturJrqPwum7M
33sk3NWNDBHdydB5AoHxWWTGwqiQBJ2ydnSPUahcyPlwaI/1Ja1MHqF0U7kaeYI61v0qzqrnbAdY
oPJaJcsPRQwRbkomxyts1ClA/QJEq+ozq2JkvxrUYWwlmxQlq6ohJ8yr17ZA6utg8N2AQkdLeXDh
DTBaCzQb8JxLV2MOE6naGeE7XyTCfv5LQ9HuMNlM6B7bm8ZEJb6wvzOSh3ScudjalvJqms1lFlHr
pSHxMZNhJjX7xyQJb/ssUveijHbc9pagTLiJZ1ZzLnpQzyNLm+7iRIdXMUwf2tr4OsWttWV58qOf
9Qw+S80LtMQYI4PZP2z83CRKvSEkSiC9sZsj+o3owdGGS6sb0R3W2FSLo5tRFHsZExE1Wmu4LD0l
CnaDkTtkWlskxhnihElApFWP+C9Rac9tviHo4Zxl1XcXp60BjvXFbTvH8xUNWYmZqJFIaHl5AphU
D2avHYSOUpZFtH5sVWmes3x+xcEZPZK9uLH1LoK2XKMsr8B5SLB3txakTLNt7tXUdg8NUws0NJr9
qEEH3AYhMl4FOeG5NfPb1jQZrMNsPCQ5drw0nbCLjx0m2wJaxlTxikZ1CDtaS44SMRBse0EPPUfe
0EbxvtGH8k4lVAZxp1yca+0lSGYfceqnPFLCLekN89IWxaNV17dwC9MLRf68tratmxHtCbB+fuUi
1J094+a4t+q7Qm1tOJCOdm9GDylaNx/YKxDENr86i6OurHadIwm6WbG9rWoQU4reDT5vy5dSybID
ADi4BLJWNvaUNYfSfkrsju59lPMNPyuDEb9rJONA2MdYhZJjpovybEblS1M37a3A5HSYB6ciFMjo
qpvy2R3sj7OuSxJAWn7mvx7tq1wffCnDUzkCE0hjHBKOsFihCOssCzyMLG7BdiN2nO702bB5G7GK
kZIE8VpZ/QZUZ7AhIzh6rdlMDxXT+y7sazSo5Se9zEHnycw82HaqXHD1PrpTunPBS0DBZPzvuiy/
lDnxk3Bg4SPd8FNTgTlz9Phklc7DhHn/guDiSctM7axJffYsYnSnalae1CkqHzQD9f7gODDcNLFZ
F586roVjN1g3RIrCu74FzpMXAR21Edb7nPjhDfYBtFwi0W5a/BQe+Vh317bqPHlr43rNWJjDjfMI
Hs1ThNXeR0KNHscxxVhNDpiAFVOAzRgxMyny7n7AnXxkKMy8UmZlve1LYV4ggYLptfDlu7koBm/A
SnAxeiSvbhHubeeDVinNCb/HFbM+tFXwDH7N8ucwjtYHNzDcQ93kcHrBJsLVmPfVWLsY5ciB86uT
18KFfawSls+YDDYRUvnlOcZFpX1W5edkDPqtgSBuI4wUXps68B2g3ZsqCc46DKItMngtpsNSWYf6
kKGMmLeR35ZOTseXmQTM7Jz4MCaAM0Grv8YGCksbJZQobkjnC48CHQUGLHfbN7cuCzJvBP2ALjSN
XgwrWhweqNETzKR9ZLkHp1X0k9AB4Kjhx2rop9O64T16mEXyIhSHntSRgC1VQi2zQ4y+H4nZr3ul
XGL4VaK3qJBCYqcLkkZl0b91jUDywloT83KTvwrEdxhqczlSv0HZMBs7zVpLVYJhScqx7h87z+xL
ZTs4QP3GQSMXJFWvpBIGCwziJ45xsQreDXzaFzXEvufi/s6NCCGwm2XHtmERok/W4zRaL21om1iS
1/4VP14tzf2gVfdjg71O0l1jlJO3cRISkxqAQrf8mY0B7k5P7dJQ0H+1xsjqv0/ANbTM8YyuheXz
Pa+FPNqiPStgsejMZ2tr5eYxTYlG12H5w2xS5UzvfyAKV3lGL6ZD6uzjiiXfZBnjvugXYG3lPlWz
HaP1Q9tnht97UVuncuI3lqaS+ENH78iSzFOzJrzRrKL3qtyF7awkzLKKpES5HhgHVrFhBlGopuf0
qjiYTlEtBcuq7IZAU+qrixxPJRThqan70RgU/TxmyqNs1CUC4tlKaPmuTXDfCbuQPJl7q6YEqNys
eR5YSx6TmMC6hkbdHni4E3iPoJz8Xpowjlo13fUZpBY9AQ07gkYg1LPLJ306sez0xJTMd4Z2VEaJ
xxMOdGiJBwzD9sacewTBPcISPAtmB++qT1QKCQgLj5tCHsOsxDZhTqIC3NyAEiewqRhfAIyreyVr
bjoBaz0D/0rydnEbZXtSCs4myivL1+ULoTmF1RohPayVLfFFO2S9Aw3vVSVIlGc2Idx6CfnIHA9l
9dVO9egayfs5Qus9p+qdFlbdHuUMBsHCucY53oxSh3rbL5CLcuxRzDaksbXEr/Qm9AmGDFQdybcR
yOTzYGHT73FrkLZivKms77XIQbO66b3BOpuFT7LJlPKTxcCwC6lg4mjiEJjBl9yFi42XaNwQHAi9
PIVcVdIvwUiWsS/trZxYV3MzkimpXm9R2GOlCYKdVn1rCYYfLHc8lJELINh6CMWQbTs9eG0s5bsZ
AuYYAifzmPg9x+h5PMVlci0yUmk1Yl1QsfZJBQm4o4N4irT8kSqtoR9awZcxt+ZtMjjFDtGruxlb
dA0p3f6+AbK87XL7AGPXdwvjYxCGX9zGGDeVMVWbwnLC7TTFkLrdmF6B1Sp2VcbEgGQqkNQOVyNK
GZn5qJhJThj61Z6Sjx3EaX9Mm4ek6V9m2fEo/hhjZgs1aSc9HgGcFZVNT7FzEoIice/P6ue5iQnh
xzUuwhQwVeVMu9kdYmgJ1tYO8/TMAt6S44tbLSEOMtLbUaSbpKnzvVKGTNPjjYW5kYwwI14mEWdp
E3zmKd4hI3syZYFVsM0+mnBqtzEzKy83mTS7C8qIqi71Ns2s+1kRz5M6WPQHjn6i/JI/QZvzXd1o
NsSdx+0UwAixjOXxVn6YyaRum6bOEOELc09wmpAHAH4RGHuSr/TxU/2KRIzXA+OGGrT6VnZy9LoE
/Kbea4jJCQKNrMddmwk4Nsj2qC4s8PkJmtC9Ozt7V1G7A1RD9VRXQ+1XYpJ3g3pOlokkwa+G4SEm
R0pUm0ScbJCAaUu1nN4+j+XWQDu3XXjaJ8NNmJNaIDlQ1iTo/oHc4WsTJzNueILq+Ysddt1TEkfm
rRUNt/3ghvd6Gxxcc0w/YBkgsdoEjXUZM/qEQKmSva6QTx5VJvE5dIrzyNxOt8Ny1+dHhJbAS+t9
4ZpPELG/WhlabmeyD3Xa2bcVVHZoY9Fujptkp2YsLHKd5ZPWZrfxPJzz3pCPOSlDLyu6D3OoBOdI
FM5F9BHzK8iLhhvs5164uCqZKFV5uwCCDNbBOqujvMKITemLsrVI5y9ARvIGPH+99pQFo/SBkW2L
tDopgwgfzTn+3iugEVg0Fzd5Ka9m74z7STdqH9frC4JolhhJ2x7w8XxFsqV7YWWoH/UQczwQSU8v
0vZQUVqgT52ahLu8owgOafGCyItwP5VLsgNX+LMhy0/YIzQMsmN4YFb6gh+/9MsB/KCT56SMoJ7u
u8Qu/LLrDFKz2p0aVuq+sHPAwRXTlbhSgP4CuknjXeGKAuWCwIBfuRuXUNMGIKRKKpgs0erDMMPi
tbT7F1GrkPmB2Jil5VyMeDikqEmOjVNVmxIvSBaVBq5FoI6GyQhNDgnUYQTWr4+q8IA1WPWK1Mk2
RR8am1F1WmJWvbZHF/ONfHS3IT1479AX7w0nS8DK1GjK2wb9YdElXmJN1zxT3E0KodBviF7GZkWG
S4r7ECm3BQrnmtcp4gUw/zG9Wy+Y/ExBzmxLYN0K3bpj0qvt+9h96BsTZ2BoRF4oHctHmLpp6xwX
N8QKymmd0OqE/qBAJymLnrQk+XAtyiHNhwy6QTTZOyPWvwQD31yEOALGVoXOID1S2ibZODFJUQK6
qdllYJx42gHKCRj/rcYcmogg9pf2ENRKdDL8EvdIRj4zAb74seprr1OZipRkbjYqulR/mFPiBfYw
MdRYxtEsQm2nq02/GWbkUS5wzrMbUQ3M7o7F0HyGhljshyU3KNSRAhBB8mOKp9qrRuObNFP10Dvz
SWQTK/Qa9XzXTnsKOWSXJhWoFKWwPUqWhVhFU+UxqPdOauKrgl9OODq/tWyMqcV3Wyk2oazEpeyk
tUWiIryCUl4wNPVDVe4KvqVbpWCqajQM3qhnNiJqDkqPF08qUEOjkXILZNa6FgRNZFU8oRGFPQiD
Jp6KcyuQGlqzmuV1awUHo3T6Y5KyoKI8nBfqpMQVdEpA55ZIjk2BsThn8Rnawscp6J4cAsZ3iKg+
qKjSvDLWcdULBewBM7hEr4O9Vmu+9VmXORUKmKtcBPl1RSZfWGVDQhKuugsa8wfGRc1PKO3hafEh
j/OQDEi8DBstSmp3PDGAwnbp9oJlKT6Ogfyo1l70pmk2mRUioe2ry2A1N0MddDujnM5iKLMrBmLW
n7NGETEdRliHltxrJgnhfMDwbuNkYvCatG0w1E/2xKuCD+SpUvsKrhVFHTS1Pc9tpG9LdBlbk8op
156/HHqa7iRsfnTVDhhWXGfeBhO8sCLuj+hiDqHeHQwX57FVw1ElINGQemDtmjQpFj4R5zzYyK4W
1TygMjIoUxNuEi0v/Smxp7vRVJl0Bvj4HMqXoVro/ELMd4pVtL7BKgwIaYWwwe6KjduK/NpU2rQf
JgtWim7jUEmwYkoqTsH5/JhsrFbVb+1SSXBwqu0O2tTjGA221/c1LkJB2H2SZHKo4gaTNR8eQqSC
j7mrn9OGv1utJeAhVXdTyd5vleET5tFho4Ym1SHmZpuE7nmU7pM5J9+0PjowL+wZepM/N2vb8PeJ
tU0BGsyIYFBfBPe4LyqS0QtFLA7hiSX2AhVcd9fGdVPbTrJpW/jDAMkgTSHRBOTVnBIdoJsya13G
iMHxW6OtwHurGbsyZtrsrle2Ac9Z1JFkz2381puR3sIL0mYie8+nc9iqQckwmapUFiNex+8Urb/O
uqvmRY6JPWIAKSoqtv1rU+OCAqbz+9iemIfGVvKiUIDgVPPfA6qnPjQjJZLgogDy19v9eu7tArUO
LJatlUOpL7v++dtq4dxm3vqLr5to+c/a/XAZ6jhhWm9BZcOWdsqXP/vI60+FqukAAqY8kVaFJWLk
O3M5om7HrWuBElvPrU2jAxqsDcWjyJOcHjRMvTBNy2NMhLUjCD/ne9DL8QHr5RLKD79as/m6fjxd
vqRKOM1eKz60wiB6IpkcKy6Sh1Vl979y3hz8B/9vm81qHCFJ+NOp83+15qDCfbvo5nH34f1dll/j
9xX/X707L2WPNGF6+B7G5V8uHH2xT/zWxv+bc+ddYevva/nVxRGzfu6Xd8ey/se1VYNKpsIlFWej
S/1p3WF8wIQjqHBKxXrqF1j4SH7VOLW1/zFMhDmWoTvaUtv2l21Ho1A3IlqU38jdMVDo9v/GtgO5
/291Lk4HlomuhSDARijjvNc7Z1rSFNqYmt9ro7xZuRdvkiltoMrkyARim8+Nu1/Pqg4py1VQpTfA
e9azWZb+OvtPn327+J8+q7lf8TlE25DqA+d14yA2YrD7fYydrT7by+ZdWwJy6V8XKi1xkE5i052b
y9smQ9H2x2EscgWV+sGtXQOnHgOgYZFrUpZDprisgcfI3uvM5z/pdveaFt14G0qkOVHklzaT7HQe
yTFXNUmfhXIRyp3pJh12RHVZlWfBHGD9qAPMLexZlRuciyC0Gu/tOA0AxA6EVVL8gL6wgwlCmZGQ
EqXGDfVoNDAHuA2083ocWf0tHAL1W5WSqZkSUVySOSov2bKJAmljJqRa0bsT6+G6sWLqE6ZVqrTe
ulsd3HCEX7HcCPSpAp8S1DOS7GEnjdmhglgzUHQwcK7RsjfDBAC9Z5bbStuXrdF+dNVaueuofQV8
ifCcrIbyOiybQEHfFNj1ol2n3iCyQsR6nsgpeFDBjtkbXUcap5uvYaWIR61kEawPANEaCRUvCitE
blX7VOcU+EIaZg4PaZq0J+jL+N3ah17Nugf+H6QNYxYJa9u6Wd6VxSwaHtdDa9bDh//0ofVGmTkc
jAaf7yhx43hm3E/nccG2vm3WtooR/H3bIKqnX9+5Y1ynZDgIcO63DTUoHym9Z+5bQUq1IXbzKFuW
eKRFJXOvsdsz7mGK1HSwtfY44KKvqVgpE8svnLl80CWUBVNJo08kB6ncKt3hXCEM2pbgAzfJ2CYf
173s915LcbafbW97tqHrhyRDJKZlTUysqDD3IGj6CLgpxygazX2Yu+Fh0FjRDnMEx68do0dbpgVk
zgHLvlSdh3UqNSh58hrJ0e/qKH/uAqZmGELjG5M4ChWpUqJQ3RTscL6YXl6R2wD6gaiNh77cVUC2
rhERbwpeNuV1Wja1TXhQohDdrScaMFQa7w1nlKiDSl5XL3YvAT9lz3qSjxFJsVohF5c9F8UA/xS3
mnIyejxRxAf+OGwW2xMERc2Y8/NsdgaEulRo56Qg/LHtYJX7xggidm38eT5ptW9WRUbPzs3YR/lE
0Jd8urM3lRely+UNHGzjmgOPcVDrzR8hgLJUqePQWVaLTF8IySEsIV12586m/LkpxJZPxH+2sMDy
yppqB4HgUpnJjRT6tAfWGt+XABQIzTb5S8xKViagYsgbXe2i3qdL77Fu6PWCs7n0I+thvnYmb8d8
gbcBFhrPbqjp0Q1afhM1wt4y3MyfQ6oSWK1uvUYUYhKzGX/KHXf0VdZFl3Ju8puYwlA/Lx2KmYqD
efnpj6HwH8w0mvbOp4QQn9Kgi8OUqQwDlvrOp2RreUw0PXK+p1acHWM3JeWqL3p2pQIu3MH+zbx1
9/3x+0v/OP633fefbXF9QU2QKMSMWX3q6/ChNqmjncdx8lRS0S4nDxiUU4B8ha953WgWxXcCJU8v
BRWk1qZ8Jf2tu87yCUkdGH+97u1jvz/x1m7qMz6L9RP//Wegjr2pi7F4nJwlOTeU433MOuoSWIAi
TKurvobpcAqlEX7MXSU+CifIdyFBh6/DuYvD9Gubg6LsKN5xoDR0+xEZ4jGHWzfO3aMM54J1Smc+
5FF/E052/xl7VXSYLUv4mt31n4sBLgaWqug2N9twWUeyQCLTRlRpip6HACllrqrI/ArM/3la39lL
e+tIqsDlc3BcMiqf5h7g5tLeu4lNHctE3wd5Gj1r3S36QfszdecI/fSN8NfmcMCIl1TxUwhc/NwJ
SuoGI/QmQ0+2/+Xpc/72gwjLRflCj4cr2mCGw6P4tx9kTpAY4U2KXxMtNaCLMXQlajo/C3VGzzLp
zBkqzIL97DCUl/AKsEeRbOray4yC94FU/aeJFxYiTEmoD8r+pTFUNMhV82tvbVOc/A54SXh4175e
K0n9t9563dtpcjB3CPb4i//D7dY2FZcIJQihDhM0lX0/XshcmJeUhLKfl3P4ubOSW3t5uc3AvKst
oX5aL9UjAAbrpcMMue33paWd2a/QhJc6uNonKyDBqhE82zZkCiBIKkKZq+KOUn5HXsndSDEd6oCy
p2YixY3bR7/2/j77/jpiEwhESz7x93XQdrST3vRi4xSuekGP+OfGrbRjYljN8V3727VpUKmX9dAy
y0sn8+AQp9OE1uYfbre2mYD29TGTh/Wj643X9vcfI8mAs1Yft7JMcdJk0wcGT7gbjtZ8tibqU8ad
M34j/3EzpyG61oSYQRyjEoRfSRDHdJsHLc4XOGvxpCUyuV3xrb+P5oXtCgjnSR/y5HZluS7n1iOd
kerp95X/T5+jcOcfd3n7eSE/YT36+yesR8u5v3/6eqVZZPYxrSjltUbAnYoYqDR1xF22CG/WtnXv
bZOuJ0K8OBbWzZ/X/dPF0UJK+89vsv3OtsjayTAENB3D0lAssuj5+0WWUazoUWMor3GiPnZz49w7
dpLctGkwbNY3minBSw+o4p6pTwwk71/tDu3t7/ZhjscN9utpmUK8SDt2/7h+bQda+JIFX7FOPbhd
NpPfcnLtEvx+zH7uLW3q3NY+2WKUg1GrcuHyUK+n1836tK1764WMjtS9NAR3XBt/3tzRggJ7E0XI
lJJJcZ2lKEYHtzjXy6QY0aJKrSsjRuvPoVo42X1HObH1CCkSIr8ADn4skcXF5vPcETELJpLiddfe
jjqp2i5O85faRKEZWPI5Z5rsv11hma+BeSJ4Zx1tZE5ep1lMst6OK+O/zAZWC2P5hohYvsVlsauj
WdBdzI7vvsWqn0pCX4bzSoEYzaQoiUZoel1FlvCsel35sB6k6WE0K+VDFVvlI/WPhhzTUZuEyMQa
ZoW/D6tA5RdGOPDzrAuf7N4Np63KeGPOtX6hglt4aCuVgr3LHgq2X3tr29vZssJI9HbdujfG44NW
zPBXbJc1iNDlDtAW9PI5/LVZT5S9K1kU/qttvWRmkN2sJyqg6Sa2az4H3OfXbdar1wvdRfHzn98U
69/fFJvFITk1DL6Ozpr+7zclBCeh4IoxXk2EB5t2KQe/1oRfN1Yb86Suu10nmB1WoW90cXt6a6oL
vpgsHgxyP6agEkoqrukS8cIYcCOmXlwhx/9qjxOBUXtCyPLuxPopifSrIw/rd72rdMdyju3sqpYD
BVj0/HMtY+1I3K29bRcoubHsLe2lsKbDz2vTRACp7tPzIAb9adZL986243ODxfHJSCfnbjlHRb4/
zrXLkRDjh5Lnkro7Sn1sxyo5r3vJOP3ay37vvZ192wtHm5yC3v43i6+2MlD+fgEc27HARjvYkDFh
v/OnRnYEWHtSm9e0K2YMDHbl7lZvAVqru4qSy8f16GeTTZVDD4rVtA0Nx91kP48X78N6nkKb02lE
GzcVDlDgPDKH/eSWf9xmPbFeG1u62HYlWpKgaqg6XM7KF1PH1VlRFdwjQAKtgn9D407qRf08Bjhg
sq5QkUDPEqONEtzUlZoA5Crqo2NFxk3KoOlrY9I8GjlSlKmNwufljlFqUz2puYggTB8cI2r2QiHH
0Y11/iJUdV/LcfocD3mA2gYqq5ZZwd16Rdbgic2gPVMUenlml8dTil692OszO9ZThTw7zHZvZ94u
LPV+YTkPxQajUHvvShLrC1lJ1G70qI+9vo1dEm5r2+8rKEqb4ssNHupl/WjiPKSQeRBvV4rG2hZn
dr6rXeZ+9rriRFny63hV+K0Xrm2Km8CL05L2fj3xdq98XbgWJDq0ViFNUUd+3TnFdbHZX9c9G/zr
tTIL86yRdXvXvl6xnlw+uV769iFz+WSzfPL3bdcr1vb1Mj1GsLjcdm169/G/b4vj7r+M2c47KgQs
DJ3cvmk68Ijo8o13vX1nxWoypUXwsuBNNc1GXtPPNSt0lWU6DJYc2xWHtRmgbGqSGXkma0JvPf3u
wsSJbBKp6+XrRXK5x3rl2+XrLdfD9ZZOZd5SfzFHeNpN11hQudvrsEBfsSMtLfNoTNd0bbarJEB6
osL0ZVDXvbfzRG0plmxn6X5GCX39efrXXZD4DV7T5KZfhn7VOKSPBqVvLhqIfNg+y+66QcQbnEmh
rQfqIhD84+K3y1bpYASn6UzZt7iquN3a9HM36GMGINsIdkGblSDGiwkt74wOidjbzdq2bkwiC0D/
lmuc0b5UJLOOVtQh5X+7Zt2L3O7XHdZDFx3yf6MtiHeLf54Aqg6z/GL9Tw9FNcx3Y5E7J6Zbdco3
bJw+bl2WxUrj1Fut7CVgH0aWt7HEGVx5dWDNMrjEoEUxXi+7lK1ETzLPv65f29ZPItmV1+GFnmS5
69u9/r7/zx8aJ/YPm688lXl7ny+bwX6IVDy3P+cMy8SBJfhbS+jk6V2VIJTQN5Jv7J6MlfmIB45S
7qJEGhK4JlJLKzlDNK6hQHNWav+HsvNabhvruu0ToQo53DJnSaSo4BuU5YCcM57+H9h0m251n6/r
XBiFHUDLFgHsvdaaY/bGZbpAB/Z3u4CIKxdAvI6rKl2LtQ2V/c2CeybbiKaXoEFUYyXbyFMw3Xf/
GhWR9/uoiLyLUXma/OlaJZLTa5Z00Ajy/qc7qMkj9Kb0dpC89vuYR8pWdIlBsL7tNlTLn4lSpY8Y
sI6LnsIc/iUJGX9szbB/m1aOYVtFc8rXjIdikJu9BZ11aVSu96XCTK50fe1tHF2IGEW2dvvGX/By
8S9tofkXzCiX8F6lB9FFxhp8n5wjXDNC3nFNByygbvArkoIWkkvmwIhz7AdrOgMIgHzQHOPtfaCP
HP1YSFO1F9Pu/eJDmpqasPsAscJxpskogE+QIMd9WxZENyJWc2FOvbRkfqsHq38b2oxaYcUY1mae
D29uk1G5jcYm8v3/eBBan1hgFlExGFwy4jqLtA14tL/fBk3n2pB+x/6jL4n0UwbSY39g6r1xZJ32
lBk4Vs2tWv+ptb6zH0O5vRC2RVMDrBW+N01xaPNncxI4iYYa8L3RLctdiaavpDhUh8aTaDVu2l7a
wP0ZgbpAQinlJ2Kr+i3ONQzQALtO2osY1i1WFUMpp9wfPch9HvpRbiyncZeFgxg/3olFWOKwUo7y
GNfkaaWFm/CfTWdwkkWN5zppL+OoxdlFBPfFIY+SR68t85NoufwKsLCyzOUtG0Bp4n1+Bkx33rJA
pda41xbiLDF7+7kYykM3xWlEvz5E+s7B6fS5tvPP/VonsxyiWhMRtOy56/+9ylYMm9/Znys5RaHK
2tRkE2we0KPPv1O7UKt6qMzsoxo6G0aYW27rpDmF/QC8ByeE/uhlZX8UZ3hpVVuzrE7s58CmiMlT
M+nckFpr7RzLsXV0siDZ5I7j72qpS45WOJpLK036C28WSsaCIPlKBdM+anLUfOVkbN6iurJA9s9S
2TipxASPBPFTIlz2QF6JFUkxyrY9M+MhfUwhaOPKvW4SV535rRoFP9QUDmo6+AnaWF5K94MJG/Ng
T4d7X5vmaKp6b2apjrJ0WN7V56w10WSXG/Ld2qsW+vDIc93YGrGkvdbUSLmqk5+beOjOYe3ueQRG
L7n1gN10dOBHwf/q98EeywGualvvsypWKPxmtHRaMkSqJ1PdNG2bSTw9x3nlru8bbbE3vzfdaZcu
9t2/54ouMcOU8iXasnorau7vB1SQwz5BZpMkNfw2zcuLmyZcTLm1LZ+EFaznrQGr9WE0u0WTJsVR
m1qiq+ats5fr/ihaPGN+9bcYzK2GUIZF+rtPTCGH8wV/4mrdEeMtP0JIV0uUHyayFZPtVz5474mG
yoDY5bDPhiR9VUpY11N/5rrZdvCpjiIy579rGTrUxFScBz1JzSdFr6/m1A9DkmwlXg7rVLJSkkjI
pTrqMXpl2Ld9Z15SCCTXOsOoA78hHYjE1BARI923/d+NeJrmtX9M8wJI87hO/O9bCi7ZP24pno2W
CgsZ3pABFODvj8le6yjBS0ftI/G5XyC94Zw5HSR7DKk/hO9770MgPrQzlUD4bU4ax/KBO8/4fZWY
+6kp5mPknc4wbEU1W9QXH8nYLmyxgxKHwZDnlBv2p3uXGSAXHwo13UB312/TcDGMVqZc2XPRp3WR
sjAKBy88xwaB01eUpPSF81yYkrw0tZyM7tTMRx0WRi3I9TTDISUfiD0UsB+aeIkoD62sA0ajFaEJ
APFxu1D0JOYkYQytR88JvoXUvewpRfY2DR6OM5ECG6YNyKc+irJZjPx93r1PMshc33Jtn65rNHvY
G1DKweN4KHqT6KVqW2mpqD6vlMFzj+YIkzmmqu5dHr2trDTm979PjSzePvo01SjadhH0fbe2S98i
8wIJVOBAC4ymDzIKVj+I/ZNpFIk8E6Oi3dnAzXmvbqVSjTHwm+Y4rYEqT4rqueYPKY4/v68rJNVa
xzZ1AIXvxw/aWH8ZLUd+CeE74UhCcEw0y5xabSvyU0q2GK3UOFhqdkcdrJgcI7xR47bci6YnFW+U
GjUPJiLNFz9CFqAZP3CnI5loaMZlMIrgmJvKm3iLiS5yc+AOkoAiL8c6eJF+BoFEnlNsyBTMema5
QizpvlO7b8vEqFoQUPq0X5NcOdv2kMF3E1+oW9RYh+0KsER4nWEhpwLGnxCH2nTwkrwiYcjZmFE6
VOXO4t4lzsQ0MUM0xQG/gGrvukCGyboDYPAae626+MxlYIrezAw/F5CU4zHqPPfFGR58qEpvMlX6
+xGT0rloqqiGUAnKyVY0szrdt6niUrkevruV+TVSBmtBCT025X6WXGs/3gOSGr6I/mDqV3X5X/st
HlG7QNIw+5nSoT3V10vRFDlRkQ0VA/e06b2vGetNPspbqZK1I8y9bMXLTybpTfN+cH43XRn1sFHo
wVqMesQ+htvsslDD4xhs3bzQkESFxdLrdbTmo2YfcYkwZl7XFe8EDsZ54JvuviUyec0bBPN9ULzr
kaSvQzWuV9Uo5++Fqh8D3uwXW/ed2+XjNO3T5UkjLUQ/SyV9iYjvEBQ21aBTSYQ4aFTG4UVraTvR
ZCWgIGdU+D0wY0jx1MP52V3ZjRc9WM0VP2LqPNmVszkg2bjoA6lctiEJLNFnmAoZDOvq4ILx57TU
eIs6dj4wziTnSR/OI8G9jFpKNL2Ris+CoTX+RXYKdxosptoHtzUf/vcbAqrlpzcE/DubEikTCbxh
Guwq//6GsKB/FW3a5l8wbWjnCesvHMiDdJKCKRxv56ZrGPsWpe9c9U19boih2wQxdDuURr4OuwAm
JrgigPtpfAtE51PT5ru5FFsuNzPzdSZV8VJsyMw2+zUagg15crhVRf2CqGcQZxjHXUurCSiGpq5B
9N9LIbq/BkW/qIm4T0Ptcg3H6pxBk4AlHlwjUDhWm4xvFJVzT1HoS4irHN6cbsQkkRjvKUL8KaZJ
o9UeE+zY5mLBw+qCOl4Dle89C3FfCX3KaNwnf1pOfWreP5n3FFqAabF1/1Bw44dawwgWF8uTyEsm
QfekSFH3qpdGsURqXR8cKXIOkjf4S0kKk7dKK09BRYC/EQHiFMXV2eVdOlPyiUeFMc2lU+Udb+3h
TUMwu6mGknzB1BTTVEqZDrnSYqjrUuVNhCR5vH+XvSG5tnkvQ/uavsyamfcbLWGPK6aIQz198X0z
uzZdJu/u/fe54jNvN41kZLfPC7MBOt2IZTub1OhMJFrBWdLAOMoxwrM4YMr6ZUTMsRctt1PsRzd6
Ew1xjW+56largQrc+z59Tp9G8n8ssQCF/+MG0oDdGA5FRtoUlvu0E436qEpcjBO+1L6a7IjL+TcT
jr4aknnE5mNhVEZaYeqFfvbfhsVAnRvvVaXne7HRrJ2HBuvus2hEeMUtVBecp2hCo1eOstufb5vc
KJJ/FJnlgQ2yjc2gGMHc7XujW4QOwBqtyGELlIO5KcLmNWDrg+WZTwHPODoPht4pVEmP2qud6uFO
9JlTuCAcJHJxVOuL1jgAYKDWjtqmrs15AmYZ6BIQzvqT7Y9L8UMlKpEHGf/fpdgtu1njP5HInpuZ
113EjFIHapKlcbYVTRTT9q6bAj2iqWgxWtIo6NaxPmLEqVPkzWrpZOYDUUXwLyrlgkjXvEaq577d
pMghp6FKkr84ua1vcMIZ8Wjy4AkMKfDOvlfOvlW1i5HgztmL8NHE20U5h1NfBpHsKIlluxUpDu/I
gFR67D8avkraZDpUU35J9LPpexStEX4PeWxnb5uR9ThihyQeHVXmjasWU6a1UnbevqlDc+un7hMi
r+ooStZqdDhb3ynhh06PdHGQENZHEK2OonWfIUrexFW/P0PMCDw4aNoEV7g/F8XDTlUq/1i73z91
i6bVqv6RUJVo3B+Z4vkoxtzm+/1hKc4K/dhWdmmepvsbegRm0uTqduwbKYYJje4oKxnFMnbcE+/D
oqmXjfCl8XX0anWRfS2S+tGJdfenWX+06WBObLEckNiofq9q5UuKj+67F5ke0j1f2+UqG2p1Mh4Z
1NA6CmE7iKBsmyrRkx2l2rjwJ7G7GEjtiwkIldW8NG3Aey+cp63qre+hOTR0q8xpj3wLnmzP17/9
PsE99daDm9d9qFYs0G9ttDfl2D5KfoVvZFcSWmwMqWQrQqejUMG5KGo3X6XdJKQNYSnnch/M/KaW
waHqBkx1ZK8rsTjg6VM+hcNDLNnrgiK2w/35Z/G/sWK9hy+zWC+01Rlqk7S04MltuyCKn5n/prh6
89EEAGNahWSPoTvVzpJzbVmU5JDwowNox4yswd+wLsvomMAmPJmuDu6osNStZGe8dG0Hj1V2rvty
Oojm/VAW8rrDOnd774Kj1a016tDHF6WEyUvAe0nwzT+pZCMfezLZj7YUmmypRmvdWjpCk8wO25Vf
mMh+pmGQJ/ojbuMhOw+PBGcRru0AVazWas46jMtxp2BvcYgjDNwaBeukVteR6huu9VpYxrd+NNIf
YF1mlkMZ32z0ho2EDdNHJFFLoTaVuxgIis/sNisvmeSDoVPNp7iyi0sWNsEEe45WYlALkPC5krMS
g6LLUzDNrQlIbkVTkuNub3gGG/wuwiR27OJrHGrxcSyAoeYG9biropIToB+kQ3xo9HtZh6WC1zmn
olMcomn4diarRoZcmuTLfY5o8rg11xBWJKzhfBVqkl4GOz8I33rgNw9ukTgP7XRWqIE0l6N8WIqB
LsogzJYeErFkBPUCL2Lf2P3wpuJH5/TWa96qLh5leTXH8wvRgh6OL2MKLrgx1PAsDp50bVz8viSC
zufaSPu9MpRf7uNaiWdql/fqQvSpcvXVzvqQhYJFgdk6Bp0Fxiv/WhsAshxTxVKpk62TogwYtk/1
lf8yI/dkZdXl+pvG9uzsEf/UpjiIaIWG90drGmOlQcp5mpkhnb23pjG84aIfCUHcfZw1IfyGYX67
3wpQOuueSOhtuS4Kj9Oq3bs6BXtunpyGWpFe0LPOS/Toz65UtWdZSUFtZtILzLT+UGixMgOeJL2E
eYcVc+HnSzGKO3O18Kuc6uKcEgLx0WoWx49Qof/YHLRdC73RDX/9BKGnJevai8A8YY9x6Ef13CQW
sKZ0CNBDm6R6lc6uzuJAvvTU5xlwDLd6MEQErgSAwi68Jng/Lf5unfFgZOtWJZXqerAdRlNib6ZG
6WM+OWs6o9Q9hP5W9Ny771N9xUgexUCcKP00VbYkzMVytBEbhJjqkhh5NaO6NP5RUVw22aBbyOrI
ENT11YgdSvaVZsQQCT8vS8Kuac4iEZvPqcgHnMTOARJ1lT2r3LWe/Ue/3mvhEcDTR+Il2pmXz1yO
NedZRFoy2wW01OVn0Qpd601pXfcWl1EJguJ/V2Q7Mdh6NZQ7aYwh6RG1CaBzrcPAUhfi08yhHHaW
KmFkbbvVqlWykJCmQ64Yld1B1smslDhkzDpscz+4955aZTKa0HiB5fhSruQgK47DlOFiN72uSin4
bsWQzHgENxcs1KR1g/fBhiqk9hyPdjMTU8KIaAtVIF9iOIELSLAUr6lJ+x8xcP1fFpOWbFmKrem8
MLTPRh4adZ2e4uTxFwwxZ2ZbNI+KJlXnqFajXV5FeAuR7wB4Ql9uwWyOirhZi6YYAM3y+apegsaa
ObV0wUx5Bt/a7p0EMWdzP6G2InnSZE9dEo2iJGBiUOzFwU0gwGWG/BWMR7VPPasHxGCp1V6eDmKK
aOpY2P0auV/8xzXic/qhfP+P3aso7sj+qH5SLd5DqH+og6Yy9R//X2h5K79LtO5dbdNklSAvnwnP
PeFmJs5yP+a1Hsj1GdlpuBV9wbSo6IrJJ5o8ABQnSQNPMHU2UWAfE1WzDhECQqrJPTajpvLw6Qz0
pnrr63+f/f/P69RyVRtAXUSe0qAgGFUvgTWxLRZNTw+jvUhMimYEtuuPphi9T75fC2/Lnn2afG/C
3ucvigFKy71iHewsyx7sIdokU3WHOBCv1+aJo2lrArB4aY1OilRXm+uqXHyU0SChlE5r4Mst+tyI
TaRv6xH7Ak1DddxiM4ClLL/t72bUgMmN+3CXKzySzQneaPdxCqqVR77k98paNFPIfVJmpU+pSjKO
6ryT5mjJWxBn1caXGqQGohnCoDY7dzh2YTu8aOmPMBnTty5O072m29M3m49GaRAsMozMAL0zOujS
3IE5eA0CuWc7McFSpg+Tk8BbiZ/g1tSdZ3j16VPjpBhOtMYp8XxjaRhhsMUoBzf63jJIaeQ4aGJA
CwisCD64Od4DO9MumhxqWzNQ/FVlhOUX2/qQasv/+HSh2yj/UfynCvj+n99/QlSmalELghO9qtuf
DaJGbAgLyTGTF5wJkvFFV2wdHjrK9hXuPrDD3T0abwgFbfHke56+Fi3RT2bNKmf3NmoaIu+UgUEe
AsE/mEC2Uh/F+9xSGwW3vbHaapNDe1GY+WMG9Mkr4+EsutIMd8FWAmUommJAV52LWTYUDE4XWYhz
DpU/XkVLHCaPccRdRFVaSn6XoYpuyRora5017rjsQ0olWWT681IGcGhQjPDagzQggDJcqaTztkVo
YUbZQpCZyqHGuYoXxELcxLdbXtzKQZ2tdb3ce42szgxeS/h/jBVUrPzXIY/g0+qxEf8x4E9TxBXg
/5K1mAxj5UPRXHOeOzn6uHaiW0FgK/aCcyXOSjEi2iR6bXtu29a3Pnco+J4mSr18qmXz8VMc4G7Y
KWIDwTCDtaAfRLdw9LyHDGrVK/bVZK7q29hDogCRXkA0fdF59sPFoNXUD7Ge2ddEdZMn2fIfSDtJ
LyrmyXtZ1gPQq430gkgpWJuEWquO6tQzApz0zLM6fKr4hfiRbFykkEPhg0538rDYi74kd+DdJMPa
DfN2L7lSs5cyyBpOrKKiv7fF2X2OPc0WTbZ9J58gs9oq/ea2ifMJXux8N7+KMgpROCHOdB9sQZ85
VJoPmHPMPELJ93lGhgKsksKR5QHwbiUwDHDRrKC0qSkOcu0ZD6meP00VvbuhNALQTXBsjiWQy0/T
wgKc7U0dJ4+YL0VV6T+IAxaMmH0Pj6JBNJCwM5Hll6xRx206dokOSp25VjAln3SFsO3UdPgy7e06
PPLECc99Zc3irIsfRQtP0YT8RTA9jcKzOCT4dK5G9FUsL/7q03OftTwS6SRq/WNaDt9hDmrXyMxt
0crxWr+G0vhHi5zbrVUlqnoFE/XHmHCVJfQK0Cs3x53hh/JOnNVA5G5nog8dJqr8LqZAv4mLnWXY
+U7DxIF0m9WkMfYK07mio1NMwjid4Rqvbu1iGLZ90sQHAJXo8aTBPTVdMi4l8p7nLAHeOtFnr6lR
WBjWk7fo2+BHyH7ymwGNpsr7GgUAoAa9Ddh0VEDIsINMPOQdzSEpJFwo/eqna9b2W+pkzkzPleSa
oRLD3xkx0v9eUPxDuWtjRCCzeeShysOU4U/lVZHp+mmHEcPVr10Zp+hJjZs3xTzuIM6J8DX+PhBk
ZTneiVevGE2C6tcojNRfo/drxSjkvW2jZvnTv10vPk5c4KtUGBtlqQ77tAB5ktbg5T4pAsyGkns2
w7hz3oJY8G+6g67CeWO/3F1zWDi45ZrdVWfT3lDsKknqg64H+SsgtXEH2nDKyNIkUigvbU8beEjS
ND2LUvqiLo5jrWSvhpHNcWmI141RO0uv9s0N2p9ibbSqeW1G4yw2gsMETwSGUV3CzjA2lScXaw9W
zFVqtTOcvHrjGZPhal/s5CpL3w2J0nxYrkCotVTd+5jHgbg125ekMl9ElPv31KRKf021Whdr4Wmq
7fSvWZdLCxST1lEHMzMulBjtVJg1+9rxWdM1g2cfVVKwR63u7A81Gc8mN+WHrBU/LL8330H3UvuQ
uOMrqjUkkabZXnsLEQZQiAaGYjosioYghSxBYrQLX39IU6ldURjsn9wS7k3f6PXB7HRro0q9s3Ns
K9lpUgaxrevkvV0U2WYwEQM6QRaswcZapzw04EPZw/ioUhZMCrBrzgDWMC4I7PoZtBZ7eTXtXnhw
abMGfPdbYIGOr/JO+mKN4xv/kvIbC4CjNRbWD6NLVnqT+Tvc4tpN0fHPafU0fhiyoXhK8+IDlxTl
XfF0eVF5SrGLKoSQYHRmoj/pa2tdUtu26j1Lfvc9Y+PHtv/cNQ947kTb0RlCsH/diFKqCsD2t9E3
vWhmfhE1P4YC+HBjNvk1cGNvpRqStq+L1DvanpEs4V14r1FnvnTO2PyAabtqGsywzSxUNwN7Gqg+
UXOeqHIrrZHbvUU1Kw9EL181WCNcqiTkcelryYdRjDDHyhpQPxAxK8rtPYl/63YQTZNsHGsQw1+I
AcVSOnhT0xw5CTkVk26nznS5Vo/pPgr++Bgx2cZ5aG7JUIcAu1eLvpPLkysH6g5XeXXlUbX4TMFj
ygtHT39o/nuH+dG3lH3ivC9T+WlyWdlIoW5vdIx/HyXf5tYrrOKj8sDzTNeAmPrZQN295gms2Iav
3t7QUGZLSmpRwuv3hKMxZVfbMNnxNLwEYvUxHbRplSL64RKDDv6r695PVhL/YGZ1roooAtLj7TP+
n33iQ8Tf0LfxW6JRJmBiybRAZoIFB6bPpzqxH1VwHc+iyzTqXUUy+QF0kP9sO2WCgDKQ12IQy/SE
cjKSAaLpqAPxOHOtWxhUzKu+ncCAJy0e6wezlurLZErvxRFhLKWNN4ViYOcxRbWQToezVnWqh0LT
movaeH9MawYqLRPnVYusYZMTpkucjipedbJC6A1q18RBNGGC8PszjHRB+Eh7dJXMewyDHdJc4pWi
C1bQF0126l99o8mNThlAAUaNC1hl5P9ln/UP5zsEIzZVnqRWuTkVRf5UgFNoaTJmYapeyX+SjFnx
rAXsBDrNJO72BN5Eu46Os0a2+as1jd1b05iYWU+v9f5vM/95nZgJ9Ih31l9/w+/rgkiCslim48xt
XdIpwsHKdA5y1VIzacPCEj3iMFAUBbcFLOqngcqM2QWIQLFtJ/LCKdOdHxkoGaY0HTd4djJKdyNa
4gDQ31jzoCjniuF3ERWINqApxx7WfgojnbolNICN82ANgbsLtPApSEPnQXSJMykgXdN4o8Qb468B
olslTChvOOHlB1R8VB+9adU6JAU+SJFUUHaSGhdfCeU964doNiTqR0mc9zlQ7B9jrfpXmOTdakhd
Zae4kXHSdew/1Bg3nDwDJUU0CvVWbZytPMkvUZ6uI/xVXs20Cw9GQ2xQNHvqFXlqGfWq7NP8dRjV
YC4pOzPLm5MUp8mCmBRcpTEzuc07Izt55RIMKSWjlQR3PZXrZZsggl0P4/jVUDN41FFbL4lM29cm
V88aydZvSUsKBSBUeaE0yNzEGpn0f5lBdDPDt1tR1wh5lNWY1yQ11CTBYXzMl0kuJy+8y74jFHF/
qOp7UzfVY4yyGCikBZhJ1XODuE5sPHZxpuxCIiVLRBfGmwzVze+N5Jsixb9m8NPLoDczCwcY0ldV
Ds/QT7BmECW/hNSbeVyyV1bhzr1N4GjJ7va3EjnXb7wDdCWsdTxIohVZlFqq0INWoQG5o1N/eop+
IswcfZTogmctpbCvdl6kcxal0fPQAnp0+cc8xoFTQ5mT2qPhJ8Omh3q1G4LW37u9kW0yO7OPhBvj
VViCBOA3BpRBI6EMwMqsVqzBx6NWDGgj1EzberI0vEU974AcylND0emxR38wE/26W40Lze+ZNj24
+qL/Y5ocFcYMdvPwJg0pn1Ybv6YBnZ7sLn7yao9e9QmMp43lO0zqeBmbtn+ow6I8xTgczT0Eeh8K
5BFPNr8FsoyfWh2Bu/YcdVfVZcAPqxavUZZA44/Mb0kc/0ilrny2iiL/r6Wv8UlZgNeqo2i6qhBO
kw0dudvfK0HqPlKsuMmGK9U6zrnUX2yt4cELLmNntM5EoIyKdxBM+cyU6uah7QrtqVcV0Br0R2O0
xPhj4aPDAKILuU5sREQzqIw/m2IUh5p9EeQTRTI+uEoAGr3s83Nc4mDWE+1415LxKRB1uY69zQ2r
wG0t/6oNsf0qIfHERllJtiR/ftZ1Je8luSJ50+TDF99KzxXEoEs59fsU44PZxeimPRShi28e1LHb
9j+LRnnVjRm+RNObVcQFSHD1x0DNja0JNbBeG5mczmByh2vspVhZIhwnV2kD5roF060Os7LabQ9W
mHoskOS+O4i2izXAweuNhqxEjwPJ3wfEFDM3uURMrLGcWSZ2f61181FUEoraQ1Tu8WHqkhANPPm5
FYOYsLsF4kv5aFt1sbTkaTMkyzkIkKD/XgcoV1XP+GnZxTl0bekNoIAxj8JSeRwRq/P8V4jF/b48
wKzndjn/c7fLTTjvP0sc8kZtgECvu93GCnpw7sgKMPAw07eyDICiWiZc07JK33zLfG9cvXsMijG4
OMhmRffgpPYGeAKIn+midGD3p6ule9DxV3gNso2uucmbk+XmnixxCaCaZi8NF/Q3D+EEBEpL92SF
RvHsdXW877AHg+VLv5d6DxTVFc9aPSxSZ1TAHeYrva5ZgrOSP1A8/ufh3idbdbfUs1KbiSn3AdGk
UrRbolmy8MWqhkWvJvGTU6TOkuWGfDKdAK+mMCkOXjFk24hl4S6hcmGPY2ax0cKmgRGSKCvZa9FS
hGOC+U7Yn+PYgYtup9UVrqU76xWleZP9yX8tHLSvqjvlgPPsR5lXqwHKrj8bjTWcZieYaYM7ayIP
gx85IwnjWvW3xgsuWjum4U9MXFiuTvmzviIv4DbRkzy1MjvYuTzfnsQYGZ3bmDaJ4n+PiZzcP68D
wucv2i6FazmxhBwdzJqbOf5GVGCijdV2GX67MyE1qD1LWuF+k1PqyjeyuTiyt2UZ7/1Eqbj13Sx4
JxYCV1vqoxNusNpOBm2zSkLVutglWewANMuPEAcp6JzfSwWO56imEm4EY7auWQzseg9ckgf7fFGo
8fAOzn0fOHF9hAetrS0ieXjbSN5PSk6TVNd+Snn9jlGy8mo1Ub4o7GZ80Kx82Iyamm81t9FXkRT7
e0gpwSr2K2WvlUpwlGvguBR9Ra9aF7/AAWhwRmtWTaT7X4cIbkduDv4jwgieNPg0bbyy1Z4sP/LZ
FqvGh9V9YcmM3CBOte4YCJmC2efdfspPdpNeQQxQEfTrTFcGLM+MDBOZwTAf265+L3Onf2vtAWRd
qhNrnAqxakVfyI3kPA9xVxzQNQVzudYDbKRCytX4emxE0xnLI2T77ly6df3UZdFFnWY5gFM3ST0A
pZmaBO+IfEr+N1CkzYl8Av8VOWKke5HUGEzufklALP93sdXQ4KkAcupBdFl4TG/K2F+TK9D2cdQj
uPAsZ63nFU8GGLmLSmma5whrIjjgbfel9vKnkG8HuHBpGYHb8zFtyveD1nof9agg7PcCHR/Z021h
IEXfeFC/uLWuvea1MgI1T/2laOLE22DSwJ12G+Wf1aWeefrfcR/zH+8+U9MIEKtU8OP69Q+Ft9KN
SKTNQnrunFShtknT5oCw2we5S6Jd1ZXuCrlk9uxmLEt0NbG+59QFejU38X3ugK5xO0QnlgVMD/L0
OS+AK+aZZt6nJzJEKvHRkGfD3W3u9NHGpCap3Fqd34TaKSYasziO9zUR3x9lrex6bMS+1FWrz4M6
TB8xzFM3GfuOjZcp4aOHahTX28z7kqDI9liUi4vazoqIglKnMVI3oU5PgtxIgmfLw21uys77AK+e
IwwvhExBjP1u4T34eWy6jioX6z+wMpTM/b2MDkqtpmswDGRT4w8V6H9ffRC+cXXKCa1njdTuImqG
KH+NDbD1Pm7zFIpVe1vu0GaK07IhHYkJVrW/jaQ6NEfR2cUVmUiMd+ceficr2RyPos5FlMOIs081
MZ+aXWcM0CNqU98gloIN1LQtC/DWvmDVzqLTbpu9IhXWoY7MFpysol9BlXizaRf0I8kPwBiM7+Ii
IPNcZIXNStbY84uLqsjjtvRt7WrFOUv9+AHQqf+96fAcUCvuEtD+c3OgGAZ131erNsc3R6mrOVoW
4ywP2C5mUWAe61CXNugP5W0kR/7RoFxgpY+dtHN8/cV3iZLFFNkcCNE5e+pDw5WUjN1ziiaOd2U3
/ADGHtY6XxDq8aj3aMNrFznGMnDKXxcRCA9uF7FtLX5fNIhKgRJUVxmrwe2icPqbpm3T7W9yAW8/
yy6k1pYCoHWrOwm+1qMfvIy19xVNmHLotCjcjXnosNglyli5rGUrzEc2+hSDLDQZIHkxOLcYJHip
2bTfvOaxsehk6jclSTHf8vZnNdW5103dr0riKRvbCK2pu9DC7NHTo7fESlzwaGh1q0p9BWPonkSX
OIimk8QrAu/h4VO/XqnqvEm6cpkO56jRBgjfABDJgJQHcXY/iL7Ia/NNlB54Qtkt+zb5kkZTwXHs
GgdliiDjQpXOVDs1D2prqlcxOjQ4yZTOxSv7aqsmkfYajc6KJJ15kXvLfyr97gIFmiSYXjkbJYnM
hTSqGth/eEBZXqabjvj7Qty1ij2kG2ewm1tTjCZmvnWVYW3k9U9jUmPCxgU4RBkXXTQlnE8K6j/P
bvZdGyzpUDmDdRQLXF9ZBZZcHG9rXtU2caDRW7VdEJxmORNBd+vkEHpa5VNdzZKMXSYc/sr3D3no
J3DLwz/7R3Z9fWokl2m+0STOu64e4oEK/6RGYxs1mCSKnwibpS1Lf3uBMam8gcPKLyDxx1kCx/ZY
R352lWpvKfaZQ/p/tJ3XcuNIsG2/CBHw5pWglyiRkrrV6hdEW3jv8fV3oagRdDTmzMSJ+4JAVWYV
IIoEqjJz790Wh5T4sNvHavs4DgFio7YWbUWi0IvhLE8RrLmN+cies+hcyMr4meqzp+u6nVovbT1p
krxlbWwdU6+VTjYyrmtkIcsvRhOf/TnW2UXF0Uwz46WPZ2k91mX3pRd6B0eq613oOzrKeIm6sqlV
+dmoWz2uf2dgHV6y/IFgcA6I8I8TSfrY896UUb0Qrd77ZGVjvciA+0TKgdqXOUdkEW6dv05ZTcpI
DRV/K6wdMMkyH7/b1gppzPSHx7/TBUrQ3CWhFd+2Rh7CvVZbL21abeqkUX6keSuvHCWeLgmLJAoB
EahNwt75lDbdk/Co0pANa5h8aoqk3LV2Fh6UpC0f2jn4JjwsiCcKJApOBc+0dTPzjVTzoZcB08gB
hOVISI7s682ITsvUXGj/o0/pEN5palKexcsnp8WA4iy+xrNtaTWa/671Ns7z+CL+89vfka0/v//n
chsyPwqJuj9zIWmGVEuz1PDT5BwrSenbQ5hSk+Q4erdGPtW8EcAIcea3HhsgHYzTOqo9JO+aztu2
GbQ/gFPA4RObQGNhQFkskJ9iCw1Vk0fVbtSbaGt6GVHhubRYFBlHM8dNk8NPVAJYCyE1ujF5sn62
dOdzZsfqvWjJ/qxJHD3FIVEbRFq8I8/tau1nlvEC4vqnRaHcpXBq6S6ekNRNQZjdjY5UEoMYLkHT
1YD/2p8GTLUvFZE1ahe68TnS2tBFXeEcj36P5iUodES/8rsKrYd9pPT1oWJ3mrKH3Ixt2T0Oqjzd
JmH7VZnU7nEsMxWp4c5HJ5qsQsG77qdj1iuNz24fK5G0h6T8+4hw3UOqpwWfh6+te8WpvkGhvcnU
wnrWR93bAQfOoBAv2gus7Sd00dSXJNXWIq8kN/ASjX0enK2ovPRSgGDXEJpoc4BFEQden1Qo5iV0
azNOaMZVdb97lfctGZqwdL4EuQfRpiZXN7Y1NvekxHiVtuE4qwmU2yr29PuKp5PbI8KwtXsqClag
tmFtamPrwfbke40yuG8KBTOrvMizlWcVBRuecZvL9nNgZN13Gy3nVdkjz4zOTLQzK1lxeQL0z45p
Ij6qB90PHzh85Zd9sGq1py7Tnd9GJ13YFEMljtLyaIFYGGPVbRqlWfVpYO9ivXFucqSo94hPHr0p
zzbKCIo9qVHYobr6ecraYdtRF7fNvZYdeNbcQ6hNHI2iw+9t3J9tkq2/SDkRs7EcF6EnNEGlpkGl
vKaUG7QfDn/AArNx6oAtJLeDH0QXcShLdOykmBK+uSuWkIUMEbzZFEaunHprBH/QF18GuziXZlY8
UZX7pFROcg+Jkvwpl5TPua9Yd2pU1KfRqM4AASjpT6OILdyvSG6zWzn0Hxxw3QffSkMI68Ncv5UI
QDubKTDTl94kaly0crUVTWk07+2C7aGpdv1dazbDykcO4EVHrHNdyW1wozrtiTJNm/pnWMQEgiZw
OCvhbIqLwN+lY//aL4wxQUzCNbOLaMM29lWycuRRvfETmZHsvkyiT6xO6rtxiPglTb1y7Pu6+yzb
PKkpDU93BEl+8t7tL6ndaadhsPZGogeovJiwA3N2EUZ59PpLN1gWcmXxd3KMePQwJBycEF6yazuE
ERdxU0T7vCHrNgWR5c8sY9oNpfe81uamqZmOKztKe8jgZ96GTjG6fVOjvN6aWnZzPbX0lm0SKy7b
7efe2OcFZauSG/R3qLE4x6wez+UYGfd2ij5j32x0R/uZ9worvKj53utGd56atHDV3K62VfgyVRT6
Rux0xjaqf/f6Y29b/ac6Dpzb0pvADpeIrg9xC4gk4pEOhZ+3l3vI/wt+zudUaotzNp9ZunJOeejf
iC5h7PI63fW95ruiSXFTeicp1feYlHBeW8ZTFcvdoa/NyhVNK/QnIm/xt0jKzCe4hfuHtM0ROaJV
5CA2Q79rN4M8SLfTfKCa7PUsibVuFrD4tnQtbouvA6KY1AZXfxtpmfUNVby/S6+wj0NZRwe79Rwg
oUO6D3XFP/VhWO+CSovvSCWOW63QyvvJRunUSaH26Hv/7PBm3udpnt7AR9ygvKKj2BXmaJ3AlLpV
R3m6H8om33gUfzy0Uwz1tN7LT0VyqSqDqgN7Si/wWkf7Tq+qA1oEzf0YtiFxr6R6Ub3sJJf80uOE
2gIlq79GVau5VOqh5EnadU8hlbzv0BB1y1wFbkcU9aCYzNYb0vzK6EvXtjTlm8nGAgkQ85ddpI8K
awi3Jqh47jVpA7lI8VsHVBbwLHzxO+4QFfP8bKAEsa/G5s7mp7SLVXRpBoNaGdlCkqkwA/VZNurv
qplGvzPzRJUmBAv8mM8muecXCwEmt+yU+gG6l3ZbJk1+aw/VjRORE/R8qT6DMGrdrCYTUOaDG+RV
8ksO2GY5GWsS09azLfDC/GaaNOOkUkeyDpxe+aL344kYiE2i0lF4ZG8Rti2/oRo0bXpbLo+EKa2H
rO5/ga3gQUnWnh1xbV7Suo1utNCHyS/tEIVx5u2LYXyPlMIHltGMeyVAZdz0WSJBWXRpqdL94VAm
t1KydHwYU72nwrySt1XWtc+EJ0iQ4BHOC2e7zNOLirQxdQD1Xrb85GBNjnlQJqTI+V/Gu1FuzHtH
L5112M90VUPkoBodjrdZQTn+EDrek6Hr9RkZzWMMMrXX+pWGzhxKM01yCiHg25FBRt/ZoLjL57Nc
m31YHkTpVwuxOZUidgOpFda6tVctnKZPSAFmDzKKCVrRGDdG1SWupiOU3rYKWmO2kr0AxPhF1mU4
lw7QjlxD+29+5hqxsyo6qXBDlTjsiAr8oQu7cTd0cfbgqz1qm3lb/zCdCjLPVvmFhOWvUg6tT6Ws
Txu0bV/sEYWrPNOcM5KPzhmAfb9SI76onimp0opAkLKeKgsBP69yzsLRcUx9h+qng4DeH30wu4Fv
MXiwzLMIt8QYzDMqkHPHdbLEVHY+VQ1dPz2Pkh9s7LzITpJPABDMIOvnTktuncj5asWacwo19tdB
/ThpWuiqkwphrQPKvfKO1iyoWwBQcSf4tSk9gRTfSWoVhZxkvC/mQ7jPxjTbsjkO9wU7hbVutuoz
dKfftGoYfpOfm6hUZqHCbrtCghbRUQf1bWLfPC4TfzpKSBUGumRcBp4je1TpEIotTeWTiTr33ouR
yOErz+9VSb5QCJOsJ7tmwSUX4+3kUT2Saoa1jUxtgA8ozre2PFq3edm2HUxK7aORW+le9C0Hpbb/
cKltlbiaRfkXqxEYCev62a77GnFcPfzcQeq+7lJDO8dOwBaVWgjquXeRNgERAJBAfQ9EkL2K3uwU
Nie0sdkCEqF6TMkzrQBlDwfRp6SaueqmBlCxZJ8jLbR+kYtCBcFtPN9+8DVWyaEqf5NnyUgqT5EV
kkCarDy4k8NxDk2UUs9CMP4i1WHy0ssIQHeUA82FyzYB8OBIVXoHAZpmuvFgVxuTGnojCElI+ml4
KxdDdginjN9DIUvr0ppUUnuO9zBa/YNv+iew0X4AOZBEgCVud55S5RfiaUCSJbShJKUBNm6yagJS
W30y8zE6DcQ1CIU01ae4yO07J9af+P6YT9MImgc4+B8IcWtmi1mgYCW7uHXZkQAWAHFhiMrau2uK
H6JhBoG8ya0+XltWNZ1jqLFWmtIMIBO06Xztg+1jpyaI14qmMLBbgCNFggOGQUUfxa5sZCyAZ9a0
wbHK27ZNXs8SrYjR9yLvKoV93ZCHxed6ypOI71Uid1so8+FFNKCclGSg3anieCdx4GvgHFqQVhrc
IiejMnkBpNGlKRGklXMei6xgrYsyISbn8ckcjMqwLqKvsfOjGtfTPo9sFYIpkF1tYpKFH2CDk5F4
ysvxjqyTdpbH0XA1L/AvAXe9G1G/3UtsLUvUzUCjjXMI4Z4K1nVnyDqvaSo3nUIFixPpLx2gvlPQ
/URTmERriy63YxO4LcLYOtZezVpsPlNi6HOunaItDo11R5Z33HZt2GwIm5KiKEBC9lLy4sVB/BUx
gZkRRWo+87xX3Cby/EdqUcKNHlXevSnzpQjjb2yuSMC3FcX7rcGrZW6KQ++oVNUaDtEBcG2Y1MEy
j1m/lvpEPWv1Q6jXABtlE+oVjw8YSgSYk2WnSg6eqfbgNxQpdIuJeIAeG8k6nCTtIg5lACSQ1Va7
VXz5ta9q2paEjVoehqTSr369otyR0DNv49xwtkU014lbin5sQiItDhzWT0pg1g993a9kSHCfdKvb
OLEsXeaFutfWyrNGxeotAQLv2jSKFPH3Ebm9VC3QDc06FDAK6P93UDAl5GLzH7YX5SgH9P2R31rI
jlkfLgZMGu7oJNPOcDwbKSbpcxDl8UMPQhKlwvrJH8fqKacaqdAa5a7wperJ0ZCe7uCo5glLExUW
xLc6QjNe490ZOUVVQLe8uywyfyrTFD37aVQdQhk5w9Lx42cTtMxG7+twL6wgIuDuDPSC6hWsyEzA
cotKmWzr8gPvD8pY6B6sDtxikCO6yEbzxpImCgY7Q9sbWp2sYRExQUwhs5dSwLQGB25+SgkloF9h
yyhc0zRGWdkVOa93KbYMQiwB/J2UiW7EWNXp/F2hFO3mOral6Iy3PXG+2ZkVXr3NJyrjhRXR93Cr
j1N5bVKmxQtrRAheOGc9Onn6oENnOF9X9uNsUyGUt7uOHQZvbZHQ3glnrWvUdRXY3tWamHULv0Va
7q9jw57EW0dKSPwJ8RRILhnWeIcYz96wnO6+g/p+m4ZTcWvHN1SfhE9S7XaK3D9JitU9pdXwGRSV
c0JcdNiXHeBNSRv6+xYBOyPsHLBDUmhe+xrlWznBp3bt6iAruNNJNntyAc9txI6ZQvPgaPd2fy/m
yKowgfMkC3dIe7qplfUs8RDPpnw6ufF9gN+g3n5kBKe+FQWaiFR5GPepZ0T7cLCPTTOlZzTZP7Vy
7D+DR1aP6FrAeO0M/nMVN2iryca4FVaKBxDrLBPnKKy5Xj2mdd6d/dDWPrff6jL192qQy+uiNyoY
Q0zUfMGt7uqIJCeaFtAgISPfGZvIsP44TeZTXUlL1X3n8O5UT5ViG4+ED3zjwQOE+dnkzyMhSxkv
2tifNb5tFy/Jj6IlGb1+H/njg2hFUwYFatb/EK2KPxr4dliSbkULcKrgDrIHcnRi1qiZtK1HZco6
MiXtfvTk14MuHSyp9++Xbhb8xTHx/E/CaelP9FbZBCOZ4g+G3I/kVemBFlichQvxCPY68Jj1b5fz
OjaMRqUon8DDb8O+GV/syfTWU0NR86hk8klWCXdRO7224XoB/14FbjiroIhDOYuiiLNEM2x+3qhN
ThY8IaJPeTtL8tTZDB2Akg8G4SysfSv576yAfZBfMfuaqASx1+usdW2vknqicK8FVEyAZZyyI3Rh
r4eIpcIxmQ/ibDEsfovhg9+/cFmmnyiIj1di/mWcaC4+y5X+hcuHqZaxf3uXf3u15Q4Wlw/T1/5c
mPfB/OFKyzTLzXyYZnH5b5/H307zz1cSw8RdKh0Sd20QPix/guhfmn97ib91WQwfPoj/PtXyZ3yY
avnA/tPVPtzBfxr7z5/L3071z3cKvUPF6lDLEWAdWdqF889QHP6h/c5EKopRWWK/jrq2Wz1Gm3Ge
6tq+Dng37C+vIDrFVO9Hid6/9F+uuvjI5J2nzWJ5P9P/9fpsZth693rE6ny54nXW63WW677v/b9e
93rF93+JuHoDBsIo+267XHW5qw99S/Pjjf7tEGF4d+vLFMKSzP/yD33C8C/6/oXLf5+KmnpUsFH4
WenRWN+1Q2BtKiriXdEMupkyQM9qKnewUqNluHJpe2vJrnN1l9SI+tWVw4pyNgvHYfSpiaN45RaQ
enVU0dTV18LsdxtdT5wTNb8g6ERXNznJTYliNSXhhbpTR81ao5fNz4qoN2kGSi9nubarmJvQdRNq
bmD2oPQUp8YwIaW7aLyp1uvApWuRgvM8LYLluE6+eWEtHXQon90sTeMdOSniUXKaP1CVudfLrLmD
bCl7kIi+3BpOcxY24VXyy906ZjWsgYVnD8JNjZESCwi2HIWLigzsxctYmjKrcEiKnBouPVJWy0T/
8uqq3Z0tQ/UIov7FlZ0R5iXV++5nGhG4zO5PE5VY48qE++Mk2ohNBu6QOK/mxYAA8quLqUu45AMu
ef/aJ8aKg/Bz3mYxyjjY5jrgXaUA0aJVEVkAcSoORAkhKV3a75xi2z5RfTnu3o2h8vQP93e9kCsm
Ngq7cg9NHxz+qLyZd50SWnfiLEG7ouuy9vShnwVRuGZ9ynfow4ChCW672Iet4Y85hIc4FGxvYYEy
u93SJ86CxOr2wCB/fegXkxS1fVMVk3kURtFlJf02lcf+UFJvT80keUKEnAw+IsvNzMq59guj6Bdn
y4HyOvNGNCdBgCdObZIpXhW9jhXDaj301qFWNWiepcOWEoDODaNJdVbw69XnVakQJEHUSOJbSwk1
YTu03iMnb869LzfnSimso9XZT6Jr6Yd+68lIG5u9Bq7ikFKOvDV1v3PHeaTou15DzLR0iuvYlj9e
ryMMcjF9SfMKAd4ZpivO4IG6vOJ1P0B3IeFzitXVdj0XmF2B3oUWlmqHZu3AyxmQwz3KjaYl8JqX
aMlLpWRy7kkoD78/bxStkl3h7jVVN9w0imqu/LpL0SrXXrHTsdQ6NtEN0NHLQStqyDqJ5ouudy4f
kdfC7kdoxZMVZYqrqyZ5vRgugNjQF6xCeP4RTiNmrWsApevENm+CuSgChUj5a5rDDjQraSwegako
kAb3qasePhT9xCnF51vRac1qoeBfDQIg6/ytNghOo5vM9MkczRFAfikPIVlUiCuhxRMHCNlTdOWa
7kqaVwg+6dmvIRt29aPUAsV7s6mhjivqy8xQsA2bKloHUL0HLpWCGeUgabTuPae6FP1YXUSfMve1
gLqRHCJGuxVtYf4wzyBH93Xr+YfOrPvbTja6W6cnQ7wS7QgW+htbvcvbfMjWVwPBJ+oBBqv9HiBu
Q+JeRSNb8ov1MkObRa9zfegL5vk89e5DtymHEgrRw6V9Uwl99155VRGtvMklhqC8e8NcXzukAG+u
PqL9buT1JdN7oYyovCe7IPzgx5XImKZJ+NyDC9tls9icOCRvZ6MQlVvawtz18XXEh37RZAfd7aj8
/1L3rT2tCHyCmnIAMad6KJ2WQ+bVr03db1YtZSK3wij6r2M70DiuP1XTZhlGVN1bd0WpuFe2WyS8
M2BQPWSAuhaGFAEr5Uay6hdtbFP/2GRWf5tFGRvTsC4P0ZSUh1hLbPmhN4gdyIOducKnmh1jgUgY
HSqjW7JuxCHvRJcdqLnLYrSHHqRW5NR1VBO+4sGa9rzmlHvArOq9OEvRAVWnsD0t/SrSbbepasBd
hKsjU1S7UobC2FncNhA/OpcDYT3+Eqq+16HkzJmB2RzqDlSVb1cTffV8ySGXSMlwteUGgiqrb7ta
v17tXX+WlFTHoIvXT+phSsJyR5xafnTaFKJKyTN/qsh5BG3af7ebrHcrQP1n78031Kzpg29vfam4
TFLCp+wrpADaGnK0xKkJJ2X+XoOvqb+aSzMkIkmlw2tfDrAqH0oUduYR18Finj6Yg3plYK/q2VLB
Y6asxYzmEOyFy8ch89xAa0NY3xkhrLlRrhPVsgbznpr1bGPXEA3zrzN/mgE4ESUuvwVmBK+HUSf3
ZRWj/YuY4dYA5/IkfAVdy//0lbvJIE1D6YOkVtLKUnglCcxAjeoBYJiY5lxGLGvwqgmrQBsIq2VT
6CCsYmzekoeUHU13KtdjHlcnT76qZpUD4vVE4Evqp5amsJazEpWwpjmqMpVOQVOtwPLrtCvdSwDq
kEy9F2eLYekLZisVHMrOjEArCD9x6GFjvhrAbvycyPBNfU8SdRkgLvFhJnGJEbYTGKGZWDgv107m
m6L6qj6VlDVpll5szJFyvNAcohdwUMjByC8+HwDJwhCq4b5VXkpDociqGB/HvAefJ8UJmXBfebEy
2SL5KXsnP5lkBBD5ws7DxaxZk1WHgXjvv5vVG1S4MSQJfR8Wjwejt42d4nUgs6nPWsEf1t2Gaug/
B8V08Eui/Y0dTU95mbvDTIwGfi6/U1tko/zZC9Aia2cTjRlhdWK15E9hSmEVU4LK62+FNdTld1Nm
Y0aimDnsJv9JSiEhw+DkVNBb7YMM4fihtQNzi9iV+VmawjvxHl48Ego/D0VoGdugNiBd1mGn6lfV
ZJQ7sU6eolC70a3M/bBWBlTJCnySZe3GiF6tr33CEtbVO8s48PpZXZfqJHz2Wl4/xkoYoJ2RwKKj
18dG7qX+7q1JUtQ/icOUWQfA0cXJlNCzY6J8Xyt2+CAODgUeRUwtnmjBbaGeSr250TodAZh0TIdd
2vYdD1kGTPz+H6w0adxZf2uXQ0WHSEwjH4umtU7CZVS9/s60p90yQDWneM8TFFS9GODJueE20Kdf
fa7XneL7Is+D6yQa9I73wUjiU9yFRRk+su2esRK+4kDVdLKmtqnf6vP0k2QX7oAqwqOUrOUI4ZS8
rfvH0a9UN+wRvhV9AxW3t1RF/XRmvlfRVeY6VEGpfLLmrp7q9G1cmawi52bBpu9BM74Im3DXI3Ck
Tgpkp5E9/Tim3gvcIf2N4/v9zegNVKGLU3Hg8S5J6Fq8OXz0Kt8swkc0vbzxy5VoQ3UWblRj6q5z
Lj5pHo2eu4wW8xrV+Hof1ylEu0itJ7mv/N0HF7OWeaP6zqfAqFBSaR39aHdSSO3gJHMqDktb2IWn
MFtQZb16ira5eF5NwpWExOgqPjwjwknMIc6WS6JNIGnuX15NeLJHDWAdpDJRVuvh3oJgcB0NSrwR
zc4J6Ou04b6zJ2vVw0Gx/WDw+uRnQL7l8LE/H45BkSo3VVYlJnIqTDLYj+pY9He+6jcUJ6XW1mFn
eYHUvlp51dQfRFMc4tZ+kPUuuhWtMoqUS2sM6wwBoft8bjm6718AZi5DSlg4Tm1r7L2xnkLXaRtY
Bpz0mwL8O3TheJn4iaiQ/Ynh84UHPei3dZhSp1RWLuU9/aWy5OARIAB1ld6jOGiR2VBBZHjHZO6z
awpVp0lC3GVukq1v7zNfPZa68zpA7ShhMBASFF1A0dKNNXXQxs7+1N5mt11u/V78gQZS3mWibjc7
lF05un4XjHvRnJqipRjNDF3RlOxEe8iKz2mcvF4NVqSS8KVpHbSkiam6yTWCNvasWwaXaMRfFvlr
KNZRLJv7wtygiHhp6wcNoBxc/Th4s4PwEk1x0EIzoo4m99cfDEsT7RZ9GxgmNYKfNcVGJ2fUfKRS
bJJNAzz2BoWP66avpy1ZeKjr7TC4yKG9isYi/ZNVjNWR5BG+iWb7j2I84P6P44VHADnt1WO5wtv1
hXGZg6JguHwpQneg+t8aARxecYWE3soEvHOypWYDMsOHSMDof1RN5B+jucZ6JbxbM7TcMdCGszg0
sKaeCq+G1r4Zz5kJyCONvHQn7gmKaSQZjOr22rJJo9WSMaxi8XG8WcXdpX9hTQiJvRvbzmP7+aPL
5NjYk6v2QTglQG/iojpSLgi3FAWwD0PgJuGc8J97cjlyjuaQ/Ramq1PltZuktMPNMsbv82Q1dv7r
PMIAmfH/x3mWaw//+/203SS7mgFDWZkY2m1eq7suUo1D42mst5Ku027HkmlYeiXabWJq0XEAAows
pHYrunphvfoI9xJQzkZpHLAk8xDhKeYWTWlAPWJd+hA+NXE5bkSnMF+vKNwHQEgbwFfVKrTD+PUp
XYzU+awKXRv3aGJsUL8LdZeghn4My9SgdJtnfuPzykNigrYjnu/CTixntDdF2TT713WNN4QHonzS
HT8Q/95uE3s75A1yYW998mxA/w5kTqVe+zOYdxBLnl2QJf/SqUZxEONFlxig8PVZ802BFmUeLwx9
l9q3pjpK2ygdwHP0xS21EuXtpBjF7V81hUG4jLBam9UEtPZ/9xUzJaH/zTJhRKvMx0LSJFec6RSt
XM+yua9IJMT/3qz/7IcerERVMMFMO9l84MYSTZUyXikLKZid13GiSxyqoPPfyXAnlBYkngZtW+qf
FMsHfEZ+WddTapwHXaOAOXrU5m4vbePjyF7aFU2jBHoPR5JEAfOUP6sKQXiiQNZJWFnRX+eYWNOc
Iyt49AErPXOI+dnqrGNQuDBT9N52eWE91J6JmuTSBBxy6HwITXZS7VytPmRll8jUjVsowofzBE2K
MWrtDSRo49nTOdShBAt2Gaprqyt4eA2RGd9O9usAMUocbC25DhUtMX4w4mhjUUqzLuwyIdbZjrtc
CbVLAdBq0xbEyXTDQFJv7vMkvXGL3KyvLsIwMsEKZrbsWKjjr9Y3lCOhYe0CqelRjgL5pLSNHbr5
8whW7NLMprFtpJNiDvtGs5wQIe10PMaS+vvqqQPWojpdz11xzeVmEh+u74iymIIa9hvRnzRO45ZI
fOyuUy03I8ziBiMrud7IMl3+rDixdcgi1YcwgY2dNu8s7VDq9pT6g9uS2NKvlk5lnKi7FftF4U7N
N56Q1l99likWw9K3TIPaT7Sa+J2idT98JoT2DKBSemry0djlrV7sm7RKnmDy+65S+PjjfzoMIYIX
lU9YRlABjTI4GQ0iL0EGKAemtjbL9H1Tn5vCWViF89IU1g9jc5Py9IYaa7dvDe2UxtQDDZ79hfpW
xTv6CnTpgHhg+aoKaSRME+knYrvaSXjXQ7OOK62/yZvfSW7oxwCKpxuQpPyrSgmdSpCheQWJGL3o
mA83hISEdZxdxJk4VDUgqavlY9sMG+1odj+QNDPBRc9+YjrRJojUAoUuj9HoQ9fux10KDJqDNimB
tB9KAvYT7xG3M8rM/p0kenpDNXBB6DNM05uaiig3tjzFFYNqO3E2YduGrK0yS9JPaDWDWu9HEICz
QvrchDVqvHcCr0WE3Hm1GnJXXSakAU4A8J7ZdeZf2jSaVkoees9tSzmS0uXjs1eGxspp6uzZs5Ad
zHPfQUWhllaSAWa31UA0kTZwjgrqtFecth5F3rWpCKoH2GreNRerwNX927FJ4oeu1bMlb2b0p9ZS
HqNVocJawbFO5sx2QvqMKvaRnOFN75cb0TdQcjmtr+Z5SNrlyqaaZ9ABdG0cRa02diUVe+hT7E0M
bPdFjaPPNRCDi9yV6n2flslK9Gdpp69TmTJyZy7qBf7M0kz54k1lc+QDqFEqSeMX0G31qvYd745a
wOmhkJqL6PfVtNwmnm4QGOMiYd1sW51yogaezefwqxZEw89+8pEr4LF26Ypm2qN+Uu5lPfUf2A5S
Q29m5s/wq9rAfyI8oTcbL2YELczryhq+SZBPaDquobBIwEC9yc+LTqAGyWYcreRENZ51n5WS5Eq+
wdvs7czPCJWKvvDtbLFez6IhP7UZ5Fihb14CVq8HvovanTgAYtfvjMhDtRHlwNUHg2iOkXcpitQ+
CN/FA553ImEGNadd4j9A7pc9KlUSbTyZsv+8BjgWSUXhGp2V/GiGyJ30cfjqoy62mar4vUc9p0j+
0UPwRCVR6KZhgJqoLwH4yKDa3MFuk/IrkuTg3ps3HHXgWGtDhhPsKqIciM2JNW9DhN3zwTdIoXHj
wBnarp3ZIKxOYvOjSarTKBUVoJB5T/Nu2Dw3OeDhpq5OzSy1q3YEfLXSKR5GChMPvS2p22EqpM9E
sK4eGqCfVTpCPGRGQKIy8sPKzK2OCvg3Us/KDcy6zQM8iuMd3Od7LeO2XTkf860xqv1a+IqDJiff
oLBTbkSrbMMJTGW3h8+9PrO5dLupIi3pIeYmhHKbmjhcrhEdmepm/GSp2VpAoKFHZTuMnMpaoJxt
1VJWtmnKJwCKbhIonfQYeuO4gXU/N0HKQIsrDoEpy0fJmA/Umqc8RTiltlZXgRS031OejWQKZotw
nzHtf3ea+YhAVsBhwb2W43AJ5+c1ZF8GOZzEYFsPcCH7NXlNtv0g+DlZJVqBo7V/p/L5wSWLtOEm
GQN9NcHCsRbWiZpdaGD99wc/rnfR21Qf3GL7XnKUtA53UK6o0bpJjXXTmNnZKBI2mnoc7Sq1Sda1
GrLTlBOA862Mzqhefe+L1NmqnTwhRYA+tdCuFn2N003uIA31RRj+tk+ex4LwA5q6+IghSVX3bjsO
ylokHheC6Gva8l0eM0C9aOv1/SeRtbyar9zRfz6/pjd1DUm6K+d0m7fmtsvbT3a4hvxyZahDcurH
rgs2sQTU08r+1IxnlHHWE6FLumYnWm+uzYxFrubDW7+YUbREv/B48xf9+iyQ9OYvLilcna9mCQFT
ATkmu2QOeeGZm7qrptXSJ85m/syTmjvQ2Aofw4aXELz+67jG7gEFCc8+Lv3T0MfWJi/j9z7LjA3E
azuyUT/RSzCPZWncXT8P0YT1Clg0H8DyF5Flu7qJLjuzyAK8Db02heVDHxHfb55flStF7eVN3fBk
E+wCRa39pKC+u/cpLaaGVVkJDoLaL9NbXYcnVHiJQZbfwb4wU5n/eVBTx6fXVIkSKih96xlwtyIe
0ZBCnnkVF+ZwEm0feZxtN5JKFH3S7PPeEdT1hqeVdR0tzMSEFTKLxN+ovdYgHop+6WTeDlI2amdx
mJrOWlt97W+Wvgp4HSlE2V+lmayzLUaqvZ+Fw8SBaDV8qxUx72zwYHCchcMCM9YQo/4qHN51t52y
hc42dUXfMgcxOeqeasu6ziEMZqY4J9VnqTlfqn27HlVAyXaa9P6jgTXHD1Kv3WGZvHT4GRR6y5fP
UfcwKEEJM4u2QmpYXf4fa1e23LaubL+IVSQ4v0rUPFmWh8QvrGTvbILzAE7g19+FpmM52Tnn1q26
Lyyi0QBlmSKB7tVrmaxEnbVrXUQBFXqIQzZX5UAmcqBD4n42kasaCLCyPQ/8da779L/OJcv2ix8n
xt5jfOE69rvEZGKUULw3wu5d16YtQYrEJt/adXrWPvZ97j/0OVcxKmjJDBH0VUMd3nMbgSvk4gvj
3dtFOc5Dia3M797369EIXc1PNmmN/sOI+anVVcZrnPPXMY3d6zhguVenJt9Rk0p3/Mk9oApNnKiG
J0/86JoYB2qQEwczPWoZradY1f2QHd7hJu2BmmpsFIMtO0jnBYbAL4dGkA8qkN8vdZ9KXcpFEBey
2/gwRlvya9igzk/NoaPy6jjgMrmvMlt6WKwjnQNkAZz+A8/7czNl8kAmOlRgddpA9pqBzBFuiDyC
Sz6Bn24DPJBqbr2vRytxoSQM2e0tbSVSesXRKR3A4RgGrWEYC9qmkI22JXR2t91H/GajCSxk/Ra6
V3YrjgJQQIbAF/aJNAzFou6u0bPDTCeGctd3wrBSNivbZqDI7CEuuNZQP7luVIJ0Sqt8jTKDdF2r
bOq9V0bsr9EAggYpvXiJOiV39RtMnprUWyHlOPfeYfIEp0eWls9jf+uYp1K96YQ7GdqGiG6higia
Ri9TBaau0ACjv9cb9kvYsTcIMhUX6uxatgBJHnuq88Z/lIxvyMxzCPGZA+pwRxY7L2Opi12hV2lA
vXYktFXkJ8ijqQuE0D6eLzBPObq/XQDJxE8XiD3hrUFlCtQrylzao83TJZoIu1AztwHokwZbZmm/
B4Gnd+xCGQfCjuPvNQo5Jgb+UwjBWeuBlQ5ILcr0edSaKzkAQOmC7CIyL/eRkAfk32sDm2A/tL5k
U26vIe6C28oGa3025uCHUZiVXoFd7geyFRBeAb1tsbnb/bgZ1jWAkohzQRzst6HU1AhMqcaiThd6
UR8Ty8ckxs1kd1FTLTqlVEEHp+wQqKLTJgEEq1WHezfZ5BTxYBoQCKKO36eY56kaJIoRhQ5M1jjH
+2HoerHvK0CXPuwR0EhHcwTRXvDzFCWH/SQ++ZRtPG7S1v/eR2N5BlcyOzXamhqghobMs4Pl+Gyv
8w3ZyUJnrRozpIKdsLa5myMISoLTDknWXyb9NN/d/sukEQSx+kLEnrtkqJxSewragNih52zGMX2b
tyiUOFGH3/YfKBT+AtEv4GlVJ/BlbB0nI6LFv/q6araax2/zDoh65/1MXw8BAE3eITHzGiGdormJ
DAV8ujahGCWvXfAI1+6TdFCZDsKafyBh5z0beH4ihmeExylpmgMzAYSEfpF5w3c+LLjW6n9r7YV0
vtQYu2bvY0JDC48iiiHNnZZyZQxyKfMSu2JEtN9aPJ8XPUhcLo3oQeehR9h98Xx6Ey64H8AXKZeZ
AJejO8gyQEYluQB6PO4cT2ob5ory6hl+jZ0P6rBMH3TLijxMxsPD2Av25bdBRttoYFu1ymvbgPfA
k8zdWYMvc6hOYAGJ+qDGXad2Yb6kzXjOpJf9lZopKimxensEv2aDGlN4cE03X5qhP1P87E8eH3P8
Rw8UsXnLAlXAgdelz+ClyB8I6NCtdGS3XmwpGhSA8ScCVJRcd/YjOLZmmENemYB6Qg1jbY5gr+rA
t7upzKJflqUFtW2FhEiKeJ6UxrcBTSqBlqRJCUOBwk53nrQzZLdKIFoCaDGWKbo7PER6XRyhbYAd
CMTJ5iaJ1BNvrAETYidgWFHLHbIrU5PoxZGm+JiHTBD0XLqJZuBrBn2/A9AjCq9A8hEdJ4elF6GE
9DrOi786DsRU6/tvctLDIMNGa/awW71fcIB0fCDt1o5IUED1EU8FHYC4lFVmoAMycpLip3ejDR5s
yFxq2LrQaCRt6gUD54N6IUdOUI4Twmsyzy95BS5R0jXv6mQEoOrfHY2jYS+hOiJE1OYRae/jLlYd
UVJZR2aCh/g0IlSVl0IXt/f4zmC6+XpEgpr07oKwl/q3Nn2FUmj+FyJ9+jL25XQ2gG86ooAdFGHv
DkUfr5pMA55PS7yNbLu1rbfuwZGh7QYIl6TrAkSKQBlBY566Y425hxh/D+iHoFeZofRulzEUsdNf
Bpj1ygT6/7UbwfRxt4MbZ2VlKX/9g7+j7Cz2SyAbBbjIStB7ZGmDX6mKSVJb96JmgbSxDUE7xC78
yhgXlpO3kIytzVeBzEvTIgiJ4MCZN121IJZN8KyA0koD3yE1Lcf674NqwwI4r5AnBKlK0N+qgwae
SsALoZ/RTj9tqiOBTBkUYQbAnnRnJcFuXBlefUyElFeuDsVor0RVgt1dtegAwL8VCyw6lcXPO/0C
desFtUDpCD4OIPsgiRwd7qZkbPLD0OtfyUQHp/PLnaezdh4p4obvisb+AYme7gDuT8gYdWPaQxy0
7JYgQreRYxoqxNuVkXrIk85md2pbUf6jyHQdeJl0PGLLZKzqqR8WhLU0BlTfYF2OHmqTD53RASxp
4C1Ij3cz6HsB4Ky67n1AIyCxXU/6JWUupIy01nfxTNYYvrmuCVeyjrwgSU35JHqOOKrtX5kOLBcf
K7CHOoZ2oM5p0HUUVEJonXo90D9tIVodLqnXw6vm5Ej3GyqL5ZMNLugb5ADKpmm6Zdlol3oAtxh5
ljaqs2tZ6DuahzX46Qh7kCvqZaIb9gbqXcGGiU8EHEfykLBqT9OSB5CQIOzT6kdqxQWIKLHlrI80
G2JWHUjsawkaLQd6oxb08GyjxzZs4uw5RDErEh4xaKKgRLodcCPvTNDonlCVjUdzE1VPNcgxFvoA
ZbYSX1qIgE8EuSAR6FEybruoAOBCxVSxnTaWccxrsOKhmbOSmwugGdITXkrga6ksFNtolhskbWIs
szD/xZG7EAEI63ytFzVUgFUKTlMpuFCl5jLEgPx+bM9kok5HgMBG961hTR7U4XQgcqLxZLtPYtgd
MLp5dya7LrQBkjTQzEK9vnFsurrYVjy8hpNmgfqLKK2inIHIygBH6hQmf+V4l4NcRfVw4eMUWjDp
2oF28IKMUMOCO53OrqCuLFZdh7QU5KkD33/lZSsv9xCA1CyUBYSxtqXAAXXEwhohhC2aAA9Y84E6
MiaQ8y6NVxBkZHu3LAs8+Hy2sfLOP1ctdA1yO4agQjhNS71xk9d28MqFO+Xht9qrz8OAgPxinN4q
bPjwrZYtKkj6+kdq5S/2kBZvnYZ/LeqX5TP2A3nAi0xcu75EQMCyjZPHx2krI7fb17o/QJWX/evK
5Wh9vrKtrqzx6lzJEnGWMntD0v7zlfsufUmqXF8mhdVfprhYg8QMbNyTpW2sUmrfzAH3ud+l7AY6
EG8Fin//iJr/fo88urExh0R/SEFotnRFXX2xRfeqQNsY/w+ojZDpnNJvmqHpr1HvpgHDj/4hykJt
g/rtZB+niTiNbTKtbH8qn1wegjCaW8Z3CGm8fwwDH0MLo+h7ZyII+NvHkJP/r48RW175y8dosLA5
mVgnL7sRv+d6gHwFkhD5E6hgy6vZ4rGiWpav4wAsX+HK4kwmrLZE4Auz21CThvMJWCVqtuY4D0dd
tyuWaigKA1BjDlJkd7LioDe5fQtLI79iqwVgQmvfoCdg3/pIBWEggnQgWxNFCvWruK5AcnwDwii/
OuH7cEiCIZ8Y24gmWJ1+7Frr/SDUWQr4u6P1QJeqlhP3E2IrmYnAqeoBOQ9Uewx9p4OlMiBdB8tA
dAEpkOkINlhwKOl/kRnqopCKUV6kU0NexSTlsar1K9Yt4TKuKvBhysFqjr1iUKEDa/se62OQQceg
f9zdOyCNAG/9w1uOzapswy3kOrulifjZjpJ3WQruKzBMeCBDBc6aesF57e8o8ZezCXK8HuhlnTBc
zcCBaeB8EYaDtyljozED0ns3lBGaCt6GhN1JLJ7OqJeBxW3Rqt66BXamG1qoroMk7DJx84kRS61q
SUd/Igpb6lOte5/y1D88fx0HgeHZszIbE4VkgIWFgy1XaQsOJVoCzqtBMo5xBZ0QtVikVDkdZm+r
NVHli9T8/eBLTa5khdXvwJ1tYmkmQAqxfAOwK6gyP32VcVOh1A924qZNYx9MFnU22z2pGMa8UL4p
+93fYNYPLN8GPMMQexkVYzsd2pShWmToYoTbYLv3Rsovd9sJYAfaLRZZzs+RgRdX2w6otJDu+MX3
wygYzZztKbvjlg/TJMXrb16Dm6jc4j7DDv6q4Z/WmQ4SF17sWoFXcCQ4lTDrYIrxWkv8Symt0TPs
2Si9Npqae80s3byBZWel4X0DzRS7O2oZ9mukVMMyA8s5xlFEpHRsIPtSAJrOxYF628zeS9BWPEYR
t2gOMveQFj3yHHPQlCbiYMAjpfki52UKBauO3ypZ16DfAVCpNmN+K0HcD7IWbzmNYJ9d1mYPTcMw
dNe15bz3pthW01Ay/Wm88qBOFwV2KxuaNKgdaNy2Un+KmAnM3dKqj/hTxMxZrtu8OVLvpDLj1Ivs
OJw5+M3vvfRroiZ32eexf3Km3xqeaulxOBSxOy4Lx9eetEj+60yO7N02fJz95qcl0HIfRTNuRJGa
Bz56IN1RNy1wEI+yGuXN7lvzUHUyg6ohbs4GdN8mdi+f7HQzhz/9hwRcoFNfDo6+qhwXASKQmBwm
wdlBstYJIAlvLsh27/hTE7EEVi9o3L3bLCYnaDkUsn/rMNT8Gd64QeuZkPjSDH6hQ15mT6hfdYF4
/GmiM/C6+UtwymerkvQyyVglArQpjgcKtF+9Yw6we+Z8v5tNGcX3K+Ru+X4F1wZ2S7HG+UsW8WxF
I+7OjpbfoiHfaRpYNlG9lCzqfEzWLVQ+oSXnsV076fVZV5lejef+Qe8AMVCZXrxpxaNAzAkyCzV0
W5UHdeTC2hmoIZsHoby4CwTEzaQxhWfIkbYLLfOrr22FdKTNcn7Iw756hR7ZbG8kVIogSGSt6rSp
v1ZYqxpGWT6aRQi2olwCaazsvRqOCqjoPryG5OotcroXiFyUAbT30tugI9xCZ2QblE0qG539//hp
JcILhQ6u6XHkxtI3J9DtqyeavZl62X6xGJcHqQOzTNY0y43lOOCJUnET+hWrbgIJtg8RHg0EeetG
JMaGhC4m1zzbRqk/pvmYPsSC/U1m8vJiT98UliW/KC/ddzdmDjxMqVk3rDWLg2HjIYB8vH0jW8l5
MKLI8Wrapn1LINQcuEBdb8iDBlgS4U4lAHsjmxrQO2BvneMAHotigPjSFVi7+Svg0s0u7Bu24ir0
5cJut/Zne4lt0Zvy/5N9mDKoz9bhgo+8O6fF4K1T1persuD5MygLzS10Kf0lD9v8eeANipbdyF1o
PprJFCIoUYEek5wNE3w+fT6cqTOtkukxBQlZhKXTAJ2tII9K9sS6Ib4Objts+9TxdIThnHZf4WWZ
LQYjCneWuTFsIfq/qUMrQXd1yNnY7md3yPZBbwYiVEBP1WBhmarxbMVl99oGzmgNr7omWghOjdmC
mlHVKYZJDTKwqheqpBXEFVDKQs18hIJZZA83ZKb9q9c5JzLj2wVDUQSQe5U2mNKDCloOIZgt9bqG
fAst2a7TDPu7++sW0ZFMLmJESKAF8Ok1TG/b+8s3HFeqqPeTA/VxUmBB5wSZl/ldTQMZYtAxyJCO
FtjdsYc0hnWvsmx5N7aP8RSu245HFzJ1uge9Y978TX1kug+6234d1I5TfTC64W/y/78OijugxcD2
gI/WCQ9xUne8+EkEqEclBrP+LpvooCVYbd6KsC2fijT8x1Crrtpt4oWHxeQJdILm3HR+bVLv3RkR
K3G6N4cUFWdGFtWBr+1CS1UWj6Y3PaAVUZ1x/8eW6RbFYsic+hGQELa0c86uHjPkGrLSzRFEcP1+
EBDL8V1PXBBfNgMNgInnqYaQhizr5rtX850wgLddlIBzg58AQqG5+R3KO/yLw1y2TJFum6fsNUX7
6BbvUw4TAEvdYL9PiZLyY4R7N27F8EUrWQ9qRpxJ1OAtoHMwfCkErklng7L90a80J9DE+iAsXY5t
ztek9h0irHJyXFBc1CBOXlGz6RoIhUNrk5TCSDOsypl7+rCTtJiDAAZexmmCteDJKyAbvMCJFeL9
s4BUx3zyueu/+OgA/Oz7KTbXUWd2AZ/ccBf7vvziQs66G8rqRRhlcsrAEL0YoevxhdziONV24AiG
zqblLirW+9skZeGGo1gxQGGytYqHCv/rKpu6wCwz6H5QW7ZWB1oRy1qNEBWCLqgzrUzd3QDL9Hdo
y2hHvPUAXbUXOvuw301kn2xj9ieKezLZCjAywo63arQjO5mo83+1/zY/7vFPn+fX+elz+oTo+Jh7
YPbaR1Xb2tAcCzfkz0MPIlvJuktXpOB9rwcPqYsi+d6YbpiugG1H/KfpQDKiBsw+5pRA6CVxoQqT
4Cn976nulo/p5uEJKH2dMYdCuFJDsEpb3UWiWvqGl63JRtoJHZhPz0OmL8yegRcbr1LTiowdUqP6
jBsbvMxa2MLrTi5Y5p/j2nx/ASfVu9sMI1Nuflt2J7CGOM/pT7epHf81269uNLwMI/yLHdz95oSN
MRSYLm1lQ5PerN1rLGLrCrTngPph3OilfsxaMFuQp7DMdus4pgeuRIZNifJvphhUh7wB1y35SM12
Fo0Amo4hxzL7qCuAfdn+dAU9mN2zIZyOoI14IG+advTx3DLn5JAuxv3oArVihVq+zaCD+aJXSEmE
bhidqAmqv02Tt/FNgyLdLZdmIFWNa5qZDFVPolxQc5oMcwsyZn3uzUYOIMxYFFvqpSk5BDdO1FRT
ygycfDRlAXqdrIvakx2FoEXRfAQr+JJR3EQdRJMDJg45uCPFUrqomqCJF0drahopHw5Mh2ZRX/Pi
KULe6GZlcyiFHJoalM/34ULU+tJ3u5XRmlApjBL/OtYoVWNKLbQaetBOuC2Axl0P9od/ewxee2hG
vOp/8wByCmFxlfL4wxwu9u/BGJvQh8eaJWcrIHEQUnFMC8dJ0e73ibYmIv3ZNveDVB8k+3UDFli7
0IyNXVvISjCwmiIPVh9daiJlMjcJYUOYGj7Ys+mOqfkYRGgd8vowUYtcPwYylCMceYRS6oSVly5L
D5AfdG+ABrs3l7EXlHE1J5DEupAsr70V4tvjijpbV/NPEiGrVnWSqSiyc+lmDKy0GJ3GdrJCSX2z
puGeLgzsRJvv82g1CFIaG8D74wcy6V6PRRWInzf0Ccbe6w4cesAL6qU5GHJwhc76K5mGSkMF0eCm
W/oIUNeu9zZzdABAfn4ikP5A9Ut7JEur51B9mr6HSdzvKAAnQJC7mequmgN4Q2y2Z7xor9RJNxmy
sRB9T/iVbjCetij7+HW4yKsq4A4DfXORersY7wFgd71d69f5k82S4inHOskc0/ES1SbucZtZS5tx
saVOIKSnrQmihCUN+BiO51UOElfprjynTM6meSPQBMNLKACkdwL7Dvju0xpJ5WYY4++gwf3mdND3
AdGIv8s51BjdLDPeMJD6aaCsNC+wE4BmikDTE7azFQTf0Gq5RVrcUNALcUVe2F6EVZOtPbAWDJBB
+tKlsQm20wwZjEwpSSkpF2UHspZ9sv/qj5zhifkN73YoXR4BYU2BVFCRv99igJUbV0szRkLj3vEp
WNhQJNAdwKpZxHiG930JLo0hvELFK7w6BrIsWB77mx4ytldwBCDm76D0a/D8I3mwMDEexu7bJG07
WWY+dxR9+I/QHZxkaSt24EZNSb40B01p1w00+9QV6p4heNtBvTvsUfSmdnZ4LjmQ8YvaHTUbpgcc
rLDPMXYeWLb8241eFb0NBW0/b//oVqvZCMj84ab2MfNsZKeLap0l7hel2boejMp9OgA4AWGyTTul
6QG6YNkhNzRrI4FCuPChBIy9NLxbFyJ0XTO7/Mpi/jXmQ/WjTqB3l7ojX5gjINANL390fv1Varz4
mtdFAmmc1L1Jhh9zpfHsAoGK96vUxvj5Ko4VJyvkwRrQH7/Vpv7OGgOl6eEAzBZxxHwyQxtyppX5
k40GKQoOLzIgseF7qwyxtxtEYsq9jZQNhHls60a2SHxpB6t/HAy8DnwbssPNBC6suz+krwBpFDpW
qY3RXOfDa99OEC0trQdbjs7eVItVB9iNtZHKBGnsSVyQbB+Bdv3VOIvHk9FUnsnK2o/C8/4uU/2o
g+XkfuI6xmzxf5784lMmvnyJ2/qN1si0WqaFsuwhNi9CfUf2wfcu3PSAfcimr10E2YF7eJfCwMpu
MYidW060psoDObxUEZQqIBVhBDHyjJCcS6azGQp9SQ62/5K2tbXkBYrVGxFlSzHp0XqKbeusAXE7
Hwyf8aMvrFWfhwhvUQe5DJBbWhb4ka3J1qP+L9DtOIIwXScu/QC6kNZOx3VZCHx/dakhACnkHotG
+QXsuS4kKm1t36kmY+vaH93XCuQ1B9uDeh9X2tFGPrnLToDCf3K1AkxY1Y9KmtqbOvHS6v3EAD9u
KiAIYhvILhZGZrzUXtsGvBPWZTCgLZA2cb5HwgCMDuHkryoGVYTECItlVoF8J1JCdYU66zygvQHk
QVs3kPRLRt1Y/WcfcqRDkoDthCvv+2R0xvNvRdH62G6ZR9py9iWfHpg2HUmGLE2YfFB9tMOkvobh
blGb04++/zYOfChguR+ttwayDAsQH/EbN0NvLT1gbAbQGJ5Y4serrhbGS6l13/JyhJp5DB48rOr+
At2zuRjVII39HATw7XhCQU8CZk1Nf5nGcR4EWdV5UFMioAW4iRb26SGubW2ZTUOyRMwpPUThCJJ2
6mnDRL6fUteU6gig2Pm0N0ck0ApVVllqKASPDQivQwssPvohGDS0XDSPmpVUy7IS/E3mw8W1Ueu1
6IdvvfDaHyiZ+od7tvfiZiZ4mL3RuqSunkL3SfA9vtnqlEqTrYTluTeWiNc4jDaTyh/RYSilD2wN
R904tTMT6eLUHvcGZaA++Xx0c4/LPbVaHYrzrfSnDUGCyhE65X2DiN6MEFLwIVCy/NkmHDBQkCg1
OZPf+DGWUEc0H/n9x/nsBmt0L22P4N9AeYruasE9wtJb+hNY0oG5UUGawgIosLQdUJUpdLQ60KAQ
2k6ru21K/LOhvdXYdu9jz6+wS9a1Ed9hFMzNccidixzyBJW7sY9wAYiTYnWgDjDZhQvTLvjmkzdW
y0Ejs/50d7ZdReydVrdPbhByj1ejnTfgAn8FQYx/EmVlm4sW8YCdb4avFWPhWQrsWwLA79eOCQay
2QU1V9MiiUMNTxeZB8ATQdTg/nwaWVaBzHpFD6aW7JbsrHORtXkwKGfqCTNk4Ba6AEAwEbPzbw8/
mj1npgGyRZSlK7ZDR9EjRqxAXSad6kR8eO8i42AkFlB9wGaoIaSB98mP90bJA3K0YwPlQWblmjtm
DbNtnsGU1baBTJvFF3mVQ27CMKyHOJ3qrR232a4wbXmZIAQJjbik/jpC7tHVIu2HN9Rbp2TuW+vm
45IG5U5Sb4fMAPOI38mLiSnnQbnunOiJYBXtFjEiZx4UAtf24CdyxaDQt8hVpYKjKhXoUI31EkEr
/2RagwFcjdrag2uDg/4KpQcgZHz3w64JzCWiqoE3R8hn8TFYL+NhA300yBsjnXMBZni85OlQn5gD
hXrBcgfiO6BA0eNG7ktfv1LLUSY6A29Jtu0cVZ6ghtIk1FFoUbrWK8Dv3LAp3mfxs6wNWIdIamx4
YbwqLGw0x5SBkPB+KeSW8GmAoNnSbKNMtmGSiLMAqcLK84Z4Rb+oUv2s9Li4QcmNHanVhH57KuoO
vH/oo4Nf68PKAeJilZT+uw2Vq9ew1Lz5t4iq2uJUTeaF/OmnCPJ4sYr4UK/uEw2heDAhW3yieRAc
Bv2GdBMEmUCpUin+KyON/xFD4j7YPcS7RQjWerILx3aXRmOwQxMV4zNL+KaVnvE1GwwoWReN3JBb
ihR6ZmBj30w92/+naSemVQtnAA0XTZuHQ7E3CRbYaJ25RdVguMrtqV0TCxk1E8TWPzW5ahJlmd7U
4ereGw4ISujFPxFeC889NIX2IsVfSU2LI1peOh4KEVRvYiuOSF4Bl6iaegLsoVA0/dREyiA+pVWb
zs1IDvopqrQf80zIeJyTqPhGrUjY9rlv9Rd3mqbnthDtRYOOGPVxw+QPTeafqW8EcvGhkSY4A3BF
MGrUVyywtiEIVp5jbdKAKZJr6st7Zjw6IAykcZ3dNTfZxkvqq6YofnLyfyrceZshAda9C4v+NuRF
ClqurD84itwJsGFzmzCrgpYO+KJmF1TT1KZtX6mVFBkDBjA21tTsDWC4i9Q/U4sGFVigLxAg6A/U
pCldr7u6afIkFe1J1jfpo6aitkXFrQ0WGD3kbni1G1G7fyYXJGX4GRoUu/uANhf6BoUAQFCoSejQ
5bGYJ4nyut+ZgC4vwDDhI5VdOYuk9oFmrixLWzDN5hDZEn5gdVP4UGVl+IBqyWwbQ95ooZNPzVBm
V1TdmXrpQM5yX/iR8zA7pQ0eLg3ugXne1AdTkm6n0fY+6H6tQl3GSEBh66eFHaDgChgSP9LZwcaX
87EWyIcYaG1qf3r7j7HMVp2LIHjV6puky/qtg2qhW8Ttv3ky5X8Vuo/MgVs+56BL+5ND2rjPviyr
2QEv3n5bSWy61AwZNkuPLnhkFrEDTfvCiKqTm2nmKxPrKczj16oe6/MYR8BpK3NXDHyTAji+RjLK
fL0Pem9itZ4gkjVN5WF+M47Mx28k5iXK+yCP9OnQhQC88V5C5RcdjXq30hlk3t0zNjyxOfoBWXzG
sM5Jy3ITZgXU8GzLh6xrJla2YMmzyLEUjNuo/btErEpjlvWPQBqrcmXy1W4R1MiAz8ZOu8P2EMvv
vVE1KLZTw0OI3czDJ09vnpHy6FdJhtV+o7AQjsJHiMbC69LtztRydbApTG0qloY0gO9QvZ03vPdG
Ecrla7sEYkoN/Rjve2Ox1n0wmMagsEYsAIXwvapRyUzQquAHckPe3gNXFPYCvcv0t254ov4Q3G4B
M/3pQAMzNbCl4pZpfKqzWO5dVVZRt15xttUZNSMnxO807I/GBK1tsHCAn7EuhyO5kcekReWm7UAW
uwP4qFt6dl4j4ym1uTYgzJJyERv68GD0XnUG9kUDmhWpU2eoStyflRIn/TnCjFL/CkJAcJhn1l+u
8MSBXk5dE/tnyKBtWo43/bJhUb8Gk14T3Jd6aoAzZO2BTANo+ta6ZwIkjfCoSJzxLcyqHYh3tB+G
bRwhXDp9FWAWWLqo97+AN0vb2p3eb1FeCtSmGuTaqFtM9Ho3jby8TKFVLFJZ8FOmqlLTGPDoAZJA
c+vDbgu7EEE+5PvCBJfinWQGsFDo+midC3ZVvdhTR4bba1VmFnL8LISSa6fLUw2GtNfun2owuteI
jRE4csGK5te++SrA/7VOjGFckxNYW9/HMKe2Xo2/rCjbDnURX7va5DeWmwDGZzroq5okvmWibI54
4nylzonz6gSK6lMxOtnRlGkWQBkXAouq6Xd4Ay7olA6hluARpnrkmKLHhXCnEupxVmTs7e+AxGVX
S7r1OQN+dNH2vv6FN6MWlDUrdtRMkbGAOubwnBpqCwac7YKDGeZLmNQjsBW6t3O5lxxQdeossRxa
dKkQL1Me8ZOuSR8EuoABQEi2DbTSi/alaio3odz0qOYnxCuhiRY1SIYBhRWAyobvqfnhZqjZABYD
NxqBCqbmOyo7wLBVld98BzF1FTFP9GYA0qrzzqNflEdUxDnBhwdSEigBSIZh6SiPsAWlPHlAk6j8
FtXvc5CHBsU5cBGBIxkPJP2xRTJtNdWoARnL2nhEKb3xmAl/3SBKeSGPPE5MIA78cYHoFHh23cSZ
FnjayB05WyZqsoVsgLnCUBrRqDkRjmxWVjlM+bJytPXY218ZNLV2KeiYFq1ihrGnsDpQEyI15rPd
ifdmNMp4HaNUORhr4WyrAoJhtFd38FdvRTnEAW3kqZeatFu/O1vtEB4Q1EkWlNVqrRZUwUnRr+PG
0wBSzru9sEzvoAO1NWfH0hCUXCMyrDSA7JQ6a+QYbyQwQPNM9wG/z4lIEVQJg5Rj2cMyAN143qcP
foo32ji51zosYAKG4DAy7+1u6hMHkghWPiyjNuuSpctzESRam67ndhVNirM8Nndz2wjx8q3L4kxT
lLmTPsixw/5QDQbebp4/Q4ktSOrGfRYf8mhIj1jtvB8mLwHY5/c2LyswrzcHstOINvRN0KjqRDVj
nl0FNp/6EILBLmopzVBjC7LZqgP//nJZABS1utOA0BnC6EijAmnH4/w22dJ+GgVgMjK+dEKzn8hi
atMO9BHdg1Cm3tTrRVJ17oE8CmQkgkZACa3RGgcrKpRKihocUjSUQ0p2j2Isf0FNlMQa5//lSq5Z
dw8xIC4NsvB+l9molJ7q/NCqQzyaaHeS58AMTfmBzqi7tLoR5MTmCN7GjzERuVM/eVZTBT6f30+p
X2v6egUprXhjZVEakG74LlfVYRXuk4A1+nDqAMA/2VmWBpnOzMPolD9EmHZHY+jeD1FidUeyOR74
9WwrO1DnpDw6sDUgjvbhQj0jKuhA6QxetVy73tNUU+/ygy7rr+KjstxCmoFMlKaig9aColJ5UYtc
aeDE23ngnNH6Odd9+l/nIvvHFe9zsZ9XpJlZUZgH1GLj8YmHUZ2i8pYQvN5HE9sd9py0eKzce7Gc
+NykXiTEecaak2Vrw2lkItzh1bZvWQLEDtnmUw8AlV1iGHuy0aFwKtQz/w9rX9YjN49s+Vca/TzC
aCMpDebOQ+57ZWZtLr8IVS5bO7VS26+fo1B9zrI/dzcucAFDEINBKiudksiIOOeMB8AMQFL6HNTY
QYC3qxL9o4byeyfSnvO6yN6k5Tw7+CG8gQp6OkE96XTyS5fudeIJUhm7sVuOI//DFP/jPpAAA8oL
/N1Lphg7FB23Z0T0kAZJsCqhUzuxQ1gCyi55rrNTjT/5yXQewsG0nv80yHPMcmKH+PugLsqtZ9+y
w0MrAb5Uqdad6VCHIoFW5vxmGRCIO/NwXJDHwSj6qo9sljI31kaIPSpvjf7T0ETNNa/IvGnKxgBX
h96NQYnxCmNM71x4gbGOPRDBks1GhnJW1kKCGlTmywaY+q0nquSp14a1LEwUtY523Yrdm731sw+7
AGPbtkB93RPLsIf8ab/5/2rPCuDXKHs1Jb7G7BUoL6HJ3E/JsgK0tQfllg+3/FnSmMW6YU43v+XP
WqQwEYUNndUtKaZs/yXx7W5PpskezDMPiDLKuQ2aFx8CK3+4XVrhgbMuiqCf36Ypvebz1NTRG8k0
NU2kg8r5rLg5HwwgBCs+IDCYoCTllOScz7WySoED6LzT1IMnVL8FruUxHW3kV5oeFBRRQbKmGaax
NMHPWVqw+wDQNE7684Dl6TTTzXSbswjjNd43Yk+dqAO7RixRhwYw/kWXCqy4x4XMtPLAiy/vbaRm
R5MDnulNlvSg6hqbtFxh0keurfXiPdm4A4IDFIXfUefkNs7LkQpf3WzS/HGbVuudz9PSIFdDMCtq
qxj7KCyDaNoGjNbUSYf657Reha1Cn2NV1dUa2+Y1Vna0nnF81EFQk9Yz1ORO0wKIhNTErUm9wLLh
fokPjo9dTwME8drrhle3xpbIF3pzAKE41njUFqORzugQehISsXG5pqEeWNbx2hiHUPs2g5eB4N9q
yutv9mnmTxfpEzecCUe2K4Q4mm0n/HvTbvSvAkKsrsfCb6mKmnnZRc4Jgr/1ATQegBP2mftqFEdy
YFAlnmcCnPJFl+dHCR2RBXXwtQWNqTcoOxcLXrTh0Q389BQMqD1Aaiv8xs2HJjeGVwug9AV0bOW4
bPbWSBEj9lBBuBPv3P5rqtvVLIwt/ywlt0/UgS0AsBVjhwaI3dSRa+Bf9kzgKLpiJ4wA1IpsLIHq
qvZKtrZmqLLrm/5aIDK4snytvfOSwLwzSv1SjYvaCKkkarW1Fqw0MOZDERgij74Q5g5RlS2BWm5A
F2pC3ZntQH4+dZI/2enQI7W0YyHf/G4fpwU7tLbLjHrzyX+00wXiQQv2AORMnb8NB3oX+WO9nT7e
DW9DbiiJlPshT9a3aU3U1B8jp50XWtUdOUdCp0NN/l3j4XUNoFl4rWIXZb8ZFBu60pVzwzbyZ1GV
gPG1ZfLVcVAF0LbymxuDPEly9UPZchHHqYB+6BXJoAi7lKSa567l/UDqDGXcSfzWhe/A6BWPtlL9
MsCj8VDoMtsbyK6uBsfGohLkAzM/depvlunPtSFJf4CD+0mx3n52tQ7BfUTeT1zT9W1mA7ovsCe7
RNJp5m2tG197u9m23Eh+6GLYqd4tvqJoEwJdYD8UqpoFbTPc66aM1p5dxLtCVPGd7QT+wnCb9isq
6dd9Hiff9T74opKof2rarsfu05AH11D2AXd2thSNyJ6FQjhwdLXqYRsKJ9gXZcjmuR8pUGCzah86
xnBfV8Y9eDrYV2g0Q83Js+sD9MPyK2ja3siOPwZRmaZojxK0dZeyClBIHToLzQW4DgSY/klLZXgs
jACbfctq3kq25FEov6G4BjJZo4NZ8X4NDGWwjMxYngF+kefMA8ALAYcc8XqWng1orzmzPMUnHpI7
MgHDpSEz3bpWMOu0bONrdbRqx6IP/FdrF9NJwhnCxu3OGt97U4cHtMDgZWdqBdzLjqkZHG+Dkgxv
/T4IQeL5cyKJhPECN1O00qhEBAvqj4nJRwRGNUud8huRvQ0jH2ceq35fpzPJRsq3ifhtOpIPHT61
884f9hVqXZXh7CBhM2McLB5ZYp2mmoUB0hgIDkQrqnHwpVkdAdB4ok4y8cA4mlbz4V+hwh1pMp/t
tdJhc6KjsLPySxbaxtVE0OzwB3tTyM/2yKy/sKT68C9QADQn9gr8br64XmReOx9oqimSJb2m+uB3
RRLkIDi4QakmgaBqKfgX6rIG94Rnn/HFZI8NJJk2NSDcq7q3jC8DHry+EsEbXmGgT6li7dArNtxB
pdoBUQYAyeNI5HSzx24cWWUIDPk8n0aSA/MAAqORFioq7lQE0XHx10i6pi5QokgjWeDoXyoUH5ED
VnrAXvjL1C/tKyrEoxX+M9xDG4fgG4Z49caqrBx5gcCCWrjSoUdtgV7VMuNvkC5a9bkYfGASgyU4
uoxvkQ1kISpmoyc26O3CNVvzLmt9bd0MTb3jRd0fkGeH+LjIimuBxzzgeY18wTLiwYtR3DsLroMq
wRiWi3xUFbFfKk2X8z99tkFZf/tsfq5/+myhpkFkd8R+EXQr6Kp0XllBvZvAWWMTVfP1jmBflald
gSOptnkbx+0MkVVQyFG4zilFsbRCMAZMRo607dLpAm2GNLbErrUWqw5iZvOg8/Ctk7HKQryjfXYY
RhWvbjxIpYtV5UPsXOTd2uqE3GkoCTm2XHVHOqODijIwlHmcL24dReG9hZXuzdJSdCsr8q2tI/Lg
6vQjpK0H1S8qTw6AeObP5NHblon8pvUI9E87hx67v+vwKLFuaf1PMf7plJwGOFEKQEQhW7VdgG0/
2Oh6BHeZcIBB8ZJlMZYVV1ZVz4walYENyoIeOEOJtB0PX8jN00FzyvIcEbgGe40wrOtTPbo1PrB8
4/A/uXW489cSpYiQsRLqsUzTNaDcyOvhzluZLBjW6dhsk3weQTfkOZaFvotNDtlxbdBfdNZ97yPX
OSPR3N2BTRuI9dHfMlw+r5RA5mqcNlVyTf59JD6mzRA33gwpkO2g1gbD7spBzdgc2cVwS1tbauZ6
FG2nje/YC8RG+KmJWGa4jQodmegC6FKHClf9kDUzw2jY0pWufmBU7YqXRMNXgGecP64IdZq9XyNO
kwxmfQDIBPQSKYiqDxDo9MyVnwNUnomuXVE/HTQRvkY8N9edNBUwLDiE0m+OWVVkgPInDAwyDu9m
ZAyz6sPH4krN86pC9nf0pg4l/A78l1BaiHMkb6G1ro6q9VBMCH2peZ1BorGNUc2P1D1OsfKqV2B8
q2cOQpPdjIzl2ENnDipltlkh7m723DBB/TH1Kmth5Cg07LAyYHiN7yu60XALBcc6tnHP0Wng3OdW
EkHhDHFzOiBHlbQI6f7VrsEvJMHrT5ZPI6k9xKEBzfI5zXUbAyEhhOLHg5kKa2l3CU9OoAerVzq4
wE+54VlHXT0aY7kXHchMZ0PQWnMe9XIZYqUisAfxnMPgp3NyicnWu7KEfk9gL28zlKH+iN1JAJo+
R8mZBlWynTse6MyPWS3BpMBhxH7OXZK1Hkob5bujFxM2lM6rfkM+ZLJZ9tdomvLWJh9qZlnK7Pmt
hxsiWxgcgpJli4RRK8OPQ4RoZAm8PNpJ5xQgHPK/T7aEesidlSJbNan2gyKQn4KUcRhC5ScAeXqN
avYD9o6fo5m/BTdpsMP8Ry3UnlAFbR1NDfyArRX0UIrvo2PRJxLcS0q7AIRmzos6MBHjSfwZGCPl
e+fHSxQpStR+hBCuYV7wXUXFW+bz+kvZI2+v8UC/YsHjgHuy0vH/mMVbvLQasOCUQPOLeMnxcsX9
wCS+i6jtD9OpZiltZ5RYU8m4AJJo7KEDb1GZ1YMWr8NusA5NgPZAh/GCwssLxDrLe2fI3QPAguWc
7JoC+WJWBsVd7FnD2WUd1i/jgABcAcgYZWxvA1/84GSQ0211+ehnQznrwMh3oEPfaulBHw83GzVV
q6o5S8xVNqAgvJXVseJ+9uiiCvZaOd5cN8sAdS2LksvkkXV19ojIK8obc3UlRz9LTqiScu6oVUbl
eyeLfpoEenWgVU0C3IfjnNm4ocWDqN1SMxnYsEAtkL2mZu3kSA8iwL2iZh96FXZjpbOwxouCKzTc
IrthzakXmXhtV2Sgt6Behzfhsa6xQqVevTPLO4QMLtSJpWs4y1mvb1JNswawLcclABnlrsbiAKGk
NPaO+G15RzrT2vwL+LLbjWlkbJiZhdcgAN+DCd5IsTFMocw8ntHBhyrAzgtxuDX/5HcbRiPIhYbd
mv/9qW6X/G2q3z7B7Rq/+VGHqFq1bYx7L4DIsgaVkGxGp7cDiD/YIrPybgahhGR/6xAhKOmLLP1r
CLVv3c44461JZ79fIKmRkTQEWA7//TRB8fOD0VXok0zG21XJyMvCzmbcNi6DCrF3Gz/EbQg1Jxc6
pSF5Hj1DebPYalaYnWtIQzKkgg5yZOykQ94zVIFoXj7vTevD1tJZFK80iBod+/EOQG20qlalioGV
+DmWRmQRquU6YR5v9kEHdntI8CSiq946etDrtLyNT9IJsDJXQcOXcR668+mKPydGlArAbXB4t3Tt
REnskgsjWkxT0eBAvSSiDe6mqRJl5Msg1IrJxdXckwUSojUYJtSOK13tpjORNB9nf7CRS+fYIsGN
jXF0kD/PbjY+TnOblTputgIsofPIxh0Pejf3mjcC3FQBmNSp6bHYvSoTEtptbN4Fo0cBebVNULNm
Tp2F7bjXDPGWtGj14zSoVVAKBIgHkS+UiEpVyTvHsk6gSSne84GdNK7n77YSp0DgRMLieFF1EGEC
biZX97ai7B6pIJ3K0P2xFh2RgMl+M5EH2dNiuAPKfKb32BAkLDqDQM++RGEkTnggLalFB20Am3Ni
1e9N78fI9NWoyMvdopo73AOLgUj9fZnY436+4C/1z7M4Mj5sdNYkNn8Jgj6Z6VkqXqZef60b7n2s
VHxhjMUX8F7zQ1UPezJBHCK+1CjEv/PwLINqXufPya1pLgHImM7kRYe6rDaxlbVHanVhFF9KmT1n
QoJJY5yZTF0Fzgqumf72Zmsyq5w7kR6vyYU6EpUCdJEBxEM2mjMoICfq13a8uF3VF8paxx0YqG/z
+VZiboXRoV7LcPCBo2xw9javLzSM/iTURRRQKs0/zW4UoOGNpo9w+xNi7ChbsH+dbibplefOFcHh
9smU8MKZAZpEYFLxhZFvxUtvpmlcfPqrCtNDGakJuipyoYM7gAOkMipj+qtoUtG4EN1LUzW/XVav
pbPRCtSt3/7Spmy0ne60X25fHAKk4P1Xyfb26TrJ3LvMf6G5pv9Dt8vHqGt/NzWH3N6BYaMdwTTt
VpgQSdCytHuNqvrBTNL4IYJk407oOip0Rzv07Cwtq08D1uEo/nSqVQ0qo62T5vajAtEdOencNOY1
18tjaDFtobEsnSkI8N03nfHU1r08tmOL5+6wQq0ImJML17gveVeeHZBe1U5s3JOpMUDt5ad+uCdb
1/j5Jg0zfT4NYKZ/3xkrTykDTJwo0cO6uom2NDk4ceMdoiLGjJo0wMWPReNGdyFTMyCUmHRNuabJ
gTZJD5Elv1MnfVwtNPZI4fp309Vrq0W1WciXNJkj4vak2/mJ/OngRtFrFgvjQK0Oy8O1J8wGdCL4
gwat8y+oVFlQJ5kySGTO7NLrdtSMh9zaiBDBOnKhj9ACGacP92TQBDRe3GLQN/QBQOuh73zVYSuJ
PVUbPuuh1VwGW6hzPrTvXuu6XyDt3i+hCNhv/A7NQGkLkG6hRjNy3UNeplDgA4L6C3gKbVDipvU+
b0KUrpmXydxAgU8VBfhCEKOZf+y4QaG2mer0brX5MVIf+0bms0+FelZUQUzcsK4aPnbue8+Uv/Z1
+aYqlT3kSLJtVAWJH0Rp3YfRgVLbWAO+2dVXDUHOt4ihADJu7R+xldzVSW++qKjuoQdqygu3wmbt
FGa38woeI04R62ANtLuHuIcyroRA57dxODRK7R8hhosUwWD8RL2VZyX4aSQ6IAkjjjx0NDBbGDHA
Z0nQPUGjAlzOsN/c2hF9nrgCaUQE1CY3Duw9uQEd8TFbP7rdZgujbx4RHUDyuAfNN+Ad2izt31MR
oLrUNZ8hO1ygKNFIN1VXx09FYx9EbgRvwPMk8xzl0SclTP2YGT1Sa1Yfvv0c2SYQo6CRGfdRtm1Z
+kKLIiSIfJk80Zn0eTydtX+w/cnP1w0dz808+ZRn07jV78EMtvmU1ZtybKy/19jAt5Rem3oFsmRL
phWAmfzM0ZEzzZIU1YbsXZTM5IDE7ilv8nzNQT/wbKb5xGfFE8dYxpZTblGFBHHeJJv4rLCWhj2q
QaBtutrT6O8gTgaUGsoUWJ+BR9nMW3M51s7PA+6CB7sI4n/RbueRmnmh8vZuDNkRlMrE2SkdGBIu
RrugDuQJs1MIDUFrEQ3dAjVU3v7m5vUsWPV+IuadDTRni0KNvUqb5iFoTbkES1m3mpoDiNhsXuIj
maJ5UK0xgMA1OVAnHVoBwjCAui7Uotm62PiYzTbaj9l8S/NXjZI1Il6OGc+IMwvyQ4fWMcoTtSo9
qTaRm5ZzatIBQV4Qc/rVyS5cFGyOHhUIxOb2KCVCtj/MMXmMA36d409XsQpov+YNuCeD3s7vtdjY
EzeDB3XSTQys1bIbbwpo9IVjLLq9KyDafW+3w16H+OsSD0exDyo/mNfOYB+qOLOedNClT7R1SmY7
sFDmCx9Vc1/IzUsK+2Do/toxswagev5Gd0xVQbiiQMziUut6va/9xlnofhy+qfSYFZb7tYlBuzrU
Q7jT00TejwOpv4wzaOiYKBeywphv4wTz8Mrk7z4CPkFQt2/IlrbzxnaDc+wYBsRcB7CMWtkAEeX4
w5dBkUVBjlEuDCRPGzD0gvvD1hcdnVnYqrZSOQgX4GzqHc+s4JXVHVTcHcCExgNIMZW/rlDQu2a1
jaSswpOoxjIC/P5iWLt4zlwKgdT6yJc2/WcEdb+oOIKu9H+ZBE10gbLcqMF1Zq7Ovibg2oWYYvvV
HDp9ruKohZae325q3mgbHZnOuxaQ8DnycsNL0XUH4tB2Jdg7w6z9qhcJ5CCBv9DaKH2QgN4Duo0z
v8whG4pH8oMWqQ/brZfOpK5Xy1aWYAay8aAERCPd0Uf2eJIceFG+Tp94/FN4DrIv8kgDtYFiQfTo
pvkhyzT3IQLh0w5PlPEubPuvoz3R8bYwg8DecQGqlF/tAxIZs8yoig0ef90RC/7uODDeQh/aztax
mYezQu+ifkY9IgiHWV2wYJ21PXTNNOggOO4Y1BqbN5uIk36D2rby0oyHCsT6yF7ARk3quNmySlSr
wjObOVW5Ub0b9sAXYXNvS/VtN7smomGto3Z4lhBN603ZyrXKC3Jr1VIqPD18zTDvZMy0ZTie+bz/
OCPbn3pRWAr6HNRKriP8enYOUgerahD5Y1nKdwtRxvewqFYIxLVfjdSLF6if6k/KcRDZM7JqJRPB
56YctJnnpMbBIUYEChRTmyEih3WOvyMTHcQYRaYzpCmg5ZoPEKJF8eoqEgpo5RFwR0VcZAMBAPRv
LH5EICc7uePjVyrzxYSy3CayGR7JudbFW1vX8JYoYmigN5VvQ0zHiN493BWOydlr7gbRwmAsPbmx
7uyDIauWnZIKWG/gxaHm+W5X6Y8+a+oHJwjrtedl6dZPGZTSxsnIY7CguB5W7BWh/WjhiUEuhO70
G1AIUo06HVwpi6UnmLmkZgvw3pV/ONgWW/M0Rbl4X98P0gO0Pw7TLXIaABhC4eECZZAPWyGOmhdt
ZcCXf9Ks8Cy8asfOYUzFCxnoC5Qstto9omv4FtrQzxeE/Y+Rutog12viFQaVJxAplpcAwZjJRk3q
QHV7vbHmmgABQmM35iNg4M3ONvORm9pB+LCENMStyUGgiO/VOkaWjwpph7vzeGQYh1TrE69K/16w
Ojk0fezNidGb/2VXmZUcMmuUZ0IEfgku3wSihPkMt63xBr4NhZp/MzkLxXtwveA/ImFhc687JQiH
xkdtH3z4NgEYjS1TBdfAAHm18pDIwt5w+GrrUObpVP8MuZgPOxVigCNzspP/ICNv6WsDMAZ1HW/s
NgxWSHIgr+cMeC4iVw52G4BC4iTZGHFafyGPoA7tdQRxvhkWW+l8op6vNb1b/7FNxPPIlwElwxx3
Y3JQwwW8gvoZfaWq/NykXkT82y19/0XY/q33t7E352acqnA0tR78Ydf2SLpCCr3Yd4gArGRpWPcS
JWGQOZbDe+bd5V3rfbeG4ofFHOdRJQZ2ln7nHVAFXk5jVJprS9kDqUT3m97b5TrSggyxp3ENpMYF
TzseEnew5rr+esNM33DVOcgktmkBcR8byOuWpxUEinv1gcS++UGTAWvzJn209UrH77QtwU2TWquE
obg4jIv8CBC8XKLsqXgqhfGNoI0a/4bHVvx+G6OHQ7DQPPaiOP4zCbWGCuNidWu6VVesII8crBLh
+wfWA3rFumeqfs+yBtJ0gdefHNtpD6bCRiYsPOO1iicHq7vXO2OGbEGBChHcEhlWmAgL2/mBZGjS
scnGJvVaDbCd1Iu9ovlIvX8aG/MAmYtUgkBVkycsE7CuhACtWXTOvlA6lpqjvS05CAP6+qVQTmb9
ULFwrtCjXYDh1k8vgT8CGFR4AFM3s79JYIgXoNWw77Qcqn+9JuJHP8nKJZSkhiMgX8mO5zFfD3lm
na0oZ/OG8eClMeU1TTL7B4D9qG901XtQ/DVcBArlG01sgsgf7wrwI7gIxbjpgdWNh+qB7oluf7Kb
tuRrkZeT+pDbm+kZ2O69lBBGugkSpXlQr5kKQIY7QJDo1mHkNgQ/tDMYbMBElaNqH8GVWcHCdk/N
us8+mgQ9xNvhc2//a5N6Ix3wsH85NhtQo1PIdAFq2wOrhNy64wIL1YhQZHOKNDhSmw6ji5cNchvF
IjwYWHwSn0Gk2u8ey4Izbzv7qg/xicgQLNlaa5SNRivy6tPhO1B6/hlr28mLzGZvwatL4DWuXH/O
Bf6KyUtWOV8pp7KWiFCiQLgr9efQAjcc7mvvIoMKfNx4+B+BkUEOymsCBF1a6zigVBziiJV1rbOq
nmeG7L5ErvXauCL+bhY1ho95KJYU2Crp8Tt3IbTa+UyHIJuPe9qvwI3S9kiTNEZ49AztNdE8e1pQ
NrGRHrIoeKVlGm0QHKBcZ47VxDtarLk2foMAw+dLYvMiXi/VeclRK/GqGJm/yF53CtCO0W63zvzm
SnbIdCZ4MbjFDIS9wxqgmfRZQF5cGk7wlnqAQQtwsZ2iJGhPDgDUKDWog7cI0gBMB/eGKUJv/evI
2AiHs0ytZ4mVzREUTPKIVa88YgcSbVinPTlWGO6tKFz5ZlrcJ0nUnHksUNDSQhm0Q8xlXnq6vqFe
rWH1wfedr1Ov3vP3CuCPPRZH2LVwW4PkJSJk5EsHENetWCu1O2qFhcsX//zH//5///db93/879kZ
ZaR+Jv8hVXrOQllX//VPrv/zH/lk3r7/1z9t17EcxmxwWDAX7COcO+j/9npFEhzexv8KavCNQY3I
vLerrLqvzQUECNL3SHo+sGl+gdCta28sd2RVAJL+Wsc9YLhKiXekzpE+l98abTHtY/02iPdArKxj
WmG1jDUblJqx5MSHIF07xCsHuVR7FvRFuJ5UBuOw/qUNHPEpQCHMbZkRxSxaIBuTQiAEzER08GPv
s42cizRZ6PiN7yBPjOrZ8cBk2h2t8dBFdbnK8NADI9NfvUmpvoBMP92wRseKnaW8RD2S00wuNJac
aQKoKeizf//V2+bfv3rObY5fFmPIQXP7168e9HiZ1laC39dt2G+QBPZRNWUMy9TWipcyRtJkXE60
A3DQhWOXZ/LgwDwBqq2jTOzPXqX0tF0aOJ/mafWRZsPqFMSKtR1jVfCShKW5iKy4PQpIYu6LHDwZ
PXJTTwNIn/H18vfRFfzTqPEeXXUPSiN+0h/oNjPK/k4FkbWzbRPPXEAaxH/4XbrW71+OrSPqi2/H
RmkIZ5z9+uW0Tlw4KJ2X99MinecMuPzMfkKGIrtAUba5AKr/SI/DsJLaih551By9UK4lL30OrWIz
cF8RA1ZLzlIJ1jQ8mAJZQayBsfqLqcqjGNeIeCleZaRnz0zLIRmUt3DtM3tfiXOgZeUZhfYrJOzZ
fTay6RfgtgXdQeztyQbKsHhd5+B/pF4aUIbdio28/IiaQbW2DG3g9qx0juBUtB2EBGu/JwF57Dxw
ZlhtXM4rDyjCoL6Hdj27/83XNs4VN7cOlDt+W9qTwpypmLsbO0l+bmh8oJNaBD2w/NUPhh1+L1s3
fajHAyKFeckiEIChkYa8mTWAHu5SN5cPpjLKlWYM2ZJ6aXTbJtPoDOS9d1O80c5NfWnadfyJXL6p
xfhUNuoVdRSmHvyHX4Tt/vKLYLruGPjHoJgtAEMW1ng7fXpS4cli9qCS8e8ZXlGQj9O7U2uAXplw
hmHxZLiV+UqLMFtruoPPvO6kBS6WaFoJKcgoPpKq7KQSS+KxkzwsnZZunuezelR7C1EECO2dIoK4
TFzsaRB1UPNf2qbJfD321lXloMqmt5xkI9rB2Ou2Y+zpzO5iq5jJsEe1FRJF+sZ2ou2t+28+k8Eu
1fo/PHt+feyPXyYIoLitc8c1QUTn8l+/zDgodSNJde8quqpHKjZ1ZwbwC2cz1FwUfafGsklc+ZLp
bElrXfIoywAovdZuwXAL4lmkEXMH2OMm31TIM4zP2XJ8un46AGR0bBS03OBAZmh8IOhkBAin+YOc
l7EBeldTTy+GG4czCrZQh55qHx3IzoSIEoDWXbOVnEd5Di4bz00uHHUu//5bccXffmKWLXQmDBOU
u7pt/fatYEVl+7JO+FWHXO7RGgUzQG0So4RtVLklTlSfR9Giyy8hH5LFJ+rlDIIGRJdMNvDnARjr
gEqeqJU90aMOruP1oiojDVzcaTWnUsCMgZ4DUsj+no0Vg5G/FioXzzeviqM6TeiQbmzH0FDuRSDF
CDV/Q0012loHCKWgt/5mI798DDVNzqMf2frKwVLb1l7Kkd57JvzBvsdjGLoiph+BqYsXW+oJC2hs
eSVkuKj3k7drVxUEcm33EChz/An0X/FzyleRWQ0byVCoMtr1rON4RiCoCNYU7PhB2O+gGJ85s6Zy
u3tzBJDkACIjdYud0tga+9oeCkpJjbAcJMICX4LeuTW8LcS985OqQ9DMD7W3d1LxJZGqvpIpw6tr
kSCHsaImdRgJIFS68frvfyMm+9ut40JvwzUgLuAyG7vwsf/Tc6h3dbzuequ4BoExRp3lc1SV4Zts
UXTodVw/I/MTojwPBcDg1wvecjBiIL/vveRIK62gmwqWDMHDh19HumWjYwPTH9xUC4FxBRcLb6MS
MSnQ1VLTCYdlkKvhvgkEWEV8uQpHRbw807IjaGJRajo2scOoN44YWW7GZlqCfLRwWLehJoBGH1NS
E1LIyxClZkvHwq+cEEGhZ1bLcOD1J+g10OJYGZXlBBxCoGrYJjagbhP0mqUgkoASmDFBr6E2l915
FvsEvc79rlqqNlXTJeg6PYA5qPs2Y/FimkJduOn6d3ED/GsHEM+LpUwohet6ekCFgngw/GLrBbnx
AlaReoVnqrcmtygC/3mOXFdbO6h3arCDIDu369fbtJY/IAI8Dqdpc5X5CMXnh0rZA+pGId3YF03w
AM51G/U5iNaVotr2FTICgBWIOdgvwncsn+QsHQrvMW4Gc+FpXXInURu6UVljbmkmViMDeJup1VP/
6uYdwMnQyWq8bm5CNA7BaWCTnfFAdlbW/bJilpobfPiwUQf5dRhl6bo1zeGEa4hYVXeOjwiKtFX6
FQTwO1KGrKN6z7rBfUERI59Hog+An4B8qqhLY9OFCNgbpmXhEzjpVyesdpUnHwFmiO90PA4vPTZG
0LyAwDXLmgfkuXzI2fnZQ5YOFWQC8mZNTV4kals1KBynJkSYrXNV6atIWdkFEXZjkemJuJpFltzp
hVgbfSeuZOpCr154pjesrNFm2kUF5Y7J3WsTeTJzuaVgLUSDwG6Y8C0FjALKkI22uhOojW50AMKx
WHJA3faiSeMSlgxBvazaWl5Z/GjM+NWKBgeY18qbY5tunwvDqtZ2UmmoBxpA1wAU5yoPVXb90zxJ
vO3SvFgjYNEsiwaSeDLMr/mIRkEZJFSSRyCK1DKINlaJxC0FGx0YhAPIlw94SjlhgZx8139xsmwx
9Fn/GMUAaDgFN5BrwY4dq1sbAI0ML9KR3JAl+QLAom7XlnWJDFzbtPGxirJiXhm6ewE/abC2nDyE
4kzWH2IT0XmUJIp7biJRwLPAeQOmapmkvv3DV+6+qZGRoeEoB3Avth+EaxQ0Dat//yS0fn9bYtVg
65aOFwM3DAPPlF8fhAhDFbXZaQ0E4w2EWFsP6SWCDIBu6uwGytiAKgwREbI10I4K6uZhqHkBwRuw
5HORG5eokVgPtEX6LcOvEsVl9vPNAzX8PhLVXrgRI8UK8awokKxi/9O4SyJVUaOALZ1BwhHCuHO/
qtJpHWGh+niu7D4+qaA2z9ShIwPy/yk7jyW3kS0NPxEiEh7YkqAtkuWNtEFI3RK893j6+ZCsburq
dvTM1AKBtEDRZeKc3zz8+8ug/r4vXV4GU7BvWP4sSz5h/7Ie2OMIztsR3eUT0267C5OUr7zA+RgR
L8IAujajl3n70qeB7hmjXv3+YyBHlCkgf/ntD0v07MiUxet/v2VD/W2fY6uO6ji8cw4/HsZ/PXnC
NFUxGoziy3VDP/t2jRJ6EH0lJpwuQXnUdpJd5fpi91e1XONrFSjVf1cH6DZeq4XeRV+x2rj1buLW
9syoytFo2sgwZ2a70atmouVSpJspbBAOJuXh5YkaPilB9XmGEYLhDR00jzxQDW9azm79cizy/pfH
cfn8cIuEmKzpPAYbPFjolmsIyv/5cR6meYzq2Uz2kw/Vy1zrmLL0M1bbNhtNAkj20zAPGOouhJOh
Sx4AvdVvtx6+Yszkh7RxNQQ+ro0aVIZoHLFyChGYTllzYIEW4bMpsuo4LK2yKA8BieDJGoNTaAi8
qv4enw9mAk9YVb+L4e7fPwPaEl34z3+XL69joxJiaLYNJ+s//12oFtlEJivYXzlcerm+RmSI7btn
LchJXKKhUi+HZA4adMCp76ccThsC1avEQsUx6HqE+YRN2DrQ9N2ElnPI8wLU3V/Kt3bJCXPq/+XT
zJukL9GAX/4ZU2j8J66ra0R4DMf5PYolcPUt7ChsdmmXGMcOu/A1SCEQbIMZfESZiwQewHPHrmFK
GmO0kvUggOwtWowkoKM8/HBFkWJ2ZFoXlZzDa0ZeVHbLCzO/C0LCLrJYmMhSN/EgEHWM2C2PbXkk
Y/YdsFX8MysvbBpZkfJAJyPlO18WqeE1kcHuyfDTdpuJqjq1aW8fSSIPu7Y25ge42YHHT7n2vszT
t370c54/59EUlB4tkolleVGDkAUEBcn+AtD+7ARJcdT4dqtLeKhDgSrozrPyWqO7cZG9ZLUsTl01
72E/f5P1sko2ysPUV76nsu1fX68gK5tlykYd+1WX58FO1v1yMcdud90UN3e/1GV9np1aUXnmUOE3
KYfIS5mQv3ZaWme/1sk+ilkXiwdaT8Div+8aK2qeCR3h7thpVYdAoIKYwhzDxVGFn+mkuQfbTzNP
cakRrk9UH5m8TunvZLlwimDdBmrE7nbapH5j4ao2J9MaAWVWFKvNnu0utM+z4d9bRkhpqepSX101
rTDxCjEz8jeBcacY2c9bj8EUPxHBtvlpNxL2i4wkEWcfWhubZTmHu0yEcDqiBZ15lj2MtEr2xMYJ
QC+Nsk5PjA2hq/DheqXMnbbZNM3edY6IHW88x/d2vYuaBKW4ZZzWOPlGdVV7c52h8KtHHX/L26S2
OkceRM9yJ2c15tK/RGlwdExhFmvogDhSlP60T8X1Om3gGyesW95ldznPSFp/1SKkeZRFP3SMhbUD
rnO5BXmoAvQ0Uks7yVGBEyj7uuQ9kXcl63QNOgK57ovsHxkR4hy+GnrytZlG/6teNNHJQRuO35h+
q4WG8YTQo/Gkz0hh4SfhblrLDPP1qCQrHFuyR9kFjIEOhQ030kjTio0WG+3O7VETbtJv6ZCm23E2
ooOhaOVbOvtsQOz0GwjIxrPaQrvDdXR8Uvr+u1r5yTdwUWwl8la9OIGb3LM7tVayIbfGn31lK4+R
XySnuWlTT16AyPids8AZi366INWHjP3IWyEvkvovRenqqK+O6S4tB3fXGEr5gfX2ehK1v9XSBmqp
SxpHae+GuCL30BEMXPPrEh/UxBZwrHnJiDyKVTlGolr7/Ij5apA/ylbVinrP4sl/J4uh4oJnwnj1
OlXNZ7giRnNx3E48Y4gRbX2NQJ4sVnkt7qE07q992xF+NlYBxdZv9D/kbHZpKztMds01T+Hqs6aM
xlOm38m2a00OEyID8Xa9VUdp8yPPLFitLHeupzxfISICbahh0SQe+3nPS0w0Jlm3k/fRFcI46Ub+
ec+D5dwDJ86v97x8HLZoGxQbedXUBME+2zaZ9OUCy0HeN/Hm4Xpf/3bPctDYKP91z0FSI9hP3u2+
zcftoCTmrqvdQ0luDg5aVwLsUHq2FvJ0Srsa2Co5kTKyzb0rWxylgK2Yp9i6XXu2kDpi0wlwbVtw
IcscA4jqrR8574keYiQt6wTyouFJnl5ry14TK6B2fq4kXhixAOjJc9xU8DlqVN7YgqTP8C7T5yrD
kXJwH2UHQAP6RkCl2shiKRLticGyoxyCA5jjDeGQb2Vd45As7qI1VqjToejT9ecw5m3CFlxOV6G7
rfXpswjM9n5Srd2tR1ZNHf9mV+zlXN3cumdekbxfV2V5J/vJoXUwYscmxuYg6/JRDKfJiL/M1dwd
HL1KPSK78c5oR/Mokjw7B2PNTn30/Lw8OEmBvZXIs1UaltOPcN6mud38nNL5D56gtTenILkQ134O
Jhzhu7kxeLDU2uBx9NGRyXst+6qpDrliBgGY5Umn1b7Fpo4QfztnT/LK41SYxzgerQPSgLvSsZAX
0mb7ro3DH/qgVaRJFcQtLcc8R6waW6MMVNh0WGZPSeWuhQ/mQWk2lYEwRwrK4psTiAsS2kv6k6iN
M/IixwAFwkgr/lS64I8KZ9cPaxTJ2hgm/7lBn9LDhkFA+5g/rw2Lvzz+dt2oC5xH+BDQ5sJweAMl
DMFZBVHwH9fDohs+X9GUW3cqUTBH/XxbowHi+SkWOnmvsuGeevUbxLyV32vNF7eBah+iGrcXxDLe
XMM6Vtkya+2qa2fG6Egfe/U+jxJyOXIksUg/rKZn31XLo42Z9EYOyPLdrMXOV6glKQY5Q3MApu+8
zK71INtnKyamq1bDJSwJz8NuxO98uVLmBgh9GfYLX7v2MIow2VZa7X/16+11oO70G62bi6MqiHBh
8vdxvRFQsysl54VLeCA4a+Rv1sUyIcClYxF1+dvshNNegwq+zdqu+5KU00p2UHT4eXj3ZXeIL1VP
roP5lLxUY0Lebtg1PARgIE4WCpiebFDMZuvyq/neObqxc5Aq3YXJqLwXBu/8ck0k7ipvDp2UFC6I
HzySq+vLVWCsvgLvEjxZCg41/mIiLEfUMYgfAklf2tkKduNc1ntcSKa3ucBnZXmhkwxdBQQws7M1
Ky4QvFhbzSxJrySrXqsJB48IPMG+CBJsw66Jb7LfJtoJxLMsUpeLEIxsUAP7WRkx51xW01qJzady
OTgpe7tKj5WNXD4jt6fB+SO0xua6oJZZNO8KdH/WcpDs1YPendhOnmXJGjsX142BZbgotB3bXPUI
g2plg4p5TQ1FeUyC8k71++B9tAteHMie11hkXavAnEQ2bmSrlQWpp5C6O8jgI0jSn2npiIssLTNq
oChe82VG5OkQVid+aVZc9y+yeBriNwkp5AT21Dl1Zs/utK9GbT/Y3b22NMB1g0T2S7Mylnt+9K3D
XMZ42IHLck6+qf11OoUWLjvz+Gegfh2MALHvrs8Igrl6sg7tsF07rJG7ShdGssaOcaf1jn5p4Js8
zbUIz3om7j875woJv7HLvGtZI14IQ7NqcbpZJmtyfEhF/JhGbvpEapyAf+j+6KyUNq1zso3WNnzM
5IUao/ijK1t1AxJdbMA76yhxWfF7GijWJlPcAmMbitWAJLsfJuVJFkdd24NBYxdV+OZzPpebYsqT
9yCsyWQspl5spJN33BKcXS38z9Y4HRMPxabpIFt7YX8zirC+l0OVYDPrAsZCWpUPBF9e5XWy3KiO
8qayZX4o4/98U7I1I/oob0pB4ZPNQlLt/GkWJ4nyvOI9l2JOAnzl8yRzFQuQXa4yAr8gQwPFJ8C+
dLKlmMBtomsnOWe0dDKzbPaqNtjwSL8GlhQ/gwOZX3XQ7kkLO1iWxFCwRUONXZYcVT/os0iupbSc
TnpQDA+yzW/de/S6nHtZ0gLxXCEteS2BqnzvRlu9yLY8yL6roRldVcMFDvPkRozhfL2EqNMV3w3/
JLXBEVitV7k7AQhZbs7vCjQL1NS5k6056/xKzQzyNLIV/3e+UylI2y4Qr5btputMnFurTg6kxoqX
2bLjXaII1ZPFIBXt2an9D1tYEZ9ifEqDCbUx2ShaLlXojXvMG6V4GZO+2OYxIXrZOvh6dmomftGu
Y1t0Upz0RXbNcqTKCdSzcV8uGnZDv8HxISX7zkQuCgxH0P9pPTSXVMdaIE0y1SO/3lzMCp9fQDmc
xiEYiwnHhu21sgpdmqpGfYiz3jgQepiwhFvmEABBMj37qIfwMM5g1BFHzJ9Vd8guVRRehKIqBWDR
mQc2VcdOaGk1o6a98ycQZ35WFc+yDqOrr2amAcRaqiJ3wDR+eRCa5ASTCmtBKxp+fRk/qkCn/BBz
R1mUI7RyGya9eJI1ashebzLTZCvbwikZHgiDXLvLHsOI4XVXEkmSRYewJ8L9/dNsj1+RymlPsrpV
gDXyAe2Pshg0lQHTCLqALMrDUGsvepumZ3kld4ZeEbF6QVniRuVBmB7eGx4flPRhMEax0UXXb/il
qbZ5W9ieHNgXqvI0/Lj+t03lzt4E2RxYHrPMsa7dJ2m808Ipf5bdzZzErCZm7fP2ncDgGch8dxP8
ptbwReHjB2ucnVD2tnX9IbEXZLbiHG9V8iwZ7S1IvvEsS9cqDDdIG47jDkLt53B0/nWg41O/Rung
EJajvUkNeA4TKNiHPnay68FvnMVwwT+6XYHMTNYgdzeO+Wc/3e2GbWdj7OeGZeQNSaCeyWe3Z5CA
mZeMafiHf5Bh5lu7MPp/bZfjWZozHv7SYkuWy/YqUkR3XQs3X7qj34pSROdWhDqE/MzSGZoindl+
v95a5dgGWKZXu2I8OGSw7htd/SlTwpYTItFW19ZOpoTZtZ0njAieWnahspcf26/TgF5xkA3u9uqh
pKmvfRe1j67hVo+pnr5JJEwZB87WLkt327F0kpJdTRa0SkjGxe6ms5UqdXYKeWxJkigsQQH91UVq
bCVjWHlI4YybaSiSaWW7+QO6h/FBAqSudRImZY1t413N3fD8BiBSjiigW8LhRUNIOZwNILs5xBl0
//RX2YrFGAbH+DqkyRBsx4A4XakMqGmqWiHOYeJuVLJjD/pymFC/eAiy8vuk1clRlmS902mfQ2Wd
PAhLGb2Jh7Z7U0frOEKc+m6ym/7FTLpm01Zhsx2WoqGo9sGKg2gtWwsjdu+r2jjKRllV9r3n6kJ9
lCX8cpDnnbLiDg/2X2cT6jYKausRp+z2SUnOnZYPj+pifz5kpNBdvxUr2SbrrEDBxioaCAgt/WWd
m5zbutNOfZxdbgOtaRQrWfxtoJ6bpMUZBB9sIEwxf15JDoiz3N8XmuOkl5x9AqILKiGswN4rSq7d
5f5g/dcZO/ytavugv1qiR0TSiFIsLATgAUPVmydZ6kbFvMMY45ssyQOQ/2kd43S+07MBoe7eCZ56
4qnLYDmNH7XK8u2OvL5JUN1eZmxD0zwNgxI+WSEgqTTHA3J+0+S/FCNr7Rmh5SCByssnD3Fd36W6
rpxlaRrg0Y6D+iZLtT30p7pw5l1K5uwUBSGOkssh+fvMjNxu1ybVF9kjVavPHrI4penaNMoYW0Kj
RYIWEtCMZe3KRS37MlSpey+WhmxpKAzArAjCQtMvBvcesvHnCNiuP+dSg65jpod+gSjo6mw8Gqhf
zlrzlC0wBZuf9n1TEkaRHWTdsIgBKWBhr4OaQjEebXeb22fLHNdWokWApXPjIg+DO2LDhofutsdQ
iQd6GkJnATpPS4sBf3HUCanJfrIVcOFLjyvbXipr5a6FJYrl3ElhLVdFY38lG2R5aVX84A8wn/Dv
Q7yEcnfQnm9ngTKFXrnUKQGtRuL+2nrrNxbmCbOb7+EwVF8IzpIO4e2/kHfVniqykbK+xoOesFlT
7sUYVV9CHpOysbTe+o4NDxKcPHIv9bfhOS41dzXQ7IdWQ7FmxsfpnQcJBNCXs3qpk2eyTrbKfkNf
h7+3Ou7wObao/XrtDqG2U2YdklwbIpKEEv8RAMpGVt3q5VlhtcG5c4xm55rJ/GKk/lnBpOPP5QTI
5CBPMIW/1tg1Tr5XK3Kfd6KLu/Co1OpD6vMMEcl3Tp427oxZjzMNBEh4T63lIBv0WQuP7l8jHP7T
y5UKZGPcAsZDnz2tGNvd4FTqC2+lshvSIPdkMW1AGpuEbVay2IwJj2nsFII60rq1rmjbYYhjsEMM
dUE4riq+eXdKq6svcuI6rgisLsXQYmI3J9buE+FFJ3hyHhAY25ShNl7chRyUjFiECjPwelhPpLL9
1tDfUQxD0jDJyrXqpsa7YuVEa5W8gudW6e912XyZTD19CIh/vvzDIEWdhJcXmnXOsdVWlDhhr+QF
AahLvjFeJE+G2WPFsvaWbpnbTNHy3QTGm/g4i68s6o3Bk9Wy+Mpii5/qes7C6nGaUuOopa6yRgZq
+hCIJq37zsxOhFz6dzBpuYFnguwVloYC3cwdP1wH0V4En7KT3iuylxz8T710BS5Irloh0ZCkfzeU
s5yhbLvPy8rib5elV5MOxbZSBtUjf5hdbodYRw+uFOdbTaayjq/AZK3r2ixPsgF3kfwC+b07CYR9
P/KM7zLrzCsuYdY+mypzm5D5/OjrxksXzFJsY2IQlK1zilGCvR97LM+vYCZG+nWcvKZV+zlS9bPr
SNkh/XtkpWX6daREO2Ex+TgV7T7Cq+Jbk+9GBKt+1jhRrqqyt15NVDo2RT9E57pSkrtaGbWta1rF
M5EWclt2b/zRzd1KjkqK6UsXztF7SzDeA1UWXkKD1KpqEr+DBJs8xY0froMsrb5Hg4PKA5mzxGdF
VcrmY47cCs2WJrxHLrI/OHXxhU1/5lWjQSwK4yX0nibnKxtOMLVd9HMxOklgvX3JM9Ve+4UZPait
r+0dJ7H2ha6SJAJ/j03vMH4xrAIbG9ZWVfG/dCwInWq6F79Si5ceCsG6xCNkr7pF8SJIVUH3dOd1
aYTlyzAN4r7FLZHvXfEie5ijsw/mKX2QVVbtNuvYccKD7D8HvbmrMjX1ZCtB/PaCPNqjvJSscsLR
w2qne5SlNtRd+Eb4mMi5o6hWthaeykjDcjNWoBeAYMuvsu9YZPUli0wY35GiY6YTZS+Eri59mhdf
9QiMtIGkz7F2HLC1M6SORi2+Tv6Emmdn8KHAy+OjFN9ld0UFmzQ6bOxlEV0Gu2iHL4XeVXuc9Zqt
rMbH1GuNOINLkWmHQgurjZy0V8xjwZfxxcpbKHm6cQBDljwlhYFvjwG4u7F7/KmK3mcprFiriSY/
lS0oo3DqIXnlQ7K2grrbo+KlkCBdyv/Hwdeplqv94wRqgAto3BaoryyKDS3MfvQsXmMVMbJOLc2V
rM/VcfbKYNCv3ep8/KVb66S/drPYLB0E++TzFElLcJKIf0ZJ664aW8UvoZ2Nd4Hzbo4e9JsQbnhv
WVW4mpcfUfYH/c6Fm7GRRasyycMTKDjJoq+/9oHVvoV6bVzGLEhIYzJZb5mQiTskDuN+ZZHz/wM2
uye0nOAEwKa7WHXdr4aOmxzWieIJsZZ+Oyatcue7VXcHudvZ6lGpPMYTgm8hHO+vZt9dNDl+TpCB
GqL6zzLHomK02wGFVryHS9/NL3Y5dQdkrKd97DftfTYpqApjRfJGguhHFvfhz0DsTU3nPipVe3VS
Z8SNhu+espDM4rhSdzADumMbzri19rm5idD+fBHLDwVP7+N3xWrQsiYmhl9kv0904e8npQ68ttH0
1zxqnX1ZEYSQxQlI2T5RkvhaxORU32tuk1yLQ8C3NMP6zBNFbLymYiRbruc56yvF1oxHilZx7WyT
rt5XGCleW606aPc2EaHr2LCw2eelIVaDy9jSInvSTCr2j8tdQe/JsI1T+mtrZkIk7RyBCuXS6rpl
tA9UZbq2pq6v7IJeFdfWOY39HSl2yBjLzLVNIgRLcP3aaqo4PZsaguNyqjAS+k606KjKImubupu7
BtmCZWw+DvNOM31MU5brqr027rBvg6o1NYfGKdu9P+WveA+N4wqWZXOWB97ez7NYv7ebeTz93kN2
C6G8rkjkpTtZbEpMhvPQxDRpsY/MDM05u3MLzqj071l8dRtxFCvaVgHip7JS9pOHoIi/2xHIUlmS
jZaC/mSXDdt4GX/rGqfEotKYXNitTp61mnjRcixNb3M3OLPeOaF5bCKfFU9282M4txVaOZ6cWM34
8VlFsMczWNZ3t4v5BfYjlVI8JDyQ/3J9KBwNIkd5vJF9bxezteRgOk15utV3gZId0a5+k1e+zR3l
mrMmMKZe57CffVuFKrrYrciDEuG0Erq4ZE8Lq+yv6jQNzXYlyxpWGX+fmqTS0G9BckBXMk8AsDhd
T2XXtkyVVdjixydb/mW6No12mh+QWlguOS3zWEHHU5EsG5PiIDHiahs1dtiboYPrDqp7qAI+5bJo
mYnNc1NYnIXpBm81Hm6yXh0d/VDVgm0s4KsPtYEKZjXAnUE5G68Z0QBZn2TueJjDEXKgnBxbHnIk
4AqJgbChVUkFyEPZxu6pXg6y2LZmtRU+RHFZN1QVSWpy/OVKaMIgMhXb59hu7XOSNl7n6vMdi7BB
bGxpsHy73xD4Yl1JcvbZsqNsUSNsG5fe4TL2Vi/PXF/9HCaL17F1YB6NAs3V71Xa7KZJU05AGlLH
yM7yMBkRglXLQZ7JuoiEkQcOul7/1oDUOATEZazsHCv9bhJlcfytXvaQQ0mT+9ua7fL1iv90MTlW
rd3vBBCXyByh33Twp61Y7BGn5QCu6/NQSgPFFFrJwQrEppbFW59BD8RauMqw0xo7XpmqGWEoXQcH
u8zS3RAG6VvkJ4+SUjI3fszHov21hwsY/d97+ErVetPcIg/roiDqdi3BqzbIT5qwN4aO1+6tyk5j
xBFu5duIWku6vV5UZ+gx2UnWXzvbk7C9PsPRzuy69gGteZgtBo4dI7ETl3Rfbe+xpSpW1WS2D9fK
Mm92APoWIVfqiuXQ1Gm04RlbeHKaa4Nq4x+ToKY9i8XGafF2GpVJrNPU79a3utgJbftaLqR3061J
VZFTXcmRsvKXdlluGrQwfpvuHzuOyx3IFnmQM1qq81l3K/KtY2GXfZy8whFmm0BA81wyLuOqDKby
POLGSGanqMRdBTdF6CFF2dL5jdZ5QVvDreRd3spKq7YWU5BJj72kRvtUH5qnKhL8lmiRfXDchHDJ
UCePmvMh22QNiNN4bxN5XN/qLBMfjyiHTacmZv0UghV4Kp5kd3lIdZdtu3Ds6zVknRGKGNGQsNlr
hTPs1UyAgcmy9EwwLj03xD72ISoQlV+oA59dh6NskX3AcrbgsXt0nJfesgHupLoteh3JsCzVjoWZ
9M2Ln2H4a1ZY4blO8JyZ0fhFzcCs12bWkoeuMKVLAwASeTMdpwpSPRvH4AEhTQwaFRiYCY/OqyEz
pj8h2q8hoQzBKu0GsEa6C2bJQFAgjboXxSeJ1+s10h020tsiTeKDsuy74C4VG32cxpeyAUweWSjr
q05yuM6E0SnBFR/Bx46vX5rlF3/OEFFtyzvd1Mjj2lNakh36qyzP5KGJmmJvNDpiT0Fwtv4+EFqD
+z7ys5ZFjrYTTvNFNt7qf+s7j1W4YNv+cY7b0DBx+iOefBs5961ent3q5tKJThGy2csd/HalW528
mWRGetnBhfDvrk5uRLvKyhHaCszmjDAsRvV2oG9HJ2s2dTyD388eXRsip1K0zkuZaw8l9kv3gkTq
S9Op82q22/SuHzL3Zfa7xiPuYvMa0Go0g7XV2f5vtKXoLl66swIER84U97WKb0z4TTaaSAU9+Xxd
2HOf6sQssWEL+Krjvc7RX+RsyUCBZZBleYpM+nAE0brwPkb3NfPx+U7H4SJLUDmfs1wM99dSaBDY
csaHa8my99lciEdZchMiJBa6Abluv4M/hzY8tPO9PGgAYTe5rwsgCtTllfHZUIOoxHLFcTatMDsL
hv/SgqjKKuAXan+boUIn4D4Owl2eRpjR/z0z5Hh3k+ugL11MOKE7ZcYG7THroQV082AUdryfDBtm
WV8CLVkOOlGRc4b1vObzNMKulLpOD3Z6PY9sTynJvnFkaKvaiqCrY+/z0GGaFCvjSUTT4GVEtr6j
wlOp1vcapT1PJJl20pXSvkw9aTXZUME2x7dTfOkHEw7n3P6AkOXspqYtjhlmDYgA3k5j4NlH0rrN
vI4DrTi2qoV316j4BywdiDlDqLTMunwJe2DgrPD1geBe+ZKxwdnVWGF7sjWDXHiuh+yNYHTarrth
Xjld1DyVS1IVlZl5Zdq4OPaBiykADClsRbpcHBvVn6+HJB9+LX5XZitD6FcJ7ogKwUtZzvy5CH8p
yobf6tKlX+nkWNDKIercbvhtMfc1cKAxDMl4TFm4sUNRw4qN4kfVrGHCVE31vemtF3cU+kvSjcY+
sQ1/m5a9/65AIxiB0nyvZiRH835qL7HI9PNItnNd1WN+P0ahaHZBABMtB+WFHsbgH9QmwSuy0fwH
bTnw1FRdhoXIFhPu34CBZZPeDLjG0Ci7sUT/IHwdH+Uc8hBaESDwYAstFVxaaMx4myNlaOjTV70s
UdokkY4rVBfvoh5EuN+b4SVGx+FSVCGar41vEYmgeGsIl2JmtECfdEyYbg2KZVZnBeCmXeUo5+aN
/aEHPlrLYW3fWRCL34fuu7VU+3hAHbolOEiWoFqBYA72KlxXFLAGBXdUSzlBHjY2Q5CR+FkaZJ1s
NVUecxFrpw9w2GqNBuFKyWb73m1BiDu2EX0XU/rUVJXyUgLt2jezoW3TKlc+clNZyw4TDtteVyXG
SY70c6A60noFm5GnTBXkdz+tIFozZbVL9PvYMrV7IpLDNsgUHET+rpNndRxW6yWcsZ3cqYdDyJNR
P40OH0zGyoNZp9rFLV5kQS/4gVhlgP4OY2H/addTl2zYd6cbAwafdxtVLeMDvexXzeTbO9kgb8UH
+4CFT4DI/OKKbUPFV7omfJvwfL/vSzVYkdAn4FzP086uGnsjuzk+KQLLcFl3l9b/9yizj6rXDvMl
Rdf6B8SJ+gfYCEh96Pgkk0k63eq7KCdRPM8Oj4N0kw1JKsSJEOtBDpL1/L+IPrTDEuKy9Xuy3UTY
B8d6F6b4kKI6sbtDd8D+oQQN8v2qU77ZjWJ5vQu+Tg/C9tDgGLUHmaXfm2XzOZpX9AP08E896H4w
XXC+6vxJBUB7kaYJTVycIh9Dz5s0oGxo+/E+TxPhaakKGLhxzpOKqppUpIp7bReIyDnLkqxfqmQv
dw793TXxq+UFgD/DCp/LSfMflewJkDCUl+UwY8nkxdUYbWURuOhio1xNuyqeEbZ0ulOjttO9OWcI
WZJ1X0Opmg+yMbLHaYsLc76RrfjdjndZjg+PbK0zFL0mcFyyUVbBtABqa0z3smT6xBj85uTzeJNr
3uI3nS52Gj2AUi8FkL6WxZtf9dXoRpbHpU9TKe1aeloL2xnhRqvTs+Mg26kpGJmy5Z2fFVg9PEyM
r9NSklVC096QiU3Psn/DR3aHTTyrztLDAUb02IcGAXwmcyFTILIBUkzDRkeLLthjsQUc+fUp08dJ
WOwejehMXkp43NDwiKydxsZ2xe/m41j3JeBKLVlP2YTfntLjEtB9BK3pPiRHix+bRxtudzpNZFvT
zN4ZRNe3ju1aW6NIP8q4VADpW8o6JD25Jx17QAg4enR9ftxVOIpfHQLdRotCs6oZOhoXxniRZ4oJ
3KgqEXDULN7WWBky7NvLRfTYXRN/YpUmFEvkjCV5ED5ux41veE6hEcVNFiT53h4fJ3fZEblI+wZc
HwmMqTjqWj2vX7UIljfyGUe+/+MKGNsfBRJ7T6XQg0PgZF/cPvgWxoG78yPV3Se+QmyLx2FWyYhP
0fxqRlO6sxY0g9OMh7gu+V/Rz3EibIoNczUhJ/VQwkTchsgeJD7o80p96XT1q6tqzkqACPOMzifa
qdirWidBJCaAP0PQrfuBbw9RghzPqRbbLjRDxIPrCuTPyROutDmEAEQiYgPo2YZ4Wo6NR6ZjMwwd
67JI47sR2OIqLNpzRzg+IGL/Z2LmSMxWersJCrXalq2SrQYDgKmW9mt0JQE6RV9Uq5u/tVW3w7/w
0MzmvV7W4s5twLayOPUbN6rzlRpNP/3uW52jvsyz7w+ksHktmi+oDO5iN3/vM8AkWtlBxS2eNNBq
q6HGXF5T3oM8WZt1xbJStdiPhca3NP9A92ur88rkLqZ5o938EGwTPNN4gw1QHYEc83SC2cvKiHtC
BooyrLU5TwFYmV+1SJsBfLOndKMiXNPhC2TSTZmzwE4ZZlNVmVwiC2T1HJC3MxM8Csai24EW/aYM
ef7S+T8rJHR3kNBeFaKj7BPmSzkSQMqiRXBqTFk8ZtsTqnYBj8l/MleoMhFeACI5/EjjoL6ok44Z
WvrS9b36qtvHHgTlWvHDFxVeiFegbOCN/AYQ8TQO2ItfjHk8FqHAiSvJLkOL55MKRWYzJ7wZJHr7
XQSe9BgF/8PWeS23yqRr+IqoIodTUJYsWZbt5fWfUCvSZGgyV78f8Mx4amqfUOoGybIkOrzfG45e
3W4dnfDEsJRE5JjDvdNiyeKzrfexjelg33fPUD82ppwGWMjmSStdxVfjOIdp1z2cuaRgOZXzpgsL
eRLJcJQd3FyslijNQl9XOvUwDGjMSrOA+AqvC9t6qv2xQ4RKRZmo7UiL60lliEP76jrQnEnNEV1t
79suxjszVgMbBqTAeuEwz+gYTCKAfC0stBPbcjcYOoWleyiPYNi+WbcTLA71lHgCfXhdx/q2nurm
1KUYp9/WhzW6t8z/r3OzrtJRlHa/b9TuWFYAXbAjedb6Ktp6+vMFIjKCklD383Ee9og9CtTOpvSJ
eh/x0Zibk/BifWd16k3Vq/oEkXzmDotd4lLYH2+aCZJJp09/mKtsZDKzd2/E4ibPysBn9otOto65
QhEFYeWQQZW5v1/Ic/qeuGzgJqeO/UL/qdvOQ4Sdr1PTO0ZoVbdO0v+qGr4e4c3PlWlj4Fvh3UwF
viwWk+zeu8ksjfEPJnjVFq9FPNfbrIOILLs/uYNnCURdB9vUqtrOSuzeehke89lVHiEGv+EUnzWj
eyusttzhXPK9LTJl64QNXx7Gjrj/9E+qLXpK+BSqtaZ8NHH/TyTNFifD2N6nNgWVauh2YS+LgPeb
nvN83HsxH0he4dmi51b/VJd8WFomXvOBur5es3UJxT5N8t0MoHywRXPJ8xJrn7R8Gyo1EEs2DDmV
xESRmUZFM921ZXiRFa4SKTejqvXPVah9xLoDVNPIs8p+I+jmvt+iXLROiq4IMPvUPGYCkwvZ1n+F
VpY+mdSGKv/i0pP4o5kQTd5kBKZG97YwtAMOvTLqrA0OyKXTPNRMvNemGvueMbL1dfNr7NjRThoD
/sIR3FTp5UddY5GQuulHK73Z71J3CpzmUrWZ79qT7QuvIPA9r9xdSbnn2kFZlFHTXgurA83FjgQz
NXRYrVDxpGy6NzD9xBe99WGUEYosIKebUL3DkOF54janUpn+eA7+V5b33Rpy4j+N4VhQefJjQbmY
yXkMJgs6X6l7bgAMPR7YeWVU13CzyfL6nAwtY7A7mjvCM3S/W5I+jUx7R9A9wl2VF3NyvU1S9WRn
pIhTxZCc10MvrORMdfSc5dJGOmzn0Hj7h5sisABZ8nNb8btW/k0M690apl9Sb6mBxeYFMva5QoXo
TOCIpu3WG3wQvjWEjW6dInvFVty6jkz3fiszeaiiJn/OJ3h4StzdRTf7Zpdn25xF3UZHmIUpVkLC
lzbApc3toNNIVq51YWAI5KYHmbvRhViaELcfIz7PXm4dQ1ZqJxGn2ikZDBSacTGfyyQdDgUmyBeo
4cZeE2J66uM8YjGLrBV6TL3rB4IRqTVp2ypJnee8jeJtJJ/qDlmPKWyKqQRA4p3BkrioyTmMMf8N
FhZk0KYqdXMTSrwlhPVqGx5xgbOo35rm0Cs2eQNF4r61FO0D6VgdbvsxHsMdNCBjIpIJi3z121yz
c9LqvvxQamqiXtqOx8oyrQ2S18ZvGS4/RgulT4yu5QNZcQs5Ge4DPFVS/zphfDCBkayIVOtjtLuO
DF+hkq1pkZ8BLvIRYYjiM6wPH+DpbNjSuv/QvLD3c1hSH56FFZI1u/IjKhki8DGsP5CQjZhqY/EW
KcaJwEH9iv+kByDhhJu1mYhZvxYKKqIx/pjbtArQJZlwuqN2V5sjk6xpnmKbPXEYmf21xcT12vC/
nkdX7iCcsVdmAtpUXo7UMnOsJ9baIEreszJL5bVN+cgGM+ht3iUWQylW3uOARzKmMF1kLCgobj5Q
o6D9RiTo2aOpBTaU8Z2qKg3BKc0Pt88oMeMNgsa/fFDTmXY9fiIbmEJ2QBqW4feakd1qa3D8SaTG
NgUC9g2r3+tl6pFJngy7ubr2aT0duiYJrzP/i5LYFziLb1kcimeA1M7Hk4opSyrqDSt0HP2K+dk2
JybsUk4BQALsOpy7KUyxk1X7pAsQM7Q7YwlB7YokQBGf3uyhK4/eTNIq1o5ksFTzP2VXkjNSzvua
VL7tVHnvkIM3nRwShC/c/+EM43eqXcG/YsMNIXC4nWFrO/Y2TOPIDzOA1kbigyN4uEsSJEMixONL
G7JnW0mv+jJ0RxnAlZ13ctPhHargw8bELRA+AAjgxRpaQefljq/mJYVIpoc2Ce2XofIA1a1813RG
5Q8loEbpRe4mJQDOb6gsb5u4sjeTK/sTRh32UyK0hB/dDG+hAS7TTAbUgiX0zSmTS2HUkHSNy4Q1
3ba3puSMtqPes/C3eGc3fNPqg4ZjhlCa8Nxyq2IOVf0ynbkjiE1Yhx4rmjhOgJAnR9u2bVjuy0hk
gZm8NbZWP0fTqPsgav8welNhHsR0Kiy/n/rKj5tIudlV011He1T8gnL9UyMGEeDZzD+ueqeY6I2i
BOZJW/kM2g25oYP4U0ocKAuLAG1H03Cmx/PSx5TWVbX0irxxx09ivLYN1UZiFL1TFLokpubuE0bu
+z5SMr931ZsJoLM17GnytVY5tV75JoTtXIpW+SNHvqjR0owns6qLbTOlvxsD/o7EVJzknOeyk8kl
64fRV5LJ8UdSBlrmfVwhmFZUOz8R5B1up5D0INGjlO7CkNA1rDuEo/wxR3M4myH0rbGKg7gbraAR
/E66Ss9PiuiRgBoAo9NYHt2pJxnELesLnmNXVbKlMqCKGEQi6kRuQJZlRSZy+yxHj0SXkcWTJvtm
j8h2G48KkrVazIfcyhqoldVr25R3RYXwhsF2s3ea5rsmMj0wpGZyh2XcfJ55m7sRldwcHd2I1KIF
E+36ON1iB80KPtKmjcruo/JicUKjpFK9mv9pGgOuHMuCDTcFGgpy1oN5HEkf6rzvWViYfuv0YB3Y
NI0Z3tCNfaNUOl5HSIZ4FjW7zI3eHcxqtqOnk2Yqsu08Rjab4Z4PqO/Fzo5CdSuc7J1AoHFTA5lt
sVxVt1kMm7BUIoxW9OpSjPhhNSFTVG6bhu9gCbdTkt4J2jxpAxHGezC47JRivWurun1mjX8h7LLF
xjx5NjRN2VfcSH44PWcQOIY8EfeG/WxkUWg2XOomAl1JWzfsWFWps9JnZ1cZ0bjPK1vbJBBsfOFi
J5vcIjFaLG+aPshhSG4sJ73Hnjjbliu3LRa51K1zddcjxzvMjuqh+MXkhDEcKU2f5rsO4/e5s0vs
vBKyGPBT34WTum0cV/rIlbNd6FmMJKGItrg8fdfw3dnWXTM8tBxYKEd9U+s6UV+eR2apgfFXHSbj
hvDHB1+VC8bi/gD+zHZCIeliMjZOBkcmApSDre9IEk0khnZ6mEPzGcV7DD6DzjVQ4AZCam9l0LOk
2NUWDuY1ThCww8v2pc6QcBkUAj1q/nKEQZ+N5uSrrKTNjmgwxp+f2CwMZ5FkdyWs56BXtfBJNMZ3
26QOP/fVKelScSwmhmtTgc5VUs2onLPDLhPp6Zns3Y1GCl1Q1xqOSGWIdC6Ep5Q2p1YvIHmNGZ6O
Ue2HGKzuVYU9S19b8vNgzbAgzDInGsm27qGXzjs0moRhpAhSu1lhpz7mCUQArz4SedmdxkH0p/XR
1yGyze6UJ1Cn0NQwUzvA7fDb91ORuXu+3OpkZGp1ssG7du1cXifMfk9YIs2nJGfT5qFLCtZXc1uK
AV027msKjNjQnEEvXB+o/yo0T57SuniXbg6AUpiDPMxxzhbZQ9XsZhO2xN10GowOL3OnIQvX1vLc
tyzcWfTCPPbKEohX7cdpLk7MIgWboDHcWl35bsewAto+Knl9oJaGnN3cLAMlLmP2Um54Wg8sX1mH
xunVAnbfhYoqT3Mn8csarL1kODxJNYW7GLMs9WtZviZp+6tpi+7zs1ofrR9TPFt4n0/h7OL80ol9
uKRRrvuM9ZG7NJdoPr7vjayKkTfNwR7D4WRHb4iaKga6rYbVP7sLqrKek7wbRVRoQaPW6bFtZwru
80Yb0rumeAlp9vxjFN8sbChxgmAF3zRhGDBILW+gvvVlc00VhgssdIM4ncLcj9Uw3M9ZfRiaGmOF
glTEJD4OLbpEhcUaNNjROK3vADMP6sLO/EbZriKvwnDnYH3YaHHF9jc0/LiFRIlVCPLv17Lw2FoN
JngNgVQniA76SaAxDyoHHVv9052zn+AuLp9siIdcr1suu2PaZGARgxqL4/pdVfpYnuRyWJvrwcTM
g5/58lX+f6dDguj/6+rB8ZrdNAjAxWKvVUNA2PJ3Nidd0Ji4wm1txcRgpEgPfZ17FHW4IKrI/y7d
BLP0yZeehJ8pnBrKHYcext9u+i3IlKACOGpKewmzLj5mSo6d+60jJnDXxf29CKtLyjhwwiWbhLQq
/4GdXARQ3iDT6siYnfVbgzc8cLjibp1UKj7EaMoJUTK/hHVeMHbP+U4bortDVSzMH+Suv0nVNfb9
AhOolpWfxgibSCn186QRbbNHiOA8Osk97PUufMm8fPVWGSTxA0WEkLIfjkppp9w67nQVE4ZslqM0
rJrAGT3MG+o+O4WqwJe7VVhWIcY689Ec8YJRLH+m6uwrIyQt19D91IvMB45HRVWlJ6+cf/Nlk08D
afVoDgXZmnrSbmJKZPrQetdBzMYeULlCNRYkbCE2lmzKm5ojauzZRgUiqxK/y6LyZiVUnDGywrS/
2CO0nzdUYTyuwvDZGHG2JeNGd+f0A9a/PIdFYgZEIhebRpnrS4pxhqGVynvFMLtzRukeM3KJ7mRn
UpO25vbXmIq9M7dkz7fmw3FEuecWKA4hOPp7WYQ4JiTKjy40qwB72h7GqMiuisq+p/H6bZXF4kdU
xW8gSQEJ3Ob3PhJ3DFGdP7kAT2Ne0AvFvmUhy5ciSmpfqsS2mY39E2TeBQtgjHLUtjsAlrxQGkTj
0tUIrUBLNmXUpEcdx/mNk5vzARfTeT9TOtjA0jQ2s9I2W5aPm7Iakr1aL3iHByJVgLS2orOvEP2J
KxT9S4GexEjK+HuoVDZKcIoJ+iOt1HIRr8Rb1bDnl2ZQv7eN9lEMbY07OYJJqv3UYchqSdzEwwdo
KDZ4Lqd3kaQ54tZ0YpDatlOeneu8Gs7Wgt5NUH0HQ9YHr5fKG9HXW+EZQKoo9jZhl23HKIneYAr+
FARNPZlSV14N1VKIz1CHrdvlMButMt5lcnS/S/Br6blw65twOgN8RpvMxE6pp4J8wJF/4+Lk/qPx
BiNwUke7sQMwjrKKm32D9uwRmy2qdyrhfyT2wZaX/JYEErOe1oy7V2bVkj1iHjyjF3ejDoE2FFH8
yqo/2ArE1Ejjyp+l7T1gG4e7KHYQDNczGVtzOt+AGH5PenucJ9E+hqZ17x3GFnEBn5mgabnHCZzh
aK1/Z7zZ01rzTqmlZf5X+/P0euXaubbXw3r517O/+v7fl1hP23O4jvOYlSnHCOQT9ccSavz5sByI
O17b66N1vuljlYvW9n89/Dr/dfnatx7+p299nbVv0tpiY6jV6LO3y/B+K4qKSXV5qDosYYBT/91r
9CYLguV8pkDZ3ZLH9q/251M/j2KiDKhYyi5KRX1aD9UyzQ5mifnY2jab6d9t3KtZRfbJpZz06MXS
VG4HNzcCSETRy9pX5Taje2IO+7VvPaho09V4CC+fXbmdPkcMY19PakluPJq4+X/2rSeKZpbUdxav
4+XFP/sSpfE1rVePX33sOAPM7I1baWbaNnaraG9VWI2XSm1d1cpUr2HuxUx9Y/tDutp7DhH5oavK
eJpDkW9tAoju5TSzfYomH4u38nsM42KfEAB5oDCCahl1IiF7G033+k0vM7CUsHiyy765mEm2d5lj
zyR5skSa0+yIcmyfsuU/F1i27jF3eStk5lyRH6pbhW0Xw0pkPw3tmLDCV5/SsT1hhpKfSe8VROpA
5IZFNW8NT7MJPcnxjyvnH8LBdpIP2nsA6D8VrVS/47dWbMRgF1t11p4pN3dsMTtsGst0DBrcDfem
LKn0qBgyaTpCOZbem7Tv1bfaGSCMtumipgBJysiHIoIqMj6S6rfRdA07ZQiNXWS9z4NZbXK0cy9Z
jElBNZY/wfKn89olI727ell+XFvrAaFwtGuQfm/W69e+ttPfPKuXl7XVx+VMhWl8atvJg6fWik2Z
p8NLIcICGWw8bJVoGF7WvrhksQs56rq2PFI5z3Gd/8GG5l8XzCNW1aCScFCW11gPuf43HixxX1/G
q+b4qBJd6H9d0HfEPZiKzI5rX819e2mV8Oo11PCncoNfYvSszblKiGc67Rw3WuAJhu21L7Lie15Q
QV27rLKHdZuVv9Zxfe2Kh3kK1ErT92szmZryZQIV/3yFgghsHaLSynldSa7QQZ+TKnEOScP4imXL
v0m3n5c0M+tzLfz21f+/1wHxF9AhDX23vt7Xhb0WP0aqcexs8iHAwal8wjLQPBrj4p9Tx6O/9q2H
vlTLp3Y5RIkCnVOf5sXzCWnOf058Xayls3OodPX5q2t9NGVh+fTV5yb5H9WTrH5k7PmubJKnUqdk
LAjr/Xz01WcrLSQC6Z3WKxQqTJ+XFVGdHRQdMkyr4zqeVCZhKGrevkUAQduQNcNubWqizElD6NBd
O1bzJsJwIfksWOFycTyI/JAIAal6aQ6iq0gMhmeCVRN7L2G/GV4Gv600QZiXpklR/aA3MPfbobPf
xkIOB6GwYlvPZmOTHlpZTZvIRCvft7ZzCiWLEjsFnVMVTWCSltmvTl+wBfPE+9qyci19LHWCtRW7
of1qmBYuSW1+X7vKLmI1kVfzZW3CmDIDMhy/1/g8bPSx9l6tuFewBIuVreV57qvG0uigFizq1maJ
1Qv+ayxy1osNhotnFAzn9WQIo+P1m87Pug+GyeC+qqpndXnRtGW523pecVkvJJaYNd3UkYxEcKG/
9g3MPFvR4ELlsb/34qpHRMOUN64T2zo3uboTAncuZZy2Ry4SGLY+H5ys2Qmnz+B+RvG+wC3kNRru
VSXznacQDJ0Ni+/lYD8ACSyKv1q3LWFlvSlpDzqVqd+6KGV2n4r8zdLGiXU+oxyhMRlrccM5zzFy
Z3xEs7deGSm2eOE7dtBEcIyYP3uduV9bdTXIV8c4MjrGW5ssSwdW0MnRdQ/5VooVdRGKt2YEycpq
SlLIaPSDVkROIKgJLCifE/QwXbZxZnY7YKwFG3NZzuePqTOKwNTz6ODpG8xH3Wd7yYNZD3p2MEzl
ZhTyW6crRPG49XTjTWPDUY7g1Rl7F8VAFplQPA4iu0JqqOMhiGtW+aMt+ucwrNVXkgxXxo0vTS98
5OBaac1aXVVqPp9Jg120HNZHYllj2KX5FBVR9tmljWF8Uoz+JWmyX5XtGoeGGIursPCHm1jinvM6
/2Dt3fxyTXHtx1z7Q8zGLvUai83SrZlmnwV5QQ27baFLWKnvYa78LVr416KQfkQ2xpuZNMcYIu8v
LccYTnnOiDF50e3yjDNvsSs1cNpCSYqtOyQVRe/4G4u+et+7CBlE6wn86dP22exLCRBgx7+k+KFG
s733Gm1h5xfuZlLBCItElARnu4C2KsxYe9bvczIUr0OXLOrCTJzWZlbjNwpp4oLy3n4Ou4k6VDfU
aDWM8TmW5qIvS5odrODk0NR4hFhKcSDuiRCHzJYHQD+5NRdZOTtz44WlP39+pgZJgWIDCWqbKBT6
KWplfqK3MeCN7Zv6ndTBl2hmBDIYandRqJekfRewvhStetOdFs/avLhb7Nbe+tnV7m2j79ZzWJ96
544MbX+0f3cMzm+mcLxHXmHPT0TGW28ZEynahDAv50aM4MCaSTVdWip+iy91D3K/tHqKxS8FSbxr
Cz/g6qXx0p0IK+utLWvCdot8v57rPEu9O6E8fLYqs763w3w01VTF1kI/pHU2X/Pl0KrDeU5aHbiG
VtU1/a53FRsvI92+jrrmsOedch9EB8+AtdNYziQWc8w05edcl/ZVHTTOhlM7b8047jGsXdrrqfVA
AZOYp/66Nj5fKq8bi6JqCYyaD+Iw9DmwZCMITHMtKRAM4Ry2NsvlD1AEsHn2QnumagGdiObY6lw9
u+p87MT0+tlcz2iy6k+xlV7zrP8wy6Q85iBe176v/3XAAdPZkitXB/9zYlC98UnnrXxd2xqOZvjN
qNU+BHKsRZZXiVvAoFFPMAwww+hmpO64Ez1iSi1Toxt3EiIBu5+ny5JhtPat17lEA93Wplubzyju
QBmW53/1z3WDfZG0FXwZI8lSLtQ2YgoFilMORdIWEIyRWA5ZRRF56YtNRk+MgCLoHHb7mlvFWxXW
4rq2PG8KF2olieTLyaFNlL0y2Akb6aJ7Ve1Cf7LJ/YAx0kJ64YoaWiqb48faEJIaE37182Vtai1U
DsR42X5tVlORHMPBgzm8PBMbz/w2D/HnH167bGsKYplFL2vLygcg1gFPlLUZk/2+tc0FiF6eLmyr
OqHFsP21memO9SyR4K6t9f21kX7I7Fw+r+89X3heo5Uo5Gku73shFk26Vm3XZkW4PD/NgrSb9b3Z
OTZICUZQS2t9tTjsn7MKiJfCMqU1SyvUQKkbebIpFgAkTzVjtVk2B9WmMhQR/vnmjOXkJ1Hk/IBA
fJY8IpOO+6mx5r/gFu8TSOj3qkMuQlFePMj5ZqpnaeiT0VldYXBkh6q0w1NrzOIchkp8oA5ZHEpM
PG96nrxn2LP9bifnxZzIa3fc6neRlzaRy+l40ipCjd0E9g3YT/z7SCG+AcFnY6BFbnLNxiKBiRNF
Z0qk+2ScX+25MHzsOKFvVJn91M5dOft5rfHz5k7ts/y2HhTbzm6goVhkhz8cHB6DPkWB7g419bSo
7iFcQT1HQ6fisdmhYvHa8QxZfj7Kpv5JbKZytLR8erW6mp/d+KyRB/9O7tqvYnYDCvQ4d1fhTtji
T93l6S1OYnxrM0fZIdNX3ysr0Vi0tjvN1e03Ye8piWXfjHkedoYSJ1tXyc6R4v1iua6eTBn/MePy
ZzcKk/JO7Rw0GKNU2VyCszAaG2WS4cCE+METRvrPQJEomywXKlJNsdLhxk7r0dvogvJSDRHgpSz3
IPIJJT9Cz9siIfwFd2KqBNq3eo68g+VR+YT4nm1rgT2m6UBWGuDCN00fXqx/XFTf16HQXgy1OSFE
r32qUNFOLUHELOwuAV5G8F6Vtbl0jNs4/qOTeGLcy9Z2D1PeYX84QlCWATijctAU6mpomuod2nkd
e5DQOP2C6qFeMxCwDf5K9qawiyVHdj4yPWKxaUff69yVj1ln0qZLvzkU7iF3OwLElINijuIyesmv
qSB0cRzwziVq8e+MDKZqdY80wKgJrF60d4q32t6qLXGKrAJUPq7cTVSoxjvMz5+DlVR/TVwwqQX9
ibuuRvwtAOvLCnOIoe18FZO6I8l9w4taavFzDUtlba2H2mq1HcJ5wLHlivUQVjpMl9E7h4hVXrBR
0aD9JQe4EduELIZbr5nqY6K0uvV0at1r08JI8ZoneMEvJ3vYhY/BQIw92v1l7TJQH+yd2K43jZtq
D683WlieEIiW1tqlGRaGb22WntYnLLPP0WBmZu0SH0otXNw+q+4xhVBazbi6ry0yqaJt5oZE6Cwn
R3Y21Kvb09rydK17xEoGQ8DBkn7t08kIOfZeYaOi4QnrgUXJjluDeNHlCZGrTNu0TlXYCFzBqjp5
7nSqD8tJZTmMA8CfgmjguF4B1D2cwhIXqK+XjNzshPlq+vme83gog9ibHlMC3DFZmv5oQqLRCilO
WS6Y6co2+Wu3Nr7SrJ1eHGG/ZMPvikzcVzDNYDKskWiSwnitxuqXSDGaWM8B0aoB5pTeAcao+Wpr
5BkqvTds12sLQ49ONTE1wXp2UKn0EL9u7UPzmfm+ggwjp/zkCVYQSNHil/WAOUq5rdOw3Kb/6dOn
OPej2sO829bjlykaYXmFHt7f5j4TsfFwy854pLPCoA+n5bg2E8XrjtoMPWS9RBts48EENjl5/Hl9
0VBGHnFpPdjL0+tI7qC7hxiio22rlc55WQ9p0jDaNcN4dKLEeWnxRr+OiYLMXIeAVpoR6mgSafbr
xSCC4o6XHHuasC0CWL/Nlg9o3EJs/tfrye5vmSvhFmU/xChiU17Q0ulE3DXdZ3Pta025kRrz2doi
xLTczzUEu8+mHvKsOd+HEDdua9dozJTzukQl1qOOHmvfNIcnreDGWFuyVfpDa8mSK/ij66G3p1sF
OeTpswsVJIlWg+cbThE/Oy63eYt3lj3ppk9tl0qxMUQv68FTxV4tjfm6tsbQba6xdPelnsVpMDcL
Cixrx1/PljGzfGbpQGdNmuy++gwv/eOpKpNeXzV3LUZV9schW3Rs1Jf1wO8IB4+eavVXX2gObzJW
xwuOPupLH4XJRWr2x9cFKfsUnDeaZv/V5xJX1o6fL9r0A4YV2AgF1mhPFz1OntvRy6/MgfmVEvqp
RwRxWlsEZdqqvz70MvGitWZ7/K++9WlWU/6UbRhttKrOIfkUzn09uBKU0EEQgEKdvkpVIOlSi5HD
JkWj+pBJWD3CtAJe85J4v/blcQFWmUAxF0VZBVMdqj6//fC4XmwaZLSWuBQbJvSfSiUOK2OY3UZd
LB9yrl5agMIn/F7lo0wxuTWFEgYqclCyHoaz05k9HwAnBfSpDYVUmFKaLR/qJJNbk7jH9eTaRc6Y
BnjfeEdtGqrrZI5nW4qe73Mw3hpzqE7eKDtYQVOUP8mo2hbVVlGHatM0jtxoVjRDPAqbnakYzlOf
ItFI+jBd4se25Lh9a4ywRA/fX8Kqf7L6CMd2QU0KXcLPsEt2lsDwILXY6ZSsALxKqw9jbP+e3QIG
mzyqfYRyQhFwutVe37SsQYKG1UfhkS+k5/4MSzgYYwUhachsvlb74MegrjfhoKvKcIIx8aZJJ95H
TAgA3CqUdEjKfa+f1RmvuVZTDIoLqJNcZZ+N+jv7LgYb2AubylCveZcdCaNWLnVXIY/tB/eY9wjg
DOMtaYaE7Z/LPhm2Z94L9zHnlnaaqGiDd7SAiUbp58XUopny1ZEkXdyJKd9OpAF4VZ/67cwcyWb4
Se3vmmi858WEb0LEYE+1ie4xMi5mk6g7hWAUv4zf53l+pSK0iVut2pV26577nDQYgAAefh2mAQd4
26jPmJZ9g2ExkkLX9rvKEeS46np47YvfvIw4Ybdi+Pg+D4FjGlRuS0W75KxVc2tU70bGKw91Pp8t
DGcjAUkkV4hcTHU0eVN6aLRBnmQXyi3xkcOmcZzokrly3qit/i0ayQ+AMdVtoxmJhjpXdwv6x73W
zTclietDjlvjBZtEeCXMKduscdpLVZagJPqAfmsOg6ie+gtEgkMnMWRsZRoUstp7+egdC2OqNxnr
BrZWpvAN0rQC2XcHq14YgVGnbc3BTncQhH9i1fRjCRM9mFTJAz6tPoAO1wW4s4Hg8buxGwW6Xtq2
Z40jPgnQtfCSYMfeGcz2ho3aRv1Zp/qErs6U5wGiwVFZAA+jua8ram1ZVrNE4WfUUQfJBMYsRYpl
RDy06pue/+ht5Zpl6HwxRwmy5A57+e/sGvWJ+pvKTJhKPNfU01TW2ouJwsPkZ0+515ZDCv/GqQOj
EPGlK+roFI2sMHKN+3cS5PJkXYXd3rD8eqscyMrp8aRw4jeCellgpmCodi3lXtjTT9dU3cvopm0A
FNgKoNBPsgPZatSWbOcY9YJEiAgxjVYQWlbKBSn5hhCgCIYk/t3kFSnZsXlgLu9TGCvYW8kdH+hf
mRERMwLDU30glKOtrWeAEd1PYJdtwqR5eG6DxsxtSH9TjfIoJONgopjBPPRNUHVgArJ4xtNUvfRx
rF3a5eCYBFY6iDCzwhd6FG7NDqae0HR2KIrTMfZazTZKUzeAlLWLy+i3QuUBJ4YYRyGgjF+9NVTv
LbbmTNqHriDGznHRNOkRNRB1RJ7qsTx+ihqIPPOdHUkbUPesK/NKrHnukwbwliWq4M871kKh3kyI
i2+jB8Au9W6iKhy9YKzC9NnWMJRCtYOHbyaXEealT2wWqwo2hV2qouExW8Dr/2PsvJbkRNa1fUVE
4M1p+Wrf6lbLnBAaaYT3nqvfDx9ai979z/yxTzLSAVWQJGleM6fByfYW9dmq/xW4foZAmQG80dVT
QAxmDvDQP4czVo06hPldp0Flav8eIA1GwH6PjQecr7YdVp2dnZm36h6h6eKoFh0I5U7BgEVTFeQj
0YsJAp+NhdJ9marp0xjazR1Ljdl+7iZE0bL2EfbyJ1aam52FnvzVm3RQoLpvXR3bvVH83rtREt+9
sRacThV3PxrXuysjulmzUejG0qq6zCgsYaH6fQCIeq667jveBwacYDs4KmUy3Q94Fd05LB4XC4E4
SPWX1HFvwT9MjLJHnzs4fB+ZtbO6EQBfiuOjbnT+rikgUWRxxUJFG5jsupXWpXKrYmcldnsGul4A
ivMsQDd8DE6QmW+cnE0pvUBzC+nYl9LqXFZ5Cu2QxPG5nFrz3NeV9zX1XuEydWrr/5zt+gDnnW+p
t0BklJ+R0e9zKwtu9DHAH7FSmwMzde/SAzw7W+BAwZ2wJaX4TN46CPeOVbDooZoHxoz33mgNT+mA
RpFDCjGZ5NiawWueKfbtFlRD4axJm5H/1a6hiGHz9WD5jB29wQLH6GYAPSvPO/mB7+1DD/U1ja5v
z5R5p6sBr6JvGrdzHbNtyujjV5rrxzxIpht1Rr4JoahnLQ7+thaHKKg6d+gWS2NkdsaHeAkW8Rwz
H7U71azb56Fvp4c2XnpuUl4ZtM91xFC3qtNzGThquE8dHiOYsKvSMv/o+pSRhxW9JamOzqFZPFnG
aJ/GPGL+vQS+ez97HTy0VouPTfecOk1yEzI9uEl9JzoYBQQA2NjRrWWbz3pgwN7wRloUdo8DiCvW
9+LjoNTPMwaVLOwxOesWgTMtuwgGzF52pKEKA0s0rcXrCgTmfwOlY7+oR9u08LDLMEIktfwSpMaY
eS3LLPg1OMieLxsByqwfdR9bVwy34EhgBurBsQ560FhTMEzMOH2OZWnkDkHpKw21uG3M6UkN5xFq
h28fRlRp9tOSRKZg2vcmD8tMXYBmTpjCK+mQnpw10EWeWdyCyLgME4wU4EoPndk9Ky3+T7kZJwcd
E815L5i5cCHwW+DPjs4w5XAKZvdhTDWNoWCXPXpszd3ETfU2Azf6jNcGaMPiRzhE6Wc1xyXGa3+5
hU/jllUCZ1kqqGedmU5Kg3I8V7uXYOITBsDKUw6+1EYDHHu1UkIFsKcPUmCqc/NGToNr5WtUB/k1
i0u67LFzDhh2Aw9hSwEQXDHvCxTTIqeweS/svUmXdz9oUHprgAL4rw2npOF6SI749zELrJdkDt9C
pOAQHz1NWMsdHGeE4L7gjQBoHxKNp4v+b6rs077+zbymvW2H7FyPNZ9JUIGJg6W1mkASauFx1vXV
Cb8VeWl8QUIeRc7xk54E1iUdlE8ziwALvVU9V+ZiPBB/VzvjEntjyG79wYtn7xpG1kPMVto+1ZFV
atUc4T8DxLh965r6dKel8euoMksNqwAZxRDK8GLSVPno2iQN1wMK9LYqQARZ3Z1sNrzBcpX2KhyR
Tr+7wdFegO26SGMrExMBk35aW3D1edo3hyK1vSdYAM6jOr3OIPieDMAIdh40pypOvpQMDJCvjIBW
lmymSnJO9YwxX5kB0FSUc9K5IeMnIwX+Yh3yoDP2VVn0F9gRxWtn1s1lhC2yl6SeOA1449rCL1Rp
7hku83/azj7oZfBrspXpXMTpfIvwx1M/A/Y2XTt5DJByeQwarWZnGClMp3fSo1Xb1bmEBm4EsDOU
BIm5jJ+3MDXcAalgJ2STsQh2zjxmR2bRjwbrHPTihyx77ELAYj9y+xXTsvaaLZiZcsHVhSAsrqbz
GC240dqY1CvAiHBBkkow6dGbohj+Mf5vluRL9Wx57eqbMuC+ei10ul1WpIQC9Gx0kNNaXQUH/zTh
CHmxwte4ASngv4xNkJ4C6Lx2a8AtGsYXhMpRN8TzbtXVEIyQ4IYykwmDGzsoeS+CG1LQ+SkkyfGv
yW2CG3BZ1nxksMovkai80VYFl+wi0WRmBQkWFn9vqAvQvm6royBUKudpgRQyls1uih64ddDg9eDv
EkVb1hHIDcBiHdlV+eYo+SFRAxxyf5n9AIp5uXHNckaJbfhEW0vU+ShQRckc52zKLlIzclruDLKI
wZ/j2+UkUksL1WlnO1l6kF+ZoDXNBizCZ4ur3zlo1LMojDjeHpL7cAXD+bNbnt9oRs4lR41a9oAl
SOT+SzRmisyWFsZ3ksyy6hyWio7/zPKbcnCfAd4ZF7mk/Aycl8OoGhAn6aujV5a/5Lh0DOCYL49x
fcKSKXip3GfXxVpIo1veWOrdGakVPJkAfazYX2kN0G7ZoR6ndDyqev1D8MASDMCouxp+HeupSI5k
1WBjRlQ5KX282xxl03vFeYVq8L2HuXj0mpAnaiMhemqT5kWevZ24jwPrPqe5NujWrSFCb4+hO9tb
xU3qMP1rQzTbtocGdlgHQt0EB3lc8jQkVuLxmewkKq3ACnWffeVu5xV9foOvowf6TKJLABGBtqGc
K7ze6VuGZAaIAMwZq2GMQN9F5WgHRwqQyK6R36zROe1BQ9nRRa43Ng1r1M0hbpMv86jfyJ1b7xLU
0l1hpdNB7rXclaQtmP+3GuIrCwZAnokcITHJW5uDpCUwUhxDmi4Eoono49B9kge/Nk25NVtrkJKa
lc9dBYb9ILdCfqTe19yfNij0PSvojHKt6q92sQ1B7nK9v2bu9DPAK+OUMRqg1b1oVd7CtA1P+QzR
udWnT/rSdchnO4tt5zwHM0hg7Ph2KnROlHAb9ISsJC/+nwu/+w0SxfYKsrse6mvN9emhJoNDaW/o
B+kC5PveITd+sQFkjZ9SuLzrzV3hFO/emnegio930GAbr4hgTc7NyQhzbT7Gbvhd6TL1uN1hOsEb
3XGhdG+di9o/ZZhYnuS39H71mNqzekKjsZ/3TRbetYOuAPNY+qHltZYjJfaveV5XzggHhMlBWkIf
pyeGMExdloagj0g7mXCst+azVLCrmQqmvh+QYLtICx47a7hMucW0pDrmzoDxkbuAK//1unaRXv0Q
rLCXG8AVFkDK1vbm+N7VFwCjUdj1Im9D97Z0y9KSJLnlFaz+LD2Spc/O0XeqAcxK+uQECn2k1Jdg
e1vfNdE1KuVz5Q0XrzH30hLWQ7AVOCtvbcMGgfSFTNibMwrd1+0N39qy5EkyWFqh2venBpDeOXSi
k5SZ0tilxnb8xyYoaXlqEluPkfQa/VAuyQ95a7MtK9v+0/VgK8cGf2peA7hyuxR4TJECcuttEM7L
h0P3IJoGOhPVST/hQ8E+PeMCeeKDrWMM6jzmc/vsMDZgfnins2IxqwUe28lzDihlqLtba8GqzmP5
nA9udzLNmaFEo6sHNShYu+kRmNmxwXsS3sGUL3aR5jzUhyAqHx3Mi7cHL1eV5Po6bWnJ3JrJh0OK
IW0vPfaD0hglqJfuWmJ6An3JjOE8yd2XkxTgGScwKzS73odWv5e3BFY7uRJ9lzu4xtfcQkRJ5i0T
rsFHSHXfbOFShNywLlbSK+vgUEPiBd8wJvrnqAfujozJUe6xBPLY42V4glAuc+Qp/Suf9BsvNrKT
Oo+3iVkiUOZ1F+lkNHrtFs5uiXruISyC9QtgtL8g5WdXOaE8eYnR07cLG8aOhl/z4D1hFueumGU/
sV98PM9OubSIrTNQNdW5ctz2+/R21A79BPF+u4tl5tCTJstnJnMz6+Bb0IWEVAIv4Cu4ZIORuIf8
qFRhbw3KiYEuyqhZx1XHTAZb4HWr8+Q61wlgDvu5Z+iRaBRH9j7DMWwdXa2zqEgLCvbcdG3thOFS
P9RGYpzk/PK7fDsar63+OBt5e1JN41me6vZoJZZ33c/YmKLdWBQo/UMh/zNB2zoORb79kl4HdkxP
SxxpmD6A8T9qmZ3Dzm/z4R5BdvMCNK26EdbOEHXVDW3hdxlm2fp85Ulsfcz2YPhA/51CzzQnrz5Y
EKSRxXAMHE4KXgKXHvyAQuCx5JbJk5FmHaisPVrAg/0C35D/duZSYevRtye5Nuilv99uwlYqMany
/z8VY7UR9tL91tXLj5HkOhbf0hJbM+cI2w8GtAgzyEBX6eyLiseiVJHLrkMuieKwyau2RtnX/gOr
Xz+U8jvfjTLWY8vc3QMLuGNDEHsMPvQyfmVzhKVreU3mAjmYfTCZ39FaYT057JNL0YShepTqa9Rf
vqARYJAuSNdxnLRUGdFtwZY3zRlbDhpKkRowsWUQJn9nC1aUpKTfjWXXX1/OI0yc+7FA160n3gBP
P9nsUs179HoLNqH+cuWHmPWN7urqVYZlMqiTmATrqZdhoSTZCELzOoAAslWWKltSYluwPcYtb7vG
h2Oj/HOHUAd9GH2mdJwdQID8Iml587jjCdP4pXz98XOpFbtIGdR3w0h5hGvLm38EEO2v0lwjlHQB
TS/PIOw6JDekpfxzVI5euypAOc3FLdPDRypIAFNkm8J94IQIwUNKt4JtDigFEmz1JDn4Pwetzq/r
r19a8kr22N6ZdTyzNmbJ9fS8Y//kv++dxNZaEv2YloPWs76r9fECH49SNDY2WvtVm5GalX5lGz3I
sf+Ut1WR0nWcLdEtkOexJSUmx/3rWd9NZ6S2VPxwqX/K+3DWD1cKlg4fo7m6C2H0La84Hs7sVVTz
OleVF14CllIgZ0IjYvK+LLNtwZY3Z3iCQr+jTtUaRNdK0t3Kybeq70ok6psBCCG24NcWLS+LvCfb
y7K9VP+atx0m753U+6e8/+up/DlfyP1FDNpvPLg4tDGsXcbC8uHagnUmu6XfrVX8U/UPeet8Yjnt
egU5z4c66xWGxLvTlOG32nnhXroGmYNKbPtGSx+yJSW2Dci2yh/yPiSlnt8jGND/1GokEZLChsjH
y8neO8NbacJrVHIlPbOUzbQ6q7KT7hUvW/cOmAra+JZW5oVGLmnp+RkLBawoWZnlrktHfmC18166
B1b/kWRtUAb+Q1dbOw1bZQ1BepeinCFhIv52+KfudmsKjkz6tzpbM9jyPjQXSUrpGDQpSxYuTK9B
nc1D5+jpvJf5bwLAgOWiZHwN2iE6rW+83JQtWLvVLS2361+TUrC9upIMWEj5031L+sMZJG/OErAT
WsJrtHX268B6LZfnsx3Z4FXC5C27WiyMGMsKybuZ41ZNjpVABgZbUmIf6kknuuW9++NS8uGQwauU
42zcgwp8qqFS4BogNVgpNzSQHMuHq8QRr32RrsvPkiy7yJ0pkz7PLrPq7JrMsS7ysm9PdH333y1m
vhsqbFUlJo83KnpW9NZK6yJX7iB6YsQRMik6WtnD7JVsx6Dmok0P8oqu65TSAsZZj5uv8iL/WdWq
1eCIdTZbJw2bg3meXRMkgmGJQ1qToG7Yrdxtad8KFPTPQmtXLrrDzmxhQEaHvK18WLoWnE3dvxXO
tsUGQKSiXSN3VZ5LnUFl0qvitYzhmQifXF8e8NwiutOu65kfbr/c1HePaJ26rndd5iwSXV/ziM3J
2TOno9xluewWyA/YknJjP+Stszop+Ujm3GpK8faX9DDU9zbWejtsDLGKC3L/rSvi8WwgBHjUYcyS
hHqGAGlxxWeSUktn78xwkOlZSj0PmKeeJHg31cFLpGVnbTmHmtTZfRnU7U5qzV02XpS5NA9qnwHS
G4Zi10S86hJ4mWvubQ+Apwam6C5N3JMahVZ+RDIIw2Vm9kdWJUENT8610YPmEU4We82IxkI8zxzc
i2L1LvXH1wXR/ilABvYT/Jv6gGrciCoHScnLEDzKErYn6hEViNiu0k+x56AsaHb3U4wWggNs4aSz
t3/2LH9+SqvmJ3zHS29q5duYm7hqpf73vGRIXuMDf+MHKkjxrHntvdn64bFaz86uH7DhoLWo4wzD
Lmjq+ks9g+llSl5+1tXU3qOoA7wqQrZLLRZbAJOl5Dm3KvSbVPVQIRGMMlQJjhsjxuphXEpYSsJM
YMBRIEy0c1PY5cM8JdWDxCTIisJB9yzPERZmEd4q4uBQVsgP+dPwzWTz7Nyqi5RfplYGdiQocRyW
BeCd6zNzi4sY1WsVwqfhYySqomB4aLMCTJDXDsyHm8K9AanB9prHYnuL6tfUT9HTsAQQXaInX02+
I6upXCWrzDDpRncRVa4C4TPDYrfGCZ4a1LCfVHZCn1JF0/bTOAbMICiIbQ9oVWpzL3MsRfGQ3U3D
0D1oSec9zktQZ8D2bNoW7GpqbAWhnqV7rXRwRRvYnTEnzObGUUcXxv97SqL5YU2B5kD516HNbcdX
keU9ojIT7auw3aF7ahwdzTIP09TkaLwBpi8MzbyxHaDOwFq1g27rSbvDCh4ZDBzASy8s7yqodnfN
EmxJ2uc5KVhDHZA2suGmlfpNPpupsddMQ7uRoJiC/2QWfaXsJw+WuxemLDYjavDa+wBGXXvsvyVD
/tVgKx1cOHR/3i0TPjPIRNAKRYVKTD//zXbnlzBP9G9Tk4BWQBDnNRgzYNfoYD3OGnvJ1pRYt5Wb
9zd6H7eXNI2LBx6BBuW/VT81o0LjylLzXjX61xrVoHs3Sh4Hu2qgvir1p7hn48hB7PEoSSlgK/Qz
8uv5sR53PcYdu2mpHmsppnwxWK7lOHawyXIUaLf0GYd3B1v5dyedzVs5Vd2Y2oPjhRfIYTh1Zsii
nfjgVIftF7RB8jsM52Q9b23M7WPTtcdcRdZm72Ox3AfZC0aFM4v2RcNc2TZvIVo0n+Ce9w8sHV8l
hdFu+wnTOshQ2YhY01JD8hyj/HhQ4r6qLnpcuAYC1Ib2w4rFElVg0N2hn9bf1QPLymWK2okUOChZ
XJHBTECzcSt0U2nPiG1qe0nK7clSdflUOWDClvtjjyNAl2oZ6MVne/y9/p00yf2zXdRwzpb7h+o0
iLxs8vCnp82Mg4lyikQlqIIZhvuWltY2tkhIvsuUYinpIHcchkeAMyDwgmEHrgtLhbKiU9Lrr3Ud
hJfeHgI03sPqe1mepDwewvqU6qg2VbPisGCtuLiFsx54bYIouOuWYEjQPXEN//yuoO9T7GTeAt+O
j1AY4ttyzPAwXAKJSZ7JLBvLBhtFtViLGvwG/6WiHLLW3o7uRswB/y+HpO4AvkLVzh9P03YFIrfP
40Opshq4//DrpLZcZCpKvblL24VHwbajabUwYFGkvI+WIEdg4l6Sk++jWBj5A+R1NWZxfSkuVZTL
d1slieGgd8uHr2MfmYNjl1WVsKw8PDEmRblx3iyg+ChLSemHQyUpF25RHb04CIGvh8rV3h2R6eax
KwFofCxYftVUxpAdn+fC/ppiTwpyaXbT23aq0lt3jACcaChvdhn7jCq7FcekCLUXtQyHO1ev/8pD
TX0Z7EJ90cP6oaODfWBvGqYLooN8/XoD/S+nbvVbG2jJm5txKjZzyvsUNYO3qFK+wEcOHqXQLIN7
v4jtJykDKXxMIdR9ypeaY/2WDJr5qvlR8VlLrlKFb072ojYN9MuHsE6nuz7Q0vtxCRD304edmdRE
7Wbe0WeDxluSUgeiKRs5vvu3mgy4l7qsXcJcSt8yr0ZHWzPavSSNvhkuBq6ph9K0UMTf2VbXf8LG
Cukia9SPEYTKt6bHFkGFr3de+JVvQMHKg5355mXEMvOptMdXIDTdN6v8MbuN+8VS3PYmKyOkk2y9
+9bMAClUx8qfENFBSzfsfweO3X4DsqUf5hgXcbvxXzXAZ2jYtgN4T2Jx2B5nrGHhC/8nC1rkn8IP
ebrlgIrN5rty8Oojfm0lCnNO8Zopln3TpN2E5nZfvOowpj9h/b6TQgUY2ysIjC8wedV7ybL9hv0F
dyjPkhxRk7hq3pTsJVnHrvk0s0snKTljN6j3KlpvOozo22CawSUUVmjc1mjFQIuufVTY7PyeRfe4
O4DFQ9YTadlj5Q/OjZT0re8dTW2waHe4ncw+PQ+CMdFbr1b9Ho5PdCNJJ1JtYApRfytJGyMifCB1
/06SszL9cPnmP0hq6rMn+uv8yYjB9/hjcAmjQXlOs1a9j3xoxKGPXdWQV08AfY7ITvTPpdd+TuJW
vQWsMDzresurEqMqXyXunVSQfHQRT6VSZw+SJYGJylFkQ2CoOx3D1QL32MwOnqV6DB3tKTefm6Y4
uZ1bYVhYH5ExL2/tySluow6y3CIWXN4qKkHTVS4ys+p0iL0e0XE7ah5DzcEKfLJeUQhLv6lW5R3R
zSwvkoSjA6ReL95Kc0SS0ujBEizVtH7yd2j6garJR9yV1RageJV+A0WdnaHjOyedvY9vtmXc5q5i
vZhh5tyXiQXAYqnWTurfE2jJK5827Z5hnYYbETF3CWYt9fes4DXgd/+Tt1WRmKW0f1e9rp3/6Xi9
BQDT2fFjPc7Nw6hUwKULF+k7UF0mX6K/c9X/bI6D/dY4I/pAuV7cZaFho2xcpSDihvlLX7nPUnU0
0rs6MryvdZOrB7eOrfu09DBgqWvUUtCF/Qwd6aeC+NUxLvYusKE7teSlcsf4R6cBELMMt3n0zC64
UWwnOUdpqL6gqlLv5PTO/FUtveZnx74RMCIzRodxMi6s2Zao7pbWs2ejOc7r7iBsqeW7JKsLlHHR
qLor6VPv7DI89L4e39SIk/8pWOtIcbnlwiMB/IyM/0GdAzU+SHkI7vFOzhY7Lpl2BZ2wcszrmpRi
3dOS8cSrHa01A01/tszEOqv2AHd7O4XlmLc28PIbJ7SUY6oVOrZUg3OxwPte8bpp7jTDdE52kk1P
Ez4uh75Vm8+8jSrQH9f5ztj5GW0e5XfjvbpDwpB0LKzT84vdFuZPOImIRZr087Q+XtoscSCpBPOx
rqr6Idbb+mIa1XATua2Fu69fYkvQOehjAVal44OZqZfIYvm9/y0Oxs9JZCp/KyAt1wtluYZUXGH9
mtLhR6gozlfNbjLUjrX5JbTRBmeIEjxCoXbP2SIqrip+etunsXVmOSB9dKECgXFuLNbP6Mhsfw6/
0QF/h3yo/NIDfJBBJzHCZhCeBK75d4Yyst71rwHWHE37qe/ALKNT3Lx6LXPCrq+0R3AbHfAcHJbg
XTkHFtd8/6LrBh5Uo7NIGqgpbnFal91KzHFqtgCRQLjvEmRd8K/5pDmD95qn3ldtipV7s/c87gHy
vXWY1jeS7AyU53In7q563CNMpTEuu3YlULeicb3PAYT0XTWE6n1flf7nqJ6/6VagP0hqXhDgjm49
SlVPc24jzfKfJBX2wblNy/STWej+Z39mL7GwmpfScJzP/nn0M+dbzKfy3I5qe3baIfhe6Od6qO3v
JYgsLHOq+jIEQ/EVm7t9b0XuJ+aRd5g8FA+1ryCeH0De6PpQ2615S0FUsOOMs+7CZBnPiB1NvEQI
rxmR8bfYHVqIqYVO0H3eKjRGbRwqu7NOA5aCD90S0DCmQ4M38kGSUsCGbfHQzLhtYVl9C9iJKwdd
BboBw9Eda3fFg7EENlK8t65i3OdONX9iFeBrV0bT9ylagB4tfA50oJDcS/Wv8TxM38c6svbjkh8t
+f+7vovk0lbfd33OAzxt3wQugm//Of+W/2/n/9/15bp6NcDc9syjmVvxfmDC/lwOU/2sO6Z+tpc8
5DLqZynImfyueVIFocjmuVzyPhzLlxM5K8U7xzrfRAmshW3pVY16omVkf/JU7KO93Dxt1aRwjD1v
V9fwDYLyUclaC8IknK9Rq4fg6PCuH3p0bA7ZqBWPEowmz6vo3/Sd1lRHPUzUu6CCiEcnJQkU2tW7
dgkkaRsKpPs1nVWHnukaWo//KZX8LSlHSB7adrd5BKBty1rPtKVTOr15dB9LbtePHvsPFMm8bwl8
JhpVmV89Hy6pPjqfJrv3fhgI0LFa6A2PlutiOJqgt1KkasTuK2xiiMfXplROhu7NX1BkGM4dZxXB
0zdoWVe5RpgB5+ur1rrHCdt78DuNja7l3JhXPOrctc/gRixcBwzjpDfteKPXIZrdi+GOOOqs5jpW
WEDOZfIlBRL0aHUfXUBWMNF752qmZom4Tus/Z06iPCMQ3R30i4eNWDLPaLoYaMcgQu6YO4Yg8GLi
sT4rVdafmfwhi2/8rsz2OxIjw5coxgk+6dr+MWp67aLGbXb1x9R8CAMdTwylnN/SMP0N6DD7zcEh
dvA3immijoX17zN+Mmdj7IKHqmia52IJDJXhYVggl7hUMPSFitQA2bDa8kFL4cUjmaweB6/oHqS+
VMPg6Yhp5IQBGuI0yeLJDmQeL9k+eQ4Q68BXrUmfEB3CIMLCGM3o1PGED1r9YAVdcq6g1twnGaQK
YzTnO8cFWQw73r51siG6FkgZ33pmZF1Z9ihuvGkebrJqHK+KGpW3mVFg7OP30V3S+Eg8DY57l5QT
Xq81iyRRl/inuG1VHBjU+uR6xQjRFdFlBKD6J/YnymMaO92zj9oTusFgB+lxQANVff8yd1j9YO48
vkYW8sidueu7kEWpoFA/N+xB78NRNd5G10XLG93TL3jP9LsqmsZ7Hx8qJKjz9FBNYYQSFvpxfJsg
fPjp/FfSuEcfP7Kv7F436NpEC9d+jl7Akv6ObHX+S0mMv1j4hV5uBSyUB65+ylo+zv5gnvvlDG6M
fwc4sBKLh5EJlT0h0gnE5K8CXKLemT88sAZMAbPhFm3U8anGSH1R458RXavvPWvqkELmDWBmVF6y
RkNIBvG+8SFGrYVB+XjJTSV69RXPeXA02LRiBB+aPZQ7yx8ufTpMX02buZOmBa9uwZuiTXmBbIA6
fo0AAB6DcugvcpQeJ9faGLSb3NGGA2uJxQ2MoJip6oIMtjwMOfx2t2aZE4KIUkVi7zLtpUQyP5Zs
1cdM9Am5wHYeyasqFx4aG3j7DMfAB6tssXJsle6tw8DyZvTVDPkKbkmG3jbrlgNMjyWJop13nNoC
n8slqZsTpCXTKq6S9NNa28FOjHeYPECSsx0mBUug5yF+T6U5lbejl1Q4WBCTYKsjMcnDaZzajQ5E
achBY/0fjpsRjCohqP+vc0vy3aUdfASujIR27/K2Q+T6Y1TON1n6tZnC8JU+198VsWNddR9uRZ8b
L6rn+GdjCJX9nPOYHa+In+yquEhKDjIN76XtMu/espQL0kXzg9c1UArbvP3Sj061MwYn+NEGyiuE
Iu+XqWmn3KU7QAd8H2i5HlEBUd4ui3+zmPGIOkj8VxXVMZ+dpv262N3vE6sr71nnvlURcb+HKFDd
51oVnpAznXeJqVb3W4GUMsD6U8/Ekqdonb3avQGRwbl5OYMcIhW3ZG+Pzs4ZavYs/3uRD6dWxgS+
kO6/pWBUEcxcLrKdQJLpoF7Y/IpvDu6gOHfdGGBAhHUoji9KH0Ih0Z0nEyXHp9Reel+tAGFghu6a
B9MXS6XUvTgsFdw7KsYlsYrU/5pc8nDqHu6jJZA8IJjaEV80dkGW0q1A6kleVavZyRxwBZBkaxv5
MUIW5tDFE8v7Vf1XBHHBK9T6mxZM0N/6cnpzSibt9dT4L/mc9wegYv2z3sWoYTpj9ugaiKrEiLjd
T1Y/XApQtSg4RmD2sa26WqmHJsjSiw+OGj3kqVqdMua6Typau6wYsHqdWrXCwnqRfebXhXvWvN0v
iY0CijWb5nc8Rb/6TWr/LC3/RmUhM0AJB15TUicMpT8XZWsj38ciAxsa3e9x8u78PC9+Gk38QzFZ
paa3BEAPasiyetywTKQWLCQ9szkbPvv10KBpzgRCSkcnLG/DDCqglOZYeN75/dzspDROwwzPSzTl
pHRq7fShVszvyXImdjzyx7SuXqQsNl3WnBBaYkwePZatqjzEOAkRD6w5epSYBGoWfJt1tbpuWRLD
DTU8xPj4rEdtpaqTOeeYjaid5DlNiNyk28A7RRx0v9XbrqMO2X1jFvaNP+vUnWNcqWAivYyJV7JF
5LN5oqXared22q0KjwrOeqSd0xmpGCmQYHRRDdorS51aUabqtB2j+crPci5Rtvvvad5VsZwYDpmc
fDtbj03Hvnem8rCeV4r9NOYS72rOtqLsscMyD4btQQRbTq8MNRRBGKzvDpSC9ZLyA8NM9U+eab6t
eYb8gu3ik5fQBH2nU69N2B7+8T9ttf+cV/uVBeg2rL9huQsSe/djlx+3/iYpWS/aldljjLArVPGz
1brqbbFUkwq+WbPMI1EpkWCS2y9R0+2Qbhj+8tgRule64cRoAzu1sblvkqja1xhYBBFUs6DJf1hF
M6GhB6axV6926M9nx+v+BpY7HVKEFdXoZ68nWEeaNn4UHvpg3tBdw7T9VWe+d2LMdOsiYRpVenTQ
7GmRsvV+2goW2XG3U2o6coRmTeTwXY81xgZ3K7dO3phnXiDhfTab3tv1vHboekyvtV8BLu4+a8HI
yaD5oYidPPRqc+fE8C8rUE8s6BxTVrcKU/8RFsOdwq7nVGCJOCHBUC4bfoXCpkMC3/cCj5hpqpfc
Ror2XLeJ8qTGTHlL/IyeKv/WZCyCvdySNYw9NKk0uV/zNExcdnMxZNftqICVvENWI7mEb6ryJAVw
0H60M4yrqu2hcs4vTfXSpObwNDAQap0aLfScKfkwAxlBvCzmhwSflRKTFRxysD2oOgdlh3bcjVBN
TQ+8oZU+9NqIA9gSTKn/XA/w+LPi1gkGC9Q/QcFq8R6O2XjSC7TGJC9HgeE847LGgul/8rqZgQSS
pvq5wkWvcC3/MVsC5Ci80qmeWhu5prRFF2dkDPM0L0GUGuXFnZxpJ0l6EOMpRo0CwlCzZm35jW1+
iazWuJEsV6l0dMnGGbvQpjhKngSG7utsE6HZKFXeFaCYZ0zNemHJtvSC/d2pyK9yYcnzw2Fne61x
aKeaHevlR0phlKj5rWUjQLhkWSyrPziOchiCMH4uymMBIfip1bTomT3z32NU+ddBM+4RIk/vRsyq
niRwZ7T+kbWyTlteOvU5Jm4o8yeqEitQGn0Dz+vuJrES64nFfms9tovs41z4uB+FbYOLlsukzU/x
GJqt0j2vaRySqlNdpOYenC/lYWnpt8vgOW7cx9ljdNDPFXtFVWc+eV6iPFrRbbAkjCj+E4xW/a1j
1fJmMtNlWgjfB/c/gBlbvTFB5Sid6XrlRI5a2HhXRE8Y3nUPZTEd1hY1l1EA1vh/2HqPJVeZLtr2
iYjAJK4rkFd5Xx2idhm8TyDh6c9A/437ncbpKFS+hCBZudacY8oNVOT+ru7K+EHQJHsws/qpiWJ1
vn7b9YGSzNwQC9Qcrh9ev9eAsh7aLcrx609dP4ejosCSkN+wh1OBr8f+fVFZ/j1c7uVkWcNnHHVQ
QtbPm245kiSVbaLMw/l//TYImEcm98nN9Tuo/O711LDO6cL5V8+pPGix79xjFnXvSRBrt0bikWWg
Fvf++gVDAvfUG4Yz1w+vXwCYIm7bgoKR5A0NcmwiGSVbVjCmrL/5aF/++96E3ilhZr27L8w223kz
iglwlslDgxsiJJ4l31ouZLTAlW20s3wLcjj8lgdQz+mDkD3eUCunf6Doh3pWQajQmmVyfaB2WUjL
Is3TXBTVRhMTh6cRFhKtpL4I8PD/92z9EL7eWyXJ8iNbw0d/t0arRIRDn67PiGsumV+f5OoSGlYJ
4/XZ9WG6CiXXBza1CCevnwRdO+x9k4m3ygC+1PNz8j/h1arz1im7u3fdXGizSHaxq/HhvwdqZKwO
14/Lq+thFOWbWI1Hw+qk6dZ/gWwinEfO1X9kt4DdoEHSFIC7e7o+mK1UCwFH3crf+P+fmoX/neYm
DIy+Avt4/fI4LjhEr08zsDMg//OMMQfgfIZ2UPb+d8S8mQiSHM5I5jmMEK9H8X9fBvZyXrsye9gn
xB3gMMO+ILbabGlY7IbfeRA/EbSIom73iviv0DaeYnIdT/Uwvrsc1nNKHNhOGuIzmYW/VauqNufX
1P6ZFafcXl/vf0f7+uz6DjDDSrYi5lhppKSd9cEMuzwWB0lQ28mx6ubosEnI26zbaPqwn4TzUvCq
bVvh0MfUofMOcwoYHTW5B5B+0eww6zAxr6a0alVcu+ubdX1WAm3YtmBBuO+OxqmHbBG3DoMuq4HE
lxfq8n8dGCzKHDfH70EoukagaWVEv5+GW5vY36JMtK1lX+qpU6c+cab/PVgiVafIXI9cOX+Whtme
sPy2J79qgY5fn1aePxrb69Nr9Or12fUhd6MWtZMPDWPVztdrHEtjtRh0KDr+nydW47vVMS0BAawe
0fVlXh+uL/i/D4fSgixjkJsZrR6mZdUoXg9HffWcXp/KhYZXVbpz+N87cz1P//vw+sw3JuKtMPCy
eNdwAnmwVtnffw/2IJL9IOxzvmrvr+fB9SFdP5wYceyWtL9cP9VENuEOsUc1co01GK+JBo428v6O
df1YGH1H+qhV4QFbXWP/e+oO5nTMgXxhkueYrnyIVhBjcH24fpilUIiNVPvrKCmnM8GQcrP07kgq
ipaps+vVoUVMl6zVvIlLonUT8qlD3WvZxZh6tKf38+MX6tloVrAu9Qi5sTWBc1jpZ0bnW7Mc8Y3m
N2XdJhsYZQxKlya5OGhhbuJoCJi395tpLm9Lg1tE5bd26ENZPeutDFgyGkbodBabdjiCG1i3tov+
gPvePCwTCUKORyat+yY7We0EQxhU7MNIFksf71JJEKWoNtpYMh9BJhhyw2XRyO6EaTjBbMzaNtIk
sTCjuYP9D55uebFEcayahv4dkURpLz7aqSWzcC524JfSrY3Rr5bDJYk7fcPNEWdyUtdhjyEjGS6A
X9GTZIx0NZ3Ra5zRVMFLFQBlS3dTu2ZESwsVLi0KhtPB0pgT+cZeHzYgKnqPXuOo/nqXA+ONPlEp
/Pwy+pd4zrMgJWArqjIdrikRpalBu3rUAd9aGXR8QjPb8S+LcGTrKKkCtdjePoJ1ozXyIM2EgwCH
LhUOR1okeMX7SaCLmV59b21dEgRJPdb/uNy617XFMGDHuM6xyveWNmME1tD7D5O2p6JYAuaPnxTP
ydab8e83mpPDJkKm4y3UngJvjgceDfkmLzyu/PmQew8KBNKBiad+QUxLeoZHAoNe8UY3uHTxzA8x
wGAv9nSytgYBcwrXU6L9yYhsmU7drGeQmTnypkiWX5svBlXPjbJlk6250W1tDt9tCR3J5BINjGkk
rGmemDcmLok5eiZCGqKXOu9JwHXwieHgDgvaCZbAFL7kehE4ckWKwFreKFO+RdwvQiivG3KZyQct
GeF4/C2n9VOYEMsYoMqZIXrZN0Or7cq4jx5miOtL6/1rClL1Yj3+mkdtJz02gpMxhmsBODpWckYr
t7P95EeDw7qpFdnEhlre/ZaGBQ1IQ/t1iUiEa2SlR8ugk+dn+gPEBS+w5iKMkvF5NrwdQbjIRxKk
WJrQmbayQ9Ly77w1ht3SqiGck6LZad5rolXVxs7KaNsVFf2ZsdrZjlZfloRfOEk6g6lh3MUqk6Ap
5+Ogf7HzTwJ/dsft0D31OVGtHXld9PO3jt98GHIEzwIgybMIPZbjK4pcC9hRlgSkeJYbqkEjWOCv
bnwCUzdyVuUmc5ODLTR9M4LscjLxCkisFYgkwXwV1EetHlYZ6SsexFDdGA6GFdt8bX6L/fEritsO
qFP9ky3vi5kDXyuSb8S5ZdibL0QovozoJZm6QEudzj7I1HW2IdXghfTa1Dy4tMwQATuR+Uf7BoSJ
85FN9m2tGNoX/kWYfFtpTDeWTvXPmp5tR1KHZdNfomUgQLaa98TzOqTLVslh/kdyNv3q57waPo2B
QHldzvcio/IflhXXW9MIJBqdQZ9gha6ATA5ohgEbxpwTQVcPAMGyr5GDtOkaQoE1Szs2iiIrEUYb
yD3HXg8Ll4Y/kQJnq9l1pR09kG0ot4x2skC17oujytCqBhYCDQxtUbyTcV+Ehs/Au+9kuun78g29
KCZHyR5a5Sl5Sag3nY4g4TUnFmW02vZa8QrM/wF0mrfp30YHAl2b5vjup6OXmj+1lv+UqfndtxZh
gR1kfp09FB3ufTUN884rGRakBlp2r0BHlMzxu0EXVJXA/qa5ftKz9rZdG1XVvA5if63eJXph4h9O
kMr2o9jAveu2SnNWu3NzNybZJq0duiWrULeN1bE2uCmUaIQc4H2wXlg1nTjIjGNXpncuQoxNU9S3
ZV7/lZZ7bFvnq0/ZeClxn3hFGQq9OCBUoR8USfJapghfvTedJGlmMajqsEWBvh2sDCLPNOaho5FG
b2py3mh2pcLI0r49yEZJNCJET62tIFTKlK6zn1X3TMwbY+hS7OkC7O2FTmZSvVRK3wlSvXde4qAf
RrOS2pxmWv3u63V2GoM48VaG2ONoJdDGi9d5kUUIf+Y56ZbvWjlvZj0/jE5glk67c2J1s4DmzB3I
cz35k4bj3NRgrL26hzNYm0zURH/MowiZtrOfUi30UrLuP+a0+fTj4tlphoty0DTq02sii0OPBidX
nBOZ7Hcg2UDTjJcEcCCCNsBoXWGHecMOXOtCq+P6hCpvF4e2ryeauDPMOPjQQAPIrojtz1mqT7Kp
y41baC+9B8hGpuZHX+bfEzg9q1Uf+Mt+ke2ii7X2y5geB1E+z9jIg0KvH5sBeHkKh2nMUVRzPJ4E
IWL7mjEAmj+L3lG/7BlAAlPrj/EwPJBpRIagR398ku5vL3rQFNxhydgm6r0SIH8BKG80MRF5qVdg
m4qLKauHHDTPxlgmeyt8f68c//hR9gD6oA0da2VLePs5YvkZeURCjiZp7GdCMepbfMNI+Fyw6SZX
ZBPR2aErLO1vvZSXXJ/eB/4ptn5vKSIMSJ/Fq99pZ1a+J8RlzWYYXA59fGuQTF/b5l5m00HV0a4/
9FO16zksLBLs/Jkdqg2zvZT6fwIF7Da3KV2qgyRPTe8JFlP+Ja9hfQ5Wzjyl2k0pV+/kRb9FQYRy
jj6tUt2bM8iL6cv7wSsC8hweGhl/2iX7RixkRDdMxYeLpx4+aT0GjGZIeRBEfy6cG0wEwMZXlA2d
MVHRqK1n6QiMh71gn3H02S3X5S3Rox11QKrTq+JyGd4cSVN5KTy1gcNzV2Sq37QuREBdIDiyyvi5
dorfRqpuU8piClt/IDES02GX6MdR9x9diyJyTiBnV/F4tnqq7GaIPgfJdbcM5s4B5u32441F9w5y
Sh6CuHO0gmloG4ESRTsFcvcNBiFCp5gWmkXvsBstDrLLYSTyZGFBN8pwMF0fw7/nbcZsKsPyqS9h
RI25pu9MC2ZD36WPBMDLCLY9NzgqyQf/R1fDcDEAkbEbsw9eJJ81MYPd9IdPISGNz1qK7mX47Hp/
F48gRfuUjGI/98OCFkHHgKNAGB9WusbFQxHWiixoYzoCg66XdKzzQ7mM3pGQyTc3Bd7DHXwYmx9D
UhvPE5dnDV8nSy9Cq0mYm2AoZpwubfposPyEuJNQNZHfs6TtJU7rP0JGk40wBsZK1kvUewSVVP8M
yHXe0uGSMEgEi1KPfM7qZojbs0OxGMvqdvQZGpIvAurqBgPRK7X2q8fQIrDjNSvCVN+zzQ4g90Z1
6/ncapw5zL1hTRjkbu4QIJX1cFTbt9xsuTqmwOkW/c4eS0UxXuQb4VGDOQW6jTj9G+lny7Ndr4Qs
W8F7U9OLXU9bw7QVhRWhGakL28EZ7rVJNcdUy++tmIKcTNrKtKu9RWeqbZeJgjYZ95i0rd4pQxpC
L04S/4NvBTs1R7OXGC1XACeN9kfT7yut82PkWIpkYMm08rZswJiBuBebArXtYbHjLuwhYvpTFmSL
fdMNPtrU4dfWTkQtX1KCWSua0AAf0d7lzRYr4302CrHTq/YDyMJpqBaIz/WKaP5sBcHVyjcw69fJ
SyNcKiE0UB5Ngk2rx9SddQpmEgl65e0RLdlEQ7pTkDmYe5wZV4j9lQ0gIMdpJrPdMXfCmp9N3bm0
GVdgwhHOBaESTCV/bTcaw0JCHC63ieHsU0d9LuqEcualQJG6IRek3ZYGx4ko8VucGMhGFvbrDl4l
Oa8tePtNg8y3atsC6CHvZn/WjJ1D4NHGt7UnUYvdCOB2XaTqDRxUrFAzAur9Spcj/SNnYdOsM+jA
jzGx/pmONu8icwSWjIUUoiHb06IAb0dFaPuc/bWGd4DChNjEBP8KNb5MExhJufVnObLaOIp2vw01
iXWTFqINXtDUH1JPN6HKuWFOyulG8zlLXNv8ouHyS4Zycx5zptYmg/uZqKLcNB4B9pUhUhkMlJYR
6nltrz+wTekRh6bJYN/L98KGS2sodXCN0aMOyJoA1FwPPUW+Z0YLjlqetZSzre7Epi+al6yosCM5
J8CY4VJTP0/SJ9WXJsXGKZL9ROI41M7l1kHC3oif2fC/m3LJQoRsDafp8OBW04fbT9+QRA/LPAeO
aXzWKrWhJU8gejFfRKqz4ZNMVcAcRG/E05i7D0PvYcvIypvRGxigtDqDbP8jsyWJ9qX1HMnHQeig
umGIkiBG4o7uRqFKqpvCFhdhOFy6sSTPiTlGp7t3DbuOsa6mMEn1ewJHXsyRVEx/qHZxMj8mkT2i
BXQfGKgQ4JJFMJuXd89/9BwNkYi5svhKqQIpMwpsCkzwdXGYmXU4Q7El5nwzdgPzhmSvNdVNVbyA
zfMZdkYHzsmgaxJrqzKDndho8K1mWm0107EC79THADtp+qFdIBvcH9CcVO52avV3rSgYtQzmPlIw
91REGF4BBq11hyAe5XfSIr23rSP1RV8VFBiTu7GpKtl9TXd6fqSStqEOF6RUpX5g1KPDnyEPofC1
IEKbW7WWEXhe9jO7yXvCnHKehzLQRtiAmW/OR3d+q0VabCNzXwgG0hU+VDyo8dYhB6YWw3texWuH
mp1/lPGu+U4XcENgVtIZdFrJq9P2GSbS2clflOLubZPqvWsmSo7RkYwJe8bDCSHRvuvDUP5pIjIy
8qS5lXGyswgS2fmzOje5+a/QMOwmGeT3lTfUym8USS8MxOudhkZl03LFb33NZW/ocylNU39bzTsf
CvA8025Hz9WGUR5DZ6uxBbY4EQqmWlmP96+I6IWk6U8dFRfd1YCaZw3JQpHN6CntDwmAjQ2iJXfT
1ebPZIGdKl4Mx632cW18uoZ2cBdF/8RHzWM1P3UN6hRe9w+8mS8q6mnXmsntAnIYsm+eB6TBQiFY
7rqECNd7xd2USxHDYfWFJAbp9/hHvuVt5BOxnLJGGQSdl6P76hvqPHfASODMkSVvdXdjJ74q3iyQ
KA9p7pt7bY1cTpr5Utg61Pe0GnZpyj5Np/ZvmumVaxQZCKL6dTl0tl087/k5puBDDPg2ORIr9JIb
phaSgLV/xUgabaY2Qj3046u31rPe6G0/u+VAtYkw1V5QnBFdjXXiXOQ+21SWqMii4OXaRGRLr7ft
kNd86I752RpoqUo0EzRsH2sO3qaarAetyGkZCut9ZG5pxNMYkv6z8lT8+JLY4jlenINRUKCLmFA+
VicqAEh77GE9E3ZrO1gIjSEJ07C695P4ofll4Y2Y/Ew4K1UyPhSCnZrT4afJJmJRhP6edAQ1zGZN
HtT0DIC02KHhus/c8cJYAaOfVtyKIpYhm8DLtJJbZ+vJ+Ior78sd+tde58TM7VeyL55MpwpFTE4h
EcBQwAmSnU99x9WCrQuF+KG39PdB2v80d6SvjNKtt8iuy3SaMRn3f3dJLRwT47EdbvMWDjgLADK4
Fd5sfETr5tXT4ssCqRCk9iU3nYXGXf/dtGrXutprQSTxxk2sKZhqCm/dRs0QcbZQxQxV7WMVF/rG
FsWpjuS/SmChSIYFKCXyp254cgtxtkqnD0xtoKaqkN/rAKpVpmmhWPN5B9/YYgUnij6rv5MyOQCu
OHVpstNz+yfxOvpUHVNAklSJUkz35tzc5g6Bol1bHJuRyNRBb7aowr9yo0cuapLQbafbLGfwnEn0
b1EFONje8i+ch+TOTStEwtOl0gz4To6RbDA9RpP1GEksFFH0t1Tas0mUkHLq5FnLP2EmVvZiBlqs
o8aazNsZ9lhoSePbHeTR9NOnemKyjgPwR0brwU6Kz9kY3/IKXzVpC9Cval5zOt3O+XRTZ8jzoviL
EuKLYNVk49bjzm7mz6FZfXk6N3Kt9FEELjXscRO1HbX52qlUe6Z4SWjNtGb11CQA3qSbkHz6NokU
eV9dyoI4pdp+LL1JMEHXPpZ4uugtCGm/ujFZwoXr7WVde0E5Abmr5Dad0ve06ETw19rNt20V/6Km
QWtp1g8ltEbpliwuTkfaki3B452XatpG5MejcsKrbTRnfEZPpjYiTsf5i8viME9gCROyQbNMp6k3
VCNnI5rzRVihzkwVBleMF6SaAj2Qi8pISkzz3RK7ZxyUX45oP4tluRvhfDFWc264Qt6cHFqbNoR+
VaPB9OK92WWBOw0IjjXSorLlFvPSCWrtsm9ta2uDN+D+Y5BHWQSeydU1Lvp4INMBij4ycOUNQNZ5
UY3lPyqX5o1LP2VjUdFxFlc3VvE6iDwkQPW+S+R7MjICX0/BZSZiCmGJvosdThT8E7dLEe3piL9H
rrylc3sXAcpnl4APrWiNLSlE50KUTzIxP0rlCDZ6CWUtfirPh/IkJDfGKn26SgVinaYMzePmwG7s
iVDt90Zm3+x+n3GByiPYfDKVlyjE9/JuN5euiT4oD9BjJJQoEY36i8YgpzMIWxlmO996pXlAZURb
L5stSoY2Jh9Su9Ruo92y13xTJb3dZXB35GVXYW07E3t65e/KBRTNIor8UHU3Va0xIOAXbL1c+2bf
u5nxQog08g5q0fBNliArCcmKlRefxnRi0wg5gdm+FjSZTWzxbO/nvjROWsEEq8WJwCTCZaPmJTr2
DGM/z357xB6XbrqZDCZlWOWjNvdA4928318//N/nwNBnXJd9EYUuFg5A/I3JvUoSNu6WNVkGa/qT
evdECoybAAvHVXPQ+vOxdrGkY3L6dOgjGwL9qWsN2oHXs1sMCtVBRHT6gNiztXldiq7fj1To3cQ9
bOxoQKbyiXzhr0EWq7OLu8+iTUdhjP7ejf5cMjuDuTC+0JFxr+mRu2W6iMk5Lj60AaBqbVHaO5Px
G1UeFw0VdhlF/6xMDAEtIi8EGyB8C4izXvGaHJYlrz2l01qyJdo5cdHwRe534pvfY498e2YRjobo
CIkZQDodK+mbb34O9NveNbN2065/Ll0nMJaDfGqCfO97r/DzwB5WJEssVTDO2WXRnceyuWsyMW6y
YnqqYqbPhecdu0bQ0nTvchM3uev9dMoG4h+397NdPGTr6MDXStqGqjsLPZ6CvrO4InxS4HGVncjH
qMI2bhUzfBlSXE9c1taxGgWBOja7t4MVJwLYBMoO3YFIYLgNTNTcciE0xt02s5u7LhvfVbkGLaps
3EdW+TelS38jIW3EtLd1m52yFfvcYGeL+YBlbf1Ef09n98aP/8zeYibbkYfmseFsUq9iecyeyuk1
slLoQh57tCS24g0W642SsBxUrQLPz9g7u/a0Yaa6z1LdeMt9VmvYsexuabGoknwoIz2Lge6LM4pb
9tjPjl6+9aVXbLVOpAgt4ncYI1jYPXOPm0kPEHqwDK6iQ5fYITqHNKmGYG17bkcTs7rJe2yu09ZF
IxjSzvM9Qab8lHm2mIXtdM/5WnDylxOtymhkuAJCBYs7E/dJKvZwGrlLXlV4Qe44Bo6m8dkoAALq
FsiXsW6QVdGwspufPGthv1TToZjpMxuF7R9NcZSlHDZzzGCqX2g+uW7+NdDk425Ta5sK0UNf1Mkx
zsa1gDY/bCwuG7qVMbgT1d3rZclgxbT/1evoKfps6bAERq5Ru8pLT88SmWx3irEGDhQjD5HDWVnV
NDsHHd/JeDvirwvQqDRbv7KhpM+MPZw1sWZo6filyzAxL+OEgYyQ77sESgXl3UZ1+fDQkpke9sQb
rUD+M335m9hug2Kgb6MgahgTbU1qqeaYjS3ED+4ISSuioB1S/UZO+q6kptzMLs7pdCGxXOh3fiOs
vdCHdgch8ri0mbtx8mqbmAS2LDE3hzgW/Xmi3557CNyzXL06FSJTXb4wNeP9rxakP3Rko7TPTkVN
W519K5zazCF6ZdzBYoAi0VbpRbrMT9uOpn1jKQ1TLDzIwi+3i7S4GU/9O4iebWWv9WeNNW4Zj3bO
Slqk9WvlLNbBNWvUzKKeT6JfZ0IdchriN9DwuXlHXVuQJ453YysSTgttEhiwexqBXGhssxz7tSy6
MnCNKgpArlRoOXG9NllAZFsFAGq9JO8KxZ/IZy5hq+jsQAix5im0F1tkb9Lh2EaGdA5ZmiNg4rLH
5vPaObzi1uZP4ieiExM7LGuMZBxvfLN9G2FxXl5AfapzXD/otFA4o6pNxLuyTfIe3Hffsd3jbxvN
vCNoZGTqTJXlMuvZOl5TB1k8HgQbd+KFSyJWB1HtGRZbMGJ2/nhTJ4S34JX90h0hH0sz2o7Z/GZN
uC5Hd3zpI7yeyIC6fUUQDUu0vFPpwjdpf4KUINo68b/GcobQ9YZTzAyVxqFvAkaJZ9rmTvMDv5lD
NGf3oz5ohE97OGBGj9iNCmNC26CnNenQmYSNDCRsVpzJdgRujQsJ139zI2bJcqMq8wiopF4oK2zO
OdEYPyq2v3Tzb1TLD+gZwi0Ahdvt/dI7OmSciD509AV8i58WprPTCxwUjAyh1/SYTOh7aNN4OzFj
dkjxyZJx2yfah98JbzsYHYFraV7fMPlzt8XikY4nmOkw9gp0g0qHfQ7mXipW9rV7wD4igImRh9y2
j5kVzScn0pltsPURFZIcN67VToMFjw75SWqFvuu8exgXFIb6/Doq47D0Ol1h1b3IkYmIM8nAjKs+
UJNvUCgWC/99fJP08qNwGJFZf+aY3nvs9tkEc1ccR4XUiO3AoBhAJ75GzX7o8I3fxeSRaDVh1oQ7
hVOv/XT1+GHF5HoV0U0+oK0Uw8/k0dBvMlrwqCufJU0B8t58uL+VQ/PDehkjtocZ9IYtBp0vbXWv
Je58Vi7RBWWWPWiigZ5vz5xyS1NvaqQooTGy53NXJn7fVL+6Nf2To07F4kwHg7Vnv0K3p7r4h3aD
9Erop8x72RmbbvfIK8o4q5KM9otd7BMQuIgNw1zLDqVOoHMXWfdt72enuufcttow5iBv5sZHHsgQ
3Gh9e5vIabptvK2Fejb0lCBtY/ia5/qOO2xGFWxtRIN9rqsrdCDNbs5Ww65k30FoGwL5pfnJMFmx
VcieTN2PgqSl9ZrUdsozGidFXA93lYMzV/um1z59avGB6asO2kncjj1jtkVV3667slkEW6OuR1g3
8q4Y+rKP/aW/S9cHm+5biZL2dP2UU7REGdF5aHKHV9uvETSROpTIH9HkmqylBKt7mg/FvxvnsGlZ
h6PGeM6GNOM80N968BKhYZpuEFsHz3HsUCz+W5wmApcbPe26L6dtF7GRKSd8ENmmU3V7bFX/PLrN
sjczK92OXXGrkIwxO2Y6Z3VFu+fiIdjYG3I4wopZLZM4SjjWWFz6YCroDm+trh9ux8Z7LCoOaLUU
m7Ixulvpy4YM753HTd9rYLJIxhtQx+66aKbJT5tRJurfNBhQxF3G8tlgvFoOysKm/2xaSC44uiiF
yq3fuXclE7GwWUQfULRuI6yDIyNWmDlr0Mb0m3VzGDmjJL7wlHeD2gH+RrkY3fpLfBM77FXYlu1y
s0mCScvpxxjTySB/gCJH/bLkAo9yvXvD6h7aIacN48Svxcz8U3BfiiFId9r8p8gPziLLuE1tawxl
VcY7rSAZoTW8P9dGo1nKVyXHaCPAIAfurAduP7M+W8uPUN6hs4jJzv5chxN0KYvvVuGt1V1J7acR
YlTN8XmympcuR0whObnM/hkfx9nvUPjEUbKN0g6Kx2BuXF98r44TCnHoJL1vWkFkuhcT5XXB/GU7
xs7RR/Jzwqj4Yqwx43GjMW2vOQCu+OkLzJb4iGqarzsVeUBtsuLZd5hTmy4ZRbBATk49340W0wNb
RB/JPQoUVpUgmpbtYCLdH7ubeciLPbKM4zxGd8SFYH2hF5EbCqmOy++M5/mtrOzfblE3Qgx3VKlg
i5NzHvEdnJ0agqB+l4uBs3utzpij3DlZIihn+5LOiXVobXk0FDnopXrS5sW4GdACmeiAd3V6KDtK
XOlbv2ZuDZvK6d+0Wi70uXJuBhw3E2dmi+ip85KzZJZGz+3LFFJeDMJis8Sbd5qUftgvdeCLhLMl
fSggMwQxa33d7cEqHdFMcivPdRN/f/NZOMSJRcoicVr7je3hKxf5P9klC2e/uZ9a3heREl5I3vrO
WfrP2KIJmWWrnT5jgmaR8WTWXhwIEGV0GJjY2hzmsRt3CJ9YYU+ZzF54/x/df13T+WFMv4A2LU3/
3tc32sS2yo5/Va8ee9P9bQr55s39E1OIKDAzDU6+S3CWD1GqjdgOCGNV7zBH1UgNdgSSbCIPvM1Q
Li1bfp2psxtZZ0Bp/4xo8oK2Qie2TrMqiT2fnVoRErtzHJUD/OE0W/Pe5Qqq4npfsnBHjvZuDekf
cLOKznOr9rWOrA37e9L9Vm7/Rs4U3eiqvmvFzoi4c7KmQ1f2D6UYoR9X/8zcQ5uutoOXIqnTRUMu
A77TZo2f0WYEdpHx45q/DDS9bbL4NwpJWlgZoBGQXqetjqbXT07KXoxNliY3Ta2RWmmVFwe3Wl61
5V7Otr5FNmdTXUzBUDl7Y1IxtLGmJYKlfTT5xRDWuPxzcerYlMY4Okl3TDBe+61khd/PTfab1O0K
nZJHq9J43aRyCocuDuUtm7A1A22eXo0l8c90NgLVkz3u2amxVW71nDTdvTUQBAGmmn8jDacSratH
txy/t33j5GyFWsblQTrrBFdZ+QWm3gPyb6B/qmFipRhiKMKdUE7tW6k126m5k4tunKty3E2VFodt
TlHW9Ie6Mqhb6QmnVcq7p6qtlyw3ackCFCVttdUbeYo9gttjndgFFEeGr/Vbv9CwK4/vheq23dhT
Asj4XjMo+qeq/okZ6LUZYZR+rKWhNptfjmzvhC4PpV/MW2lQ7xYyd+gHWZiFCogs0XQvY+tfI86x
xapJTqDLOOzPR+NQCxub++j/kpHyRfNLtN4rE5S9IgYOT8vZYlOaxJQRKjbvMKzcJZN+l04Dag/j
2MRFuTNoDzilc69Mf5XyUI42LUGKM1rXpjPfepU+o7CkHIVDZcsRo0bl3FaL9RRZ2aNgTdl57rDP
u2XvN8Yp4k6OWTQYagZkRFNus4xuJImdWdptzFZZITJKPvJiip0GXUxf0jXHy53WyX4ejZ0rJVUJ
zUafzIJNoxUXobqfKBt/8p5ZRbZsjPaxaIeBiwbLX1S/m/+HsfNajhvJ1vWrTPT1wWy4hNmxey7K
F8uwilbUDYKSKHjv8fTnQ1ItqjVzdpwbBNIgy7CYZq3fBNa3cBBvbZej16+vDDUptojfky8bEVYo
ObVbwRdCsiTsi6wieKbcGvn0EAj7KbKHnaob+zJgq6o0+hH5HegeJhidlgVR1E67OH7XTGVdqgUL
BtIQnWtuRMkKq/ZfqgzZwPiLaZj4sMV7grpXyyYSlzT58+S5q2qczG3QaI8uPqxl6b4E7YyID4Oj
0gOkAGiHC0Q6HEWK72muE+BOnUcVFbfWy28RPOpAXnX3ZUcspvEhw+a2dYI4hqGdV9ylEBkW7jQe
s9ZdhZPARYkuZEyOBjoppFmdjXCqO0Okr1WNV5mi2mjtA0hTuwfXJLxsuNAKhHPfNxobNrFiyiUD
jUYCMFzzMcagE7oJ8mLCqF4ztV0poFRLXEOHUL+1NBvPUHQDI2LubeHt5iWPvMDzlMViYQYZ3HSo
Pl4prqVRn0U1OEtyjRy7Ma1bKKVxSVqrXmdgenoH5OPQHPSWbLBPOqVSvqLkgNUjsdVFX6EgCS5V
t/nT9uTLk0TjXGrvCcEzN4Zawbo2bVutfUpVQmCoIs2M9K0Csbt2LTYlbBR72CpzGhA9qRDZCdUf
CQ6w+/Xqz6WjbdrKPLa2jR5KgTNkzJyNoIWdE9Bsm1NfmM1Jy8P2RABiIq3XKzvgI/2iVophn9Zm
cReZSnzHsXq+lxV5Df8RnSKWTctDC9ILfG1ZCbXe/mimozJ0a2wNy1tZBRyAPIQwXz4GiXo/Yh53
hrWY6uKOOEx5B1zsvlAR75BVBvau59JVd+8d5l4JBqYb3m2w+hiIQDos/V5X9rIfYOvhOpTY18+j
ygvckl0AoZK0Ne9M1tVW3SxB2AlkXP6qS0JnqSHqcyt7oN01gnaJCGiLuL81h+7HhbPd1TGz/ua3
epO9AVI6PQmtv/prpYWKhXkkT6qfP6oTrNXOPggjOaisT/IR66lAXDiLbAq99C4Rnp4PpQdwKi/6
5kYWLTePZw+4aR0OUfvgVn5y0EtiiZnft6wcjXPFA2GZQL9plpk9nHqVyVc+OlZuvfQB6+1lMUrc
aAuxwVy9D+x7/RGvQoJm88tWCapzsfbeVb6U4xbPZF3Mk3ylPsSycfIcn4AE3fu2THccp5WlLIYw
T0+9qz+mpcL7UNVbo9TqezmOxpOEMqryKAcSGaC+MnO9jWxtIrEcwfTCqknyq7yIpKw2ccW/FlJZ
QbBsrRytiz6tl7IZRHN+5QXDXYUHM7P43CcNpwDUFUmtj3Hiehw4D2RbghT6pmmM8JYQe7DJ+yG5
kIKfkQNFcUWizl7lftjdxUhqrmpUFe7HqrSWHuybB/Ze1dLvreSpIfrG/53on4MJPTs7EfanbBDZ
IlHa/LNZFW+YykKXrLJnp4vSr0ORQRuMjG/ZBJA9cfLvzcCOIiWnQoYjX3ZqwcQxqRdvYEezqI5E
q4DkpqjQmFYE/ABrYrY7Hb2nfBuQC3kjEXEwmqn8llT21Qbh/yXsoxcnC6pXlTMBu7fafdHJ3S7i
KBk3YeFjjeJq5RUzeXQ1E5spaDZclnV+XECpnBQ2P11ZXmWD5ms2k4RXrGVRNlQhwaHITxS2Owz1
3q/wh7UFxGwli808QG7rzrobHBT1fr4GXs858GnyaKIv82A5Vba6UQwNFeK5jxzfJSe4HUrRvb9V
2ZDVXrvNanJasoscf1BUcP5dQL4/L8GzwUjfTV2MXSQp0FvcgtJdW4oIS9AiOPFvpqwbZYjuETEI
l5Umms9popx1UfQ+OeLr5HjB9zIVrwC83efe0h0skBtos72dEFVxy4OS5cbB1ntnw+G14/8/1cmL
G92n3us+iRwpl0CsYQ/wB5ri6ZrZhfUyWHq+9P1+unO1MN+4VorcTlp3N6D7nS2uzd4ttqb1yihj
9QlEYYRgUnAp1fgum3T9bBQpQguG1ZOaIBfYxkF55odDosjP43PM0WlroLVwimMz2bYlKilJRoIr
jfvxFAuj2RoZqILMJPnfmlp60tpR36Js4580V7e2/KPYxziGCJAz4fJfdpMBOtkWUPt3hoiCK7sR
tnSabX31kxt0JaxvDefwRd34453sGopJISrzV9ehq3/rakBzvlPx+N52jWD2beN70FPREe+zbe+h
bYraMuEMWUfAc9uVRR+se+xCV0WlkvXz+muq1zgrR9601sOpv8oL9rL20kBOYiOL2txP62Di+kYh
tgVTG8bdEbFsVH38vR6Ww/tzQURQ2dG96oYk+LcJNz+Eqoj0g/W/NIWL7A08JU6Dzi7HRQWMZQ8Z
GF7C1UBVeAVoZ1jLuj53vCu7ezD6KG6SE6KfrLN7Y9WPyDPJUh946RmJsp0syYHgp7m7CPc84MyM
IS/CFB7GzfwPfdSB56xI5Vr6vv3Zj/zHSkfa7lZWFa6TIelW7fIKC/UhSZqVqvegKwigNBslMvnb
YQcZrGEjwsdUpphYll7f2iwLAAHmSmKT8fK9XJcVAnzEcd97yiLC+YSa5svHELIhF35za5FSR3Pa
QQamr281b1R3MnCfKQlvgh/m/6PSF5a6UzRC/PJB2VFeZAM8VNLB88PTVAAfj11r788H0DKojHNH
/OfWT0tgLagGfiZqWJPkEflFLxCqEBN8nLwl4WjY2Vum5+419CHeuCXxdFmf2u49ch/qvTtvd8sS
WowStPTP8kNeoAolRtymvTEr17K+DTgR9W3xTBbHRpxowF41InWZCixntaBXDrXNr2khb5sR59Js
6JAyF8pBVlVRTKssv9/K2o/2zoW4lqTK99/qZfG3OqE72j4t43XvEEPF92o8BPr446Kq9TVs+ayT
CV48DWzxSYsgH6hFXHwmafdNmIX1qtjZU6Npzd60DHPraFGwdlMD1Q804J/MXCN9BsMj0x3mU19D
l6lKwmccLzE1ZsIElaGsa2M8OKhseWNkrECFM/9lw3ksy/RtLBD1bGv9ky9qFQRp7nBi75Wb/nmn
ax2yoiqp+4XaG/7OSzOO1g3ULkdPXwtXe8GfXLlDMDs/ZDoyg6E9AUgY2k2ZFslzp5JEG5VE2yhQ
uD5b3pIB0nX73FV+caOVVbJRIYjt89ZPn5xx3BOMzF613shhPXneIQ266M4z/e/y5Sbd4S9YDvmt
nafd2fPJMgzzA/P7AEFJTisCG5hZvrlFTvJLhCTpSV6MbGhPpdkCrxUOEgcKp/QSgOTJ0ENzWMg+
cDnnW2DacODMw4/izyFk97QontM0yXcfQycGsGBT6Zp1W0INGIZpj26Le5alLIaAZnfI3stiVIFi
AZ667536bJMQbPY1ERDQYWq4zEuleh478qpRZpYv9kTeOhyS+jVP0mdgHv1XLJpPLfvRt7qzoGRl
Pg72+bTIHWgCC4WD/ByOdn34LekAQsbxzZlun8ITb+Apz+JyuV2iMKdrxSLEWnorix8NcaKk+CCD
s+wId9+GT0qHjbiBIPXRsYLS3dQFEN9+sOp9YLQ3siQvsouY+8liObOLzN4nXtbY13BQlX3mwOtK
YalzSu8QUdAhX63CuVn2qRRPXSYJMdFKCPqwrH7lSK/cvD+ia8my0n1x+96Zv9NZw1lCVMK+Qhhi
kJ+v8f5876UVvyxeowZScBiKpt8sG3DYd36cZnfefOQI1Qqszs86p26bVUwIDOgOknAwV/RLpTrO
sdSj6giX5ZkzsXhQoVWhN2ZditpGUjYCT27zQzzKRoGq/QocSLFTC3CCTWcU28wG75o0hv8Yerm9
LjrEEfRogEcFvRPznA6q25BaD1MCysbNfeVtQ37Ne8s6tqRG1YiHlLHWAGTj4yCMYFVECQQikAL3
RDPXA2NdDGGI+6nyCJzaOidMSHaczRF1N8wmWshW2yDTOTa2dyQ9j8BoGCbnoraqsw1ijRR6FX4p
7fSmyiLxVBmFDafCRw5kSsPnQiGAMHew//4kudSaoLoTfAEv8v6kxYy1LMZav5BbIuJul8lDn8BQ
QsAzvEaeh26U1uSkSBJ724+WfohYI4DDpC0Z7Sg/Mr812zFV7bPJ97O249i45gn2d6Gq2A/DLFmE
Hu+iLE1nW7feNC7S2YOhtUftRKozIXCJ6tZclYHgPxXz5b1fU5k53hbKjydkSzOOOCT3pocFIeR2
ctxrEIntnWW0wX1hoVkRIvS2lkV5oYNpW+0dO/uZBYTw0EcHWUcHzSQcSASk33tua+JM2/kHK0uq
Ux/06TpOk+ZJD6Ov8k+tGd9D0QffIn6rBNNHjC7mZxykig7m/ExiE1OoIrN+mow5fdB7b2b2/kzm
JtpCd9Ifz5QWuJQ4yQ5QqtyD1ozugZQn+a1eJyFRRpm/iVkbKtywacpk0++3bIKNldKGm2Qo0xaT
AhMeH666i5pPj8ozPuqjjwjDQqgO12yu+Lg0SYgBMKjXhwki7bodcFyvw8E45pker0MRKc+Q5G97
foXfRNhdzLo3nuEtZKTF63/r6qXtrdy6msFwKdzwR9ffRjUnFY/1vIwJI77qVWY8ql5VPPjdL4Ww
e9U6S39v0dxfWn5/pnCLfltXHiCUqexwFq/VgTUWxj8JUdVcy9tYQxAgnC+FG6Ew6dyq6HYdqng+
r8nbDA1aBU/Vv9fKMsrw1c1kELJ2R+UmE/4Byoi5TUgV35CVV25kPcR3gqeyUksHB13kuTdJPzdb
yF6tpbViJzvUslbeykvpCHJldhstCpQzfvSXLaPmf27dKjiMzPMXn3+NXTIQmNPSMrt4mZZd5B27
0KeGZOrNR/3g+drOMUjcy0f/3he06Y++Ddq9CzQOWmSHHf8kLwKhT35Hqbm2yxTtkqaF+y1vP/rU
I+mO3/vIZksViLV0GMuEwAz9BwXx90OWNSrx6flWV0B8yTt5qX3WLuBJweKjrtOdsTx9lGNrijdR
io6ZfBiKI0pNv41DuJIkTV1bTFcOObJfxmDjZC+zcVDB1xRwtZDr69zwgpBBdvHVILuUyWjDEfeM
lTvq6a8Nu6ZDwO+jtjAMe0Wm1VjJB+UFaeXsUu+quaesqHvwYRZbji08jRSnmeeJdOMJM4RyIYtQ
mfJtbaC0JIu6CWVUgat5lMXQClcskPpD4er6JU7NB1ndh2i3NiYectGYjc+1RqqXI4S9l62KUG9x
0pyuGGWb93U2vQ/tJmZ76KO2QE+Jh8h4jGt0hTiPzm9LS1ATzIVinHt8lZ51D2eSf3+35vxu2YYF
GzJJw/PHu5VDxrzbtEaguYSlv5VK6CnLxabJfXDRs1j6uzr6rKf+USzrACaaC4RGtsqGaUiY2WU5
UbOXREuynSyNaXlgqoTik2hrN2KvCy0wDC9ouw2rmnj2eqjtEShTkC49hArOOVshrJM8QfqhQj5L
9n5/0DYCsNOlM/t6hBeh1OEFvJnP0aK/xvhfHBGQP7TK4DyrOi8/ugOsI9e9lF38WM/VmQvPpopJ
pzdt7DwPjREtCcSHR9naWBGeGGP85GugpxsTi52hV5znCtLYJquiYSOf0vWecGQbRWdXSdynKTrK
l3SUTj2i9EoGcH4pL4pI5FaZspXFMR5fJnxn0bCqi4fa99byJd2G3Jg24Xzddon+ZMIai0Pn1CQG
GQ9VhVyMkdUJp2z71JeC3EukWR64UPN+HBMTuaGfzYMChuHjkWmaRiZRJPYFS6shYJ0E3b0ftN09
RkuEDhPAoZ5PEckbDGT68fWjh9Z6j31kJCfZH9eTemt0EC1lsZoHnLO481jymb5KxRJNEXfrGmLb
tGN1O2Tw7dkAALWvFP5bVUQyW8PyvwXXNujyb3g4peAE/dlrwIRtOzUORP8+ehRW/cU1lOxb7OnA
X6zyk6GLct2gTHgkGmmdikkr8UBy7c+RUq5k19Ihz6f3qnM3JXjDjWrISiKq/m4q3G4hX8+CpJh0
VvnqFUAVlXJgM6bE4lBDqlznoeU8Axw4ya5NpL90jgoHUbc03hQRHfkZcq8vlzbnqL8+Q8wZ6v0z
5Cl7KvkZKlhDj2FWfgG+2228MjY3iRpPO8AB6UpH2ONRFrsqzlZ6oOqPZlP/aJ1c3/ilqMZ6uSNp
lG5gO5MnMZToScUnfaWOanUGDN/vSy2ud8gmoyOqhMnKRjfv0zh2z0Cgze9OfagTZXprSqYJRMgj
COU8Pbleda6JZ+Ytggu9kb32aRls0ctKkb9L+uJIZA7LqPnut2KLyDM2w2az5BxA77LsR9gR2EB7
TWqdE81Ye4MSHkkbOcuEuOta1peODhYIonN2NES+zpseywi/5QnDDTF+cQfnfYB+b9gmrlrabK9n
2+rRNMGCzqUy8kHx5NX43thVgbauqg5FgrlBdpGtbqfnBxIIqOhHJKhQAtsklS9OJvHNkzVfZDFI
euswYS4pS7Je9tBS8kckfWyUqbMI6vv8bJ/jcRSIdBPgerOUAuwwXR8LhP7vQx/AZK2Bs5BC6PZU
P1quE9+TTg/e64vEXraaXn9GbQO2efcNtXHWMOAvV78wvZ2PdNDWCZLsPu5JcjSK2n0zenWJAHT7
qqLatELGUTsjnYoDWpuEm6FU6qdK1R79Ku6R1MEoa8zcZxHhoRJpdnxsi7LHA8QYUe0f/QtnDMjY
mX+FVt4fDb2xrmK+mDq4RZFfxyi0ZkWx9gQE8wD/D6xlZcbVXp/YVnz0b+s63KgNRzZZJx/rAlD4
Y9imW1mUDWpYvSFbL24+utkgqew6T28hb1rXpPTqW6dTlh8dUJZhaxaNXz+GqQ273DYTpD75kGxo
23BYxUngQblgIFmnNdmA2XWY7mWxyz1rk4UFaAgVbxzXF88OR7pD7wICkMV6HIM1SjXqThbtOH9s
SHddIFN59zDUN3XTiudi9CGwuXfaEJknUhdI8Pvqd2BY6jaqCo40sk5ewjCrj3CuoC3TV51yY+NN
VbFvuuwFLDDUc9fTV5rqRHf9mImLqX9piS1AnMGuYo+MGZTXuTGv8vhONUN1pZIdWsu69waveDFG
XTvIElKK4uJmX2R3WRMKTd2zaf11nCjJVVARjbKu7K6DSNrULz4cqvcxOFwA1y6nF8gvzrJyyUxH
pP61eQIK0Xu9/yh53ntJzlUDKhcfbd3fSj+fk5Pcz57yOXJO/b3ek6ueJ8CfPd9fb26bBXf+w3Pu
4IN+9Pu934/xCWZjfBKxd9emY7dDjiU+fdTLu/e6ciBh1oNsoPtHdVYx0y9kuZ66r4kPMB9/hpOX
ivwk7+SlLkc0VfSkxUDsrwZPU8Phl7Jph7tc9dObqMeH8n2YjxG6WhnXWjRr983jy4sci01Bt/jj
H//1r//5Ovy3/5Zf8mT08+wfsBUvOXpa9Z9/WNof/yjeq/ff/vzDBt3oWq7p6IaqQiIVmkX719e7
MPPprf2fTG0CLxoK96sa6cL6PHgDfIX56NWtqrJRHwW47scRAhr38rBGXMwdbnUrhikO9OLFm7fM
wbyNTucNNTSzB5fQ300s99qZ3nUsMMBrZRd5cdLSWWYVeN9yoYS9y0YFk4Bk40exea4mYbxf0kk7
m0ytN+SG+a5RSzLPoPKLraL57eKjn2wg54aBZh4imVyEBEVFtiszpz+JLB1O8s74eTf3QDklYxsH
7jTgaHLydG3fhG1+LUKgtJ45/lJyM3UvAnfc/O/fvHB//+Zt07As03GF4di64Th//+ZDMYLj80P7
W4WN68nS0/zct2pyxt1ivoe9XZPfmGvKtRhxJgO2MSAdMl9+VEeVi2xgWXsnheTmKjVVgeDNUF/d
0K6QUKBu8CwBnFTtAlh9f5WLtvpaJlWL+0zwVALXvw3Jhj+p+lMSN+2jAWnqLgbLLWudtolOmgfF
UBYTjaTKYCiI58/PCLgHaz+pK8j7rXgCa5EsJztLDrI1y+Nfxh+KX8ZXDHXftxVES0/D9dTzGsQ6
6u5E9Pl//6Jd49++aEtT+Z3bpqNB+TLNv3/RrZM5bFj97I2ISI9eDN+f/Ib91OVLFUhZQOxDLU9+
xx/NfY4sap1lN+/9grqFKYyO6E1gTtWRsA582JgfXGqNLaaZc2XnzPhheet55nxr6z96FcJ660r2
XaVfuHs0q4x15zTTa9Msxpp4+IRBzEZN9XbfpqbzIDztIttTTjlEzPUCJqdnnSvkjZd150yvXh0/
DMSYH5gDfhswAX5wp7oGQMPlkKBbOonh0tl2cGz74iRLiASOlx/13QWfZxT4uiLzFp2B8iMwF2Pl
mR9deLQxs/dHdcWsVhP7k10egfIIkA5Bwj4c7lSvfBgHTcPgrSOW5DTzZ/GVT7a9Hluhvqio/+8A
C1nvRWsMzxkc1nvDwSQozEWKYSpP/6dR58crAy0E+dP4r79Nf7WcDr/mxViFftD8VvzX9i0/v6Zv
9f/MT/3s9a+/F3nox6Cr1+b1b4V11oTNeG3fqvHurW6T5q/Zd+75/9v4jzc5ysNYvP35xyuyV0RH
8VQNvzZ//GiaZ2tNV1V+vD/n9/kVfjTPH+HPP/gslR++/odn3l7r5s8/FEf9p2Oqmmvaqq6Zjmkw
6fRv703in5bqmrpq25Zh2do8H2XolgV//mGIP/5RQ6mZb9V/GsI2AT8Lx9aEo//x18f9sdi8f73/
efGBwjtPch/Lj+CfkuWH0VRLM00WGF7p1+XH1XMIg7mDelRavOURWiZTu+CQ8t3Fwm9QAJUAcnsM
0/KoYjyF6UK4dAj33iQAjZH+nhnI8FOQYVykQ0w+wpsJ3rrq73oF6Y3Us9cI9M6WPJjd1712dVpo
oX1tkJM11GXhGN+rEaNgXMDeJqu8US3FPURGRzg1YMbMI/OsoHy5qlExYXumISUNFXdTAQ4w4giG
SpqA+BSQLibMHdZG65xT/ROCAMhDkOmqowhQfi4uhaLkyzYW+JkZ9QkZUmeD5gCCqU3aocgTwYvy
sFbtUiSUY/0b2BbkLyYD9Zgd+uT9sor1c5abn7UKFKKVTxqtFoQI9RXR5Au4hA7CSXaTopUwTvBS
4gjkbJE7t90MXY2hocGHQkixR9zOFuQeORiBrw7uu7QDepCTeXLB3lWh89VNVY6ZQ7BWOw85oRq+
e1cKdAkicRfF0JZE8dg2XX/EqzbPpmmPFgMRoJozQgqBNinMdB2OPUI4ftvDbQiuijW+mYlyjHxr
BSZ/G4PI17NpGw4I6kUoZyIkyMlt1j9AwW1MrrHFijtBekg11LZH56Lm05MTQCbx0BW12qmCO5V3
66oh3wboqliWiQZ7Ipjpzgjp4W6zREAM1XHd+ZZ24bmKEezpIBUTsVWjraEHiKqJry4a7XAhnjO0
gPzc2vqt+BojNw4Forgd+Vhswy8w35+91MT9OFuGjeevQBJCtCGYviwHawWW7wrPIsGI27nrGxM+
rLo0q3xrmCiEtd8Km8Bx0z63XnQcdQgdJJcAYhr12nD1NXA9dJhmkUwMMrwRv6IxfGvADzk2DNIg
ju90pC88Ai2mCWOAcOzCQOc1z9ObJgOxNAyJT/ZXh5Pg4qnuaLgrJ7NGZlfvu9Ini5HU96wlyFOO
Xw2BYjAniSGAVQe1FmkIU13HHt86y364sbUGuQSz2KMVjPZIn5wKJ48A93raBo6AvqkFu2wHq/Eo
iNBrq73g1KrRnnWivU/qldPEJbo3Took+aHBqOnQhMPD0PkYDEXIutVwE0a8cPbC9T4R7oRmNgod
c/tNUkIgdSLFPCBAceqgNCwRb1uJqEaw2o4SEprkedndoSQRINmqtB4gVuWm9AKbnFKLIU7Lz3f0
6gdAtsFMFh9XWdt/xoPb87N13LDjjGD7ITCRI0+kfgaYzaI5ao/RYMABs61NZUQ3ZT9Nx4gARJ7z
2x00a9pq3fQSdLAXg646Zo05bmpvgBOPilJjmrd5jEGR3fcgtod2BzIOrVdmqU1r19eZh7vTvpEi
cvdN7GPvpA+ooYVlR0bAW2MwSiqmmT90MVycLOo32tih+hmWO2AX3k6xnK1IAhcRIE1ZqSj2LPWg
h5sQl8Uy04zpwQj4atwAhaqaw+lQ3g+jE99aKnHUwE1uKlsUV4SIStqMehVF8aEHLrGIcg/9P/tT
rLgazj7tKrEi5L9DcayED1UqhpGc6099FVq7fNbBCFAER2UFMyf+K9ylYQKfdWrgWalRLseUYGvb
lT37U0R8B714SVpbbEyF2HOChwXyLohgfzVJTD6IIV6R4YrWVo+O46A1kIYHiw2uo9lLLLGPvVIZ
oNWRcSx8FN8UEv/2AagSQazpm2dXWIlqVkdO1j1FTWfztD5Lrif488Hvi9GqZbK0nlA/sVcpE01X
zrkwPd4MTYBEiq/tgbkMgO1n42awhSvWwkNdYg2lFEF5a7FFAd/8aNSBh8+8vTWsAbjKWO/NIPzM
Apquzcm7C/t0oWv2cEUwZ4UrtrsmcF4dexM1G1xvLcL5WfrUZNmrrQ6naDD7W81hQXFc72saKbw+
rpcOSaeTFnxBo6ZedvUE8o+w2NLRtEe9jp7SSjE2dRYeWn786zokn+KqfbJOEbMEV7bUrS7b91WB
GpXQdmTnxlXQZShlAJfY4MGKw7GfbDBoB6AEAgeRshfFIaMwRs4NxlXQjruyXbguYXu/Hl4CG11C
fCGeurG56TlALPwKaX0Yh1A9NSdcNboyo3khpPnqreaWd0EftkvXqvtPpg5Hzqzsuy4X2c3Q8Fa1
YGam2X2AjFo17Y06xJdUUS9OmQ6HIXYIBZOw3BbuhI/GFKyasBs+BYV2YkGrdzosrJuxuMCmTtYj
rM6dQtDnYLV8I3owLOLJq5GnybCKzTFfymJm0pignZefwZO8tnob7mfSems01YvokdEIMk2FpMHf
Lxt7DL3r4NbzxzNsrGndiK5d1SL/wlpjPU+2+TjqDyjPDoekQksq0937LkNyWXeq53hKvnaGh9RI
6NnIniIJ40AC7leuPhE+d1OxrVT7W51jvGda1qcIxXKoAtG5d9Xipr9B2rCDLQk/cAToffSJ27Nz
nQ5FuzZ6pbvLZjQJxM5bJyiw3HCHaAv0M71xWIyTtI3PDjGiIEXrhKlaZycyntXMdVatUikP0M6Z
8cbmJYLpvjFLNUNKOQar5owGX6zvsx4L5JATW137E+QyOzbgoxajtRZF5q5SqwpugLfP9iKEw4R+
Gqp+a+UKfhEC2YSJNbBDJ/FsJSh3dtAQJpdtBsuJ7tjWYcBmeGG9pHmAJV9evKhu0p71+QIn/9WJ
JmhGm6HIixWGKwWqJdWuACmxtMwqWOqVgu6BV6PuBosaU4mUb8aFcga6FAqbFn2OlY6JxMrndSlR
FsibWETkbEwM4qC6iSxrrXgTsyWRji2fIXj2q6c2+F43n0e3yVcq8l0zDvTBt3X3LmoOKPWhD1sh
OIueIrnFAHFgUsL1sh+hEhaWH9+aBCYt29lnmc9GboAO77EVAQB2brsI1Ow4KDcc1k+aSRyzspvq
EOf2a+BH7VIjZLAY4wToW4RqZ3LwsG5YQNMc9rrPT9NWC21tFckb2yH3pvFRYFVjx1vEFV/GFGks
mpP+XOnwrxsDhTlDUdpN0/CvYiLGXzX6sinEHn7sDWqBiFuZ2Uqzd6iVBZ9IEmJDnOJkU3QTe6yc
zKnndQhQiW5Ys6/0dqHJPlv3+mLTQklexVn9NXIAiwHpLHb67D+ajjuoQYhBif6U9GdHs8aDCpT2
Ov9kijgR16G760slXZcTtHzFaogHIzeHbM544/JjW5o4iNy4OlnPsUvuyN00pOhifrO+f8LojBkU
BGxfIKLWarayHWcBwwCb5mLMsguoFvQg6yvMy/qCYnZ+O7syTHMOPZ2MB8doH0g9+uipIFlLQqdc
mgH8Gy2BVidcmD15AtQGlS8D6LrVbC0rN5Z1a9n8BIovDaDewwDAHw4H3YShI4+FTHaR6TrIzM9p
gBSmV+gJ3mJltgzq4ZOfF8cxRSPCYCZo+ln4tIOZHTcIVas+QgQji3TXTsi+eZm5hr9uo0eW3mjO
cJunODV3I4bCI2JxADm30xTd+uSROq3TF6JCFs7N9gNbFyVFhzZ0Cb90r1Ze7xXCcyjdEOGZGdqp
uSvLp1Jzv9gV6JNsFpzX93HvfPH6/C1owMqFL9gu3Y7hCEKb48YTClHdMn/tcIJU/GY7oFQSCvfE
3vRWUc2951lLkBK3w9DP8qkr34Yc3sQKatWIoKKd4CAGhrcZel44/sDZIHuAIlq1adDTBaH8JMD2
KHmkr1QDmQ3VdVfaNO1MQ9wZtQfTzra/kHVcOX6Dv0BxT0fkQ7oA2kVxdQBRsdISWQrfOjbeaH3V
z15tbKo2aEireoe47Ld649h84zFChC34oFUhyqe5k17Ejw5gg2FEITPq75BaOILdhoJoavdogR7q
Wdsi1NzZvImV1gBeM1rXfHSQnrG/t/go+j6Gt3GxKYoAdwO0D1E/2BQJGmgTkJ6quCeN/dxXWH4W
W36xD3DvRASMXnPW0+Qf4Ju//V/uzmy5cSTLtr9yfwBljsExvJLgTJHUHIoXmCJCgXmeHPj6XmCm
dWVlWVff+3pfGCKlkEASdBw/Z++1bevWmgD4lj+IO2mvD+w7vPmk+L4cpmYFDO2tttL98nfZUK9A
dz2MDtd4bQr90nrGSlGtBx34rhYZG1cBcRMjGCQHa5bmBpt8hP1X1GL5gGDYyjEhjT7Nk5MT32M+
2RCHxXqq4v3UkVPSlIfQVMzWABYDOPJ2UK3BNMQPudV2P0uM7mjhgF57IA0MpqL6h2rbb2ND/EO/
VXr92TbDK2OqNn1ycMAx5MR5L9VPLO2H2f1uOc57EEWkQ+cvRR8/FWn7vUXcx0B0FefzGfrCzlLR
vmrLH+YkboNhPNgNBQstYBSJBDY503OhAMtMhbnTQuObQ2gDMv99ovdgIZ/zxWlNiUNBv3FLMkRH
E4OV7mxkkb3IAeb2tWq4uM5BtdVyhlRaA45DKw7syLJ1iI+X+rZKVzGwOLD0jBabm0aLug04UyqD
8lBUbB4cWa9a5V3zo6SmdEqkU+z0Tlaoe2t7XcoRScbTUC0fSOOGbfhIj3EVskT0TA2iad5UOkzM
Onxi5syLAcsqd6cXl0Q8gLlHG3N60iF37OUF/NgRi8RV1NO1ISUIfK+279z6UsNe0tmG2XEMHVye
aQ28D4CINBsu6SgLzhzzmLfxR5+KR1jUCOZy37FxJ0nrydb6b206nFiEMGq0wBss8r5o0dkxo0R1
4ZmeMUfuF/K70PPvk2My53Mv0qq/UvXS6PmtFiAnW+MYzq8dbrJmpNBjDA7151dFQrhp6jfPDl81
pz1g+2Zu6xEsw5kGWZ7aDUEObmHBNZWJ+Q1L3j40LeBU8G7pnwNuTe5LZgGit83aj1YTT7YbfQoY
gAvkSvY/Mf5shG0+52V7msbyhwDkN2m9j831BbxQlGZXzw23gEdXFqD3Ls8PcK8eoc8tG8ZXjvU3
Ad+PNmQesWToqe9OV7+FLHBzajMltnFWYaOIBC4Rw30dcutV6O0vr9N+hN1Etmrpl4HwoVyeE730
7fFnaOQ7woDZMHCyhDKhF1l9di7FWwTdt2NEl0ffZPBStIvjUTS7ZrAOqg4frJK40mHUFhYIcj3J
x37KyQY2MRzp02+cLCC4avFeKPpTKSk5xPX4laN/6zr3NU8lUg7voigmikp+A4Xps6atw4oghNTc
VNkH6IHPgvck8NLnvow2iSfOQMWHFZyIRR2CH5M9uuyfWTAg+Wi6j58Q9nNx1AjjstNmjVULyVG9
J01gl7CxMBOUiF7wnACoTCx9FxrTQy85tfF7yx5+ZoFxk0MkoCNhS2Roy7K4d4Yamk1ND0ED6Wt9
J+pWGFfXoBqhOTZw9RlhVMZvcY3xuMroi6d99AsdMPZ56xqngcW23fJlphZlKwtmNuzBLNuIYdKn
mtU1z3EKSg9Cr6Z+5VnyVkVNsgtdjzF/wqAW78lUAC2pU+2l4bLJUK16mBrjWAtzW+rO21xxVk84
s4sYgMsUHaBigrh4rJL6EZ9Ou5BOPlropg46aYRlNzI0VxjdV+MknvAeHWoToqXdvHtY3WqzgfwM
z73NAZqDCqpWBNoi3B7HPeNdOnIzO2IWDroTIlnyQDAP7rSu/a6X9qOeLiGwlyLOrjmmZFsTO70b
r8WgXfOl2a23Gz1la6RqX6av1li+FnZ1mmBmgs/ykf6h8S2+kdz8kuT6s1UpjBkT6hVMxfh5cGHW
WNXyhC1RKTcTiRz5UujV5Bui3sQCv+9YTOwkQLBW7mjn+GHIyNw51zmwP3OngDaEynqS5nhrnOJb
lF+1uDglFldcdn/CU+RzpfuGIUJvfiPFmjLZOrWcI6awtzVpo0lE0taQvFSrCLJpyBoxKOeB1uMF
Yiof+7J96yjPm7j97trhAwUwlRZz61b6xYCKABjyZvldhZjOEV2KYrJhAMfao4FNyCl/NWG/Scz7
ie+M4Z7CiXcla/xRWl+CHS2xPr/BLBwLBmUAqDeGN72n+viIxWnXc6HQi5Myho0r6q8whRHFCJyk
kvm9qYsHZc4ggwJKnOFm29gka62C2aLgm2Bzc5Q6L+9X3Zcfgz28eQYetja7dPXieMIAVm6suHoy
qiSHwUZPzZ6gCE6/ssX3gPqwE9ln4Oh4DFFCIDHqn4KUrbA1J7EftLAOqBFxv8LaKPjpiV2UbfVU
9GZwDTXnGW/zo250RzeB0pUoLDhaWT53zTNpCrJD9ZxpxLc4PQog1e5TZMd7Pd62dLLRuiFBk/04
b4uK9iRoGE4Bupvk9NFQIdQJnUagE3KHywZoqcM43vreyvHKzpWCKSup2KbHbD4QEfNcMm2C+zF/
awYToGCJFT4MN9IurkKzPzoDEBskFX8ycwz10xHMdliDsG6GN5RSFlZ9zeCUzXajiYpK6fRNMf8j
nkrqUxPQV2A0R0oJu3rfCT3fsg2CX8aVjujyVjIKLDmXj5lkg47ffu3Eg3u0wNdpeSwe6DpT1eHj
HWsbUDDd7bKkxkqojxi1/s66gh5YZ+xbbyZmBq/CeWb9tHUqI1m0W8uMvFsHBYQGCEsd+igo6mzh
t2kFWsOTgbHqJxIOlD4d2AGsXH/oPESiGZQXrGnPqgRjiWI22sg23GPMjlZtFL6wI/gxRxa24TZp
Dv1AyzzMzLXTRBjc3Ch+MCKU3XptvSS2dwv0GiaJZd7s0bq2hB6tEKO91R6y/zYMX2ZN3aygeAsk
ZGLZpXgXVa/5UVdbmFlStcsyWP2ZoVM3F94qTqCmOV60sfUGXN7YvsF+WcReDrkfgbmNC3VouG4h
ev+G5pPyh61eTC23CppQ21j1kyTLbd1UCTjznrifEENGjuRo3bTsp9BglQCDAOcOrrfDzsUrFE9b
2uzdBcKR4/letPDNB/O1zH4yZPhsxgsowXVvOa9N1ccLUnRfOLyFRAUJAykUuB12yKSfSPvsOaB2
7WWGE3psxslhXdM0wDEXLeqNMvmMKmRIE6YDiY+E+q2yDmmmy3WS1wczWwRh2Gm7oJwQ+fVoPqO+
hKKBtT5Igu+SkEwQ4FW81tpG7iKinXrFqWSmlkHKwGBRQzkwAFW4Mgab1L0yJRQjI2Bk3uNwbLGT
cnioFLio2beoUb9zFy2GfM/Lkh0AhMXMfMUG+FZGBlBPGPftciYz2W9X3UJPmeDZ4fxxjWUuusDj
aG4UYoY+iTGQk60hQ2QVcHnKe9z2uOBVvkHOdUsS8wUX0Fs0bULr1szVyamKK4j/TapzysqBcMg2
GD8IbPqFCMcmKcsmJmJVkmFB9X+Yy+yrB7eQzQkMPY9XUIblKlXFWzXCcNYkgUyGdaq6+geXuAcx
Tmqtg7YHjkSyVdg2D6WOfdL8qe88w7rNbvUDj6jfE3Xq01jmtAiTXRq0T+yvCVrpQMo6S+uwIuTB
i+Dj6OavrGIehhwVHqBmbmKKBHTwbrUh2c4XkbazUHd0vAU5H+DcMw6w+Wgea7tROS+DNXyQME96
ClC7KsVMJw92qL8GMYRTQ9MPXLLlijPmMhI7vGJguDc6wtFG9YttFaOrPvuEA4NLiFzqEdoD2UTF
h+4N5GOM/ij0pzGJf4kR3PdUP2MZ/2E000MSpNRahfoplCRXbHwzYzYlzLHpDr2KkauP1/zUyndz
sKIDihm/7YA+AxG80ZImlJOG3ZazMepC+rIguF12F3WaHOWSVxGY9ioxtB9OCAAvgZDQFGuaIMDr
ScKIvHebbiHhKeoriprHmK7f6D4xQ/FrYpuF1hDyMDfPocpeDOwWehBQeUSPZZ+dZBdU5xFJGB3m
gV1iXHMRz4sNZOB1pdnHCT4fJU9zoDn9CyLRPlXhkV2SDycajRlAi9I2Huoh+wyp70lvkI9jOu7U
gHVejPwy/aDs8Suz0w8ZdN+EkNdOa/pNlGfPYQygE9p98RUmNDQK6kYLGILtyJOT6w+aZ28Mk1wN
ExgfkVmXRgdQN83TnuCnT90CINZOjljpce9XIiEpbXCfCR4B5Fx9moqtlidwm9OuZx6Dd68ZEWYN
hD81kLeErna4/L60GAgSM8VmNi5WGT3GnfPhDd5rYAPwl2SGkLoOz3KkGGladDL5zUXKsMqb7i2s
GSkCYq1fw1xdwZYT2tFEe3sGL9Or8israiBXxW1APx+TpALgAppyB9uUrqLJlIJkKstuIz8QDtmm
y42HuvKPr+53teXu3x77292//bf7//jj98XtLp1MRk+5SylqP8dJSQzZvDD+arwNwT1kcombLJgV
MGKenxCf5itrCYE0lpv7V/+8+b94DAkQYXwBbREib1K0iIRfTtEMp8/h3dCLojq6c0Bc9XJzv+s5
Dvzm+bUR/dBhEjPKI1FM/AJXOUSTRrmxEkFFsF+8ZLJqy+FaKnfnzf3LKifvjzKHR+dOvwaWq7aB
Cx6ZlrrKj/cbbUnK/OOrFuK+Hdh7M/OAyVX1wZU9x3s/zD++TJe/cr9fASimYResnKpJ15RwzVGF
eHp6ffzz5v7Y/e79G44bEsT6z2+3yw86BJyuuV6M69JyS+jTy4NV8QbuoGOiSTosE7Tq2FkGFzaM
tysgUfWRcWp9vH/1z5v7Y1DHtYPX/3Cr4Qbx8leWCUJVmxL6mpue3ZB2nGPGP2bGNxfTSScKgGjB
mIfQ8fd4i9iK0nzLBEuc29KrMsavtHNHdqncuOx7srasT5VOhqbnaZtpZpk0ZRH48CubdZrqwSF0
i+sQV0QMWtMemCaLKwgYotuqjSMdheTT+VCy8vWQiyC7Zfie8l0MU3Yc2AQQaIMpMJ8SMiCGiaRo
L91BtCN74LdwSFhVrnX0+nG6uGp+cpMxPRpW0J2iMjyKqf5BeEu9H4ogZW9NXMQIErqueiwTtceK
ap+YMiwoXGdTyuHg1ATJqFbnzxgA5rWUN7PMc8J/mVxSkzpcqlytvZRTjvGmzel8GOKgjQKWgN5e
BtkA3UE1Mpf2oTJm8LfsnF7tIMseBBDTsOjMy2CY5gWKKZ9+k7hYzb7OZvUbqna84b/0l1ymfl5Y
D00M+5MT+xZ3yj04uhmQIhBQAaGY0tR33aON4lYYfo0uByxO/T4zfIGfBxbXfEhcFdAtmHhViUL2
h6hhpfbaz1HBRMNDXVw1ErSuc/y77CWB9UCefZfuYjKIdNPZvCuyDShxRTdvUnyxl8hx8ovQXpgu
qQc5kzgUVRkjFdptBSGJ20FvRkzxhvOQ0ZHGUM37HhdPRliTeVzW09kGQCR+m7QIZkZsK7smyasw
wGfSyev8iQsTpSpc0pTQaQap9Pv1iu1mlCOlVwyEid48x8uRMHvSmM5R3qDGg3wLaZZEtJB3pVck
klR5w5XIyy5wBL9xvRN72nQvFCAbsbyJTJRQmjBQyZnJ8VNRwZlFgIO5uT/2x7fv34EdBpuvJ8XK
Pc3xvqhMQJZj/m567q/ens9lXlO7kvltgdlLrOYSRPYx0QJyUvBaqE+7Nr9En7xMeUj8KoRMsz6N
Sn+JoWKtOkt/K80UYapXfYdAQvtmpitbz0/jPPSnPDN9S8Ok01Ep6vaIybiM95qzrusMzD5S/oI6
L6m3fZTRejbhb8OhWSElB4rgDO+k9uyHtGvJBV24mgF8tygy13ZAnepo3hM5XmoNcAlusTswQdGh
a3GtQvj7OMYh86RxukH3IUDFOLK9XZkKM7nbybcxGB/cKf0YNYsylY2nsFu8gUhn9OaY7RltU5Yo
bxNI0nHHBMi6NKtr7jx0jFFxkA4ewLAmjZ+rOPCzhZMzODX04YI8JZrfP8eaIszJBdkNQE+c3AOf
AV1T0wEUgNkLZvO3XMButY7dRIbqKYhZ+SeF7V6G7dqmdtDtWzCEzprEiq1mlOo0pjMo/Hz41tvm
kzU/zRGnDWiOW68Z2Tnx0GxkCm6ika6qoSQ2CQ11pV2A8SsWQmgac12u4SS8BxWTV9Jnme2m5b6R
iCODBTE4NE+ubm3G5EnKCyv+Cwk2dIed4nVqcmh55rmu8er2WAFcPTosQQSWfhuHaKJJzsyidLvv
BYqPtAQTNRELTi3wVVSld2iYkNw0FTl+1TNSE4Zx0sst7qRqP4cB8GP2eWhAEsAawvLzkZchm3ZK
GmeRUFG2kEYYhKlC7yG8eOBJCnKiFteoySbHvKc0lDPSDDGvI+IGyhAaDvkO8YLlyfIUOqRSxtrM
6y8ntH44ZOqsyD/ciR7iXpN4zxMm3n0kjXzVFFI/1eHnEOnGe4/P1JTtMXec8BD3APSmVHvXNbhf
NnNcFChWA+Go1lmmh2NZRb91nXXfEZCsm+zmUZwN5Of0OIpXmLJAm+KBbko20Bo8GMwuVLHtfFxK
SWJaTpNkZGc4cbmxmx5mmaITQfbOZ+J2dOor8AJkTXN6MSEPf7mtXZycokCqxuaH6CyzvCraCStj
Ih3Anus9u93iqWmrVxRTPwYr+Ur6XybIwu1gTIFvz+GeddciWpiSU9LUKwzkeuz4mQeoV7eKiSol
dJbeGVTATyGJ8alpL3e2NW+mGhJ+16mrHql+Q+h74tcBukC87PIsPyPNnLfAienZ9tcq1OVHIPWv
OpoBs+TGobAbdwNSCMAiqQFN5InNPAo+2x29QhtpuaLpEU0VcUDoDxdUueVHJuz6MrJ6joec4Bz7
Gpnz9WPG1nOjGQ2X34D5TONMpC+1P42BWCQtm7HTJgdWpOgY6sVFll28C4X+HElqZiMvFFG0wbB2
+nofAUpfBVnxpbQUvlwysR1mZaOlaz8kEolOGZyFC+Q/rFC+LYFOsm0sZmdov2Tkbhyj+d5PwtvZ
VfNIW9bbm65+jRlKNTJ6ylJonCaTio0nwidm1ns6Q+6FsMSQM7oShwRnD4T1Pt+TQNhtXEl6XZmV
2N3UeDTN/rddz2/5WAz8bvsobQNMIQ6zDAe51f4K1fACL2GkUGv8YRQAFwKx65MA02fobglfoPvc
kbSGS3k3UBuvsDv/aDQ1rghmZLdQ218lHeAVRekIcKHbKuH9EgvjfOg1ou6AVQQ1QYumU+2twnJX
cYfGMc9oTwRsqWO7Ftu6OKQ8s3XT4YyaXD04aeFX0TrI6xZMLoMx4xRz3d2minlTGmnuQ+QK9wHD
ta+PlrMWc2BtypzMW3jwE6NiU9sLp+390CXVvCvEeHTIVgNuTPO0fTAQJh2hwF/ovmQ72aPTEWMT
bOo6/ZH1vXa0WjTnLcF5BL2QAL3NCTf3nY6jT7U4QXqAo2Qs35Um49MfjywPz0RGHo3oxTR5hqAX
yVpEHHaym5pLVVi1ats39fsfd9Gc7BpLH/dAnqwtm2yGi0vxB/RYpWlEtiBf2TSR94NMNpOMgmOc
eUg471/OwD1WZPMs4cH6WzE7HZNDfuR+4wxBuU2K/hv3ur0YIzQaIju1hH+eouWr2GXr0uXmYaKf
ykewOBCjU5yqti19QmM9cLMzW/vOtmsWFZvo734i/UcyF3bU/H3Ko4Jlq4am0OQkYDvJhjfoXPHs
T81yU2vBuI2k9n5/KI1AsqMsAbreSSs9jLBDD7UmN3ZreHs3JMLWIbbwfkNSilirSpLh4/V7w241
nJI2q9eSkz4ShkWoCOlUmTJoVQ3k1RMHE/KOowfUkGEt8bEghke/m0OCcoa+PKEtgXTJEsh5nf8g
1Ubj0pXu+9i99I1iuJgTb23VAJ1TAVwauaPw+wapQB5z+kiBEi8OVXwywzLmGJOfbFs5H1CRnka2
JwA3GFwkDfBXXdEwsR3GU9ZUnegtVKdO9Cg6KmOnm2ZJKeGl9WmoRO3TXSDONOzrk6FGd1d24blL
qI5Q8TenQrZLUHC4rC4hg5D7g05S+JxSNMFjPO+VIFTNLch0dCYQ0q5Fb+f+B2M6brU8lsosT8Py
IoSKgUHfxg916PXQN4V/P/aE9tPp/hVYU8fvE4qoFi9wEQB+bgY+aXrz0wgFybHMfHGvN7tycA5d
Sbq8gC8WWZa3qquFiDH31y7nAGKhvhmM4P3abc5V0eILF4O9XLa/1zYdsLaWKYoUyrnJsD95obfz
2GcPjLUr33W3JTqhUJMopVy6SbYKfT0IgQ2Po0IqMRLpJuKt9Wg9BSO1Hik/uziyv5tD+5bkCKE1
0W7zCsnlMEMdNloa5k6S/P7/2sVgEDCFC+1/djFcvsb/81E26V9tDH/+pz9tDI7+D1fqaMpci462
7TrYBv60MTjePxxbWKRg4CThH4Nv/WljsOQ/BJYFCfuKbZlrO8Z/2xos8Q+LiGLp6aZAMmLyC/8f
fA36v5rqpAVMCMeAZEUFduHatvhXVwP+uXoQIiwPkwiz6yCy7ilYwvLYBY7AvVHABthePSz7YfCb
3EVyCejy/WFu+Rdvy1+tfTrWkH/xVixHwWCU0CeX1+Ju6Pirt2JohTbXrl4cisxj+iODZ3TMDwA0
Ef3O5DVMefPQYA0YGE7QU9VIQOl+T6qKdpGkXWwZnNF/eR//NID89ZAM598PyRKWYTj4sQzPdP/2
wqBoNZzKFcXBmCq0UxkuMrFIprLM+ZV3ibhlqKjrsgWnaIY/LOngmpC2jYaU/CWpPQUFTdiefPid
KSVauSxf1mRoe4UwyFIS2rirzBpQN2vXxq0C6ZdOswfLvh8NPThqoXr9z8/o7o/8q4GFF1kKh7PN
5YRiN7EYXP7in6z5hKuybbhYebMg00jpYL3LZsM+ak2JZ+1B1sW7NlUG80sL7wMVPxu+sqvOripe
YtCdVyBw74GBivJ/OTZO9b+fAAxDXNOyzeVDspzvfz22ru2SBoBdfujCkQXK9kdw1gdg2hNFo0cp
4UUYJcz6Q3p9x6CN7YIx1ofMxkhhBul8zbVrCP7ifzuufzsxbZ0PIUeFjwhRh/yb5zQRGkKctvH2
XHfrjorfFD3aEw3VRKUX507iiYuQ5THVS3ZGOL5V7KBA3TPDmSXGnxxS2n9+qeTffUgsIcK0XUN6
cBc9w10O+S9v49SS+REGCldwoo9bmQQaBVLOxs7VHrwsbp4X9Kdhho/1mCUvxeJhwyPDhMWOt3kz
MP4PKnVh8++sSnBhDMIzC7BVeEDBLN4b+gjUP80DRKiZYoGGgUytF5tu9dkexNFaoFN6QpeK5rMr
5UFppWTeYcx+rGjeuQq3YDD9QH4zrAkXUczWAW+1zrBqqvYgzfIj6rrFSkEvJEOvYdIMM8dG28Iu
mi4AaAH1MZiujY2ICAFSDtpix0JP0fUKmqzXABj2ZpK0Clwvk+G+/OeX18DE9/dzkYkfND6dz73w
hPF3E2aRI+VJSOPaG2PPnmgxuIbBCRixdyLSpDkkNX2StHaHGxbkiyqs+TSn6EATjMVar8gx6bTU
L3QtPHlD89XkDlvymhdoIhonKnnuU41cMJiDU0SUXIU2YkdKq8fra/jStpDMOVr1EXTY5iPXo7Ng
tLuSQI7jyJ4xdY0Xb4qGQ9Q64qI13Ny/Sr0wPHZ2fxs8u16bEULpVtOj6/0Ga8ZFD9zyMJZ6sAGV
fHLa4om3sb9kjEX3bSd1BljF9BgFV7wnkEq6XN8B89BfZkj+adtEV5JsCLCbBAUgY0SC8nw4thnd
3pywEQEAWdercC3Ltt5GeL0PFehFy5rTh86r0geyyabeKHyl9PDByCIwrnOfHbjA+cLuky0f7nhN
4iIDiwmrkT1iKzunetmd0WJ5yBkycgTjdp0bYfiYJ++T1vZ7Lm3k8unzdCqaYdGvMGibpovtoN6X
NSJXCmi8LIV3HqO6OViydOj0K2ell5V+4MKe+J3IByBtU3li9oWsIorbc09QctLBlNEiS0EGqYBx
9ibNkOCzGAY26KV7vL9HDDDxVkVkbDtj221NU3zgv9aPYc00Ro1SnpOOaO5cu4RVVxCUkTlnrqoH
r3biR7o0J9Q25jnS0/gx0Ib4USRetCoFlr2mrGG51/pzXzgBK7NbrG1F+IVhh2dZ8Rxrt5gu9NBG
37Amteqz6Ux17Vir0KofkdaBvTQbNqJV9512YXFulV74k9e3JMDheEPZdZwcd1ybE1d58j7yjTtY
dGNVlhA9wA0aDXMfjNElnZ1gS9Z1tI5KnWXWVU/JiNmYvJH4qrArb0mCr9YEvjIMt5vsgKhlvi17
2ltgY+aIE7YrU/9JoT/d+hypwNDlb16anua+M/e0fumpiVqDYmBRb3DPtMRLMSteZL30rtOEVL9q
PWaS86EPPed6vyGyPj54LnX3/S6Cf/ePb6SS54HtD+Hr8hjADMThc8XkzShn/BT8AtOD8SXZ7gA6
jfEGOWLAxNOGj81yk+Wze+BDgtl/uQtfhG+YkXqwGnt3f8gC1BiuR/3YmjmpqZ4b7ej9heSG4vIK
U4vsPeK4nu43tNGOUTbNF7H8BNvunpFyF6zM6sFpTft2v+kMXtDJmn7e7+WNO194er6icDxO7VCt
BpqUz/cbNQQfLr717ZJVsYIrqRDfJoIOV0faKArH46zq6uZltLak8rrnkBxxLrDzGV32MelN702P
BbvfsR2fTXrTehm+VUy46cKxEewRojKwamEU9Ex3GRpqFxS2PUk4UKtVUFcfLtbK2P7FsC1+7SZO
YgHk0crkG0lcHmjL3DnA8Y1XfW0BcTfUz6zsvduyxXOM726OjImYsKCf3noIVnATdg7z472dZCvM
CwPaYDiCgSf9pGfznwXJQfG52GhLJ7gfs4PMYCS12MM2cS7PPQFUuOKaZgfuGjSiM4/YMhpaSBB7
EHym8zYcGdoOCdx6UcW/DZa2LSg+Mry63mVmzTrRGK691ndzieA7MgvIzyp4jLL8ewercWux+O5z
ZK1Fg2Cs1ACVs0FftWKgj0lkJ4J64zXpbGQ8U1vf7KiAtj++wAeyN2O4hKgurQVPJxyMdEFyl9zw
IYtwJN1fTchWGlBXaMGSRA7iY0b0Me+y77ub6Gw/qdEA39enOXPNl4lzuWm/uQIwOleqSw5k+uSx
pV2j3n927DHe9fKkKCJ2c8ajlO7kfJsKQ8+ovlutBTs1xhPCvGDdjywStusi9vK8dVshLbCSeR+5
br3XTRTm/IKPMJuf7TC0znHYepuCtHWy1hgmIx/dCC/G2VivIx2LKYSC/MT7d3PDeDx1oXMjBAz/
k8DZXNO8pT/j7MmMalZo0iFzzCkmKBqrlkuriKc2beccLLyKUX1oEf1BXDY/hFY01Kv9pqItQY4M
DYlkQHKo4i4644c8dZFLQEG4MfUCOFI/nIoy0d6R9eOfsvyR5vbejYnONePqMiPi2rIhy3YO4Y8I
N6LjPE6oWob3uCQ2loHXizChhadCPqfh5JMlBTqw07W3sA9dnxj4ndcPjo8yZcYe9tjIhOiXNg63
TqUq/rxBUEbncmEdZjxtTXqIJrVcCPTsKnIXi0lGjE6SrEnfGg8pYHlEDQybqiWpZqJbf46WOiDX
sAAy+oU0LI9zy9hchAUp3MItUx/BfbI3++qhzsgwF95XNJrM8QN0j7ohD6lsvpi5a+savfJB67yr
3pvOUaLE2BR2LgFgJOO+Z3D4RDeZ7B/H4nLsdjVzmtTZCbAlt6ZnIj8UtvVZtm71ETvR25COUI5a
OoCjVcV+n+WkLdOUOQByZTIdHBsbNb3bogdz4yE9iNq+gN93KnwvRVtOK63N90Vq3/SEbGDN86uq
Kg+1h5Cxc0rXp9WQIOcLmsP94LUubB+r3mOcALpS1GgW4IqQTr2EhnqLKSWEgR95L8NQNywDQ3ww
O3ISqJYjdCzJRw3AiohaJOI8s0lrOmJl8Iq1VpyfVKRc30v6YFtSo9Y9yWCeWV+zZmj2OHxbAk4O
5VAN+0F9NZKA67F0R1Itmt/V7CLyD7mAE4y7JvrqAPtG27oMbGj5m+aRi1qxsXjz1p7eIhILaaVE
qeP4bctS2AcwCYcKydTEU0jjPPdTaLoHI+FsWn5HF6C1LAq93nEGYTM30QvNCdmCTFQ2Jo61cESA
rcKOa0/oedsxs885UPIgqLQzPI/Mp6+Z+n3rbDhNDL/r1nFif2VWPN/obKOVdQ5G55ExkFirzMLl
0VfEjEVgZncYixnQM/ZovSF7wVPca7W7CauGkePoO2VkvjAZQUSFDIWR5nsw48jqYu8F0zW8e3Kw
+5EhF4djrlg36Dzb0OFoy//GqWvjGHeSp6bPObjJ/BwGjWRbPa+2ukamb6QNI2zsgZZjzN/JJB9d
6INcmrrkYrcOtamZJ3stwpJ7v9szygKdzDuO+uYESUNjcp6q5x7hPVZh7OcjOeVFNJ4qWw54dezg
gTLV8B0jzb9h+LxpYzJ8mfgF6D08YJ9RBK0R8N7khX0yAOGcPMzaGzEYR8U27v5IPEJSc41swnJj
ppski0nIvH+nuv+vvjqRSGWtLKa+66yIx3ND39TvBemARd6NJ9shfSOO2CZZjcFdLfjl6Ua2HcdK
bGOZf2/YkJ2GMA7JJeKr+w0kwwj1F0nxyOG0BrOMpZ08xLy1MVjH+4+0cXpUdaft1Oz9djqD8GMx
XTSZmEebuccfN0XGu1cPdeDHwyKVZ/s1tRg3aNGW2dWd4w9BPBdaMGblWvlo1TeV2fZNo/E4lkH1
JDJD7ms6OCttmKqn+2O9VMSe/Bd3Z7LlNpZl2S9CLrQPwBQASbC3htZpgmUmmdD3Pb4+NxiR4R7u
VRmrpjWhSMpE0Ujg4b57z9mnGaAlV5pEKS2RLTuv5uUUZUHXkZ26PsKbQzIdcSfO/SFKsyJkzBF2
ZFPj/VvZbGvucKOBU1C1xzmNSWDCz+pGy8yQim4LUvc5Ip9bmS7y2J16OUQBx//BZePJVEg6L2eS
ZnSdt9M0Sn2Cwv5CDp1JBqeFE2M0PR0rzVYOI+WpSxX5KRKABlreYNCRa1WOMjswNdzQmkKC0K+n
j4UarTJ9thvlCddcgdTfKB1Dkq4QOggKW2Qa6ku5wEJbHyPyxJaDhMazSkRzbJCOeFiwwecZgXs0
0Q66FD5B3YA+hODkWEUMlwYKu36clsP9psws2tN/PI5mJv7Ia0i44HPmkjmL71hpZ1SzvjDrqHJq
4zGjPXwwOYmO1OWE3KaRk+eV7fEvkiOK1Ab2dH1RgwWQRWy8SzJR3HhqC4+6YT8VYrXwre7jMD+p
ffbelOIraOQQUQtzMjuBUJHHp6GUY77Y8FEe4YAuUCoQAuKivFHhrWaoyxTzVhGO8tq5svqgslPH
VcBavUnJPP2oM4auoM7f8PEhU5AJ80vimyB4zmnIyaBGGwJ0pkSfksKS2z+NRf80F9MfLQxeBR7d
YfnIZbF4oojRP5JoxExv6JJyV2DvwIoZcpRivFHa0U/07pHi5C1arzAZFoG53LayWntV7atKsg+z
vdpED2khgl1HMqysgmRRChQVGBPhS8zhSdLn/Wi2XlsPB7mVP8v+iTo/2AT1DDtkoqpRGpMUJC0g
7GWY/EHX0102SCCPBedUTTJ5LJeNK1v9ty6Z/VYY6ecEwtmRTQuJsyAQonKmgArdQhe0p9WGVwkw
Bz2lA6QtwayIm9zwcDkLH4zVdwtngK5su6s1sVegRG103XgU8WQ7HVIxtYS6LxWVRZC0vB0HK3dS
bLh44lU/EdKTpEXtlkAcEORl9jXZPUX82t5BpVenFjgthFeBsPAW4DTzBDJ/rJ4hyWtkzTpcOt14
YDtU5srvgI+6GoPCWySu25JCIQBM4zP90JIqf8DSUrvkzROIQQe5qJbuFwvHlWUIXqum4hWXQix9
o1n7Wl7+Hg2idAPc21tlso1XJukXRLL7EqcrHVChHIoMgYmM/flF2NV708fZIcbufNJtpEWRPSYn
tYb9WVfmY2qu1VfR/IiLsnrjKzmTpfqK6jB24qb+FLDBnIxR7q4dCesjizNw4wifs8EawqY9Peom
A3gr02iYwd69gLvF6q+SOpuSLdZ20uvA8lPE7NqJMYRZgyGcKDUsyapCnnjQBJEPKcTeLfKTvVyA
Z0JONqvqMUYcaiDwwRKPe0iYJptyoe4GZXaqMshPQ1ZBLe1fZBATJ+R4lcch3LIXwrjWq81Rr7Ef
VQ2DIWzoQELBZu5tgjeK1VQzWu2hVFficYMnnGbmVcsU8yGiQV1I4oGQRtCF8meFKtZdQlM/EvA1
+4lcEBEfy7t0sB7lRZyXQEUWaygG8R+QxuDlGtt0JHYCwj5NZZ/pLCKmKqiv+M+fTZwiEjFfJ741
EmjJoj9CAzdJpKOlnJRY//pFHHXiKZy9OaX1VhnMNeSV60YoqS/2bGh7CoVTmYajl7a8+0xPHi1B
4meZFFsoA6+mrY1eEaqjI8899sqILKwlZoanjOmjItmsWwggoQk7hoKhPVbHzG1bkiB7jmlHC+vr
ULaXVMrJgUz4+3Smpo3lIGBbVPtjW6tuUAQWsWb7Ec8Gck5E1iHwkYPSl1w3MfVsAySilmFVh7V1
vbj3u60SV6uOXWMMX/2w+ixwJvlWFvYW7YKO3am1lAPDWkRPFXvKytS9rP6yFpKpaUYcFmrAwhlU
wzrcHwMddKYojvYirspDpU7loVlv7g/vNzq+ywzj5f/lr4NK/PmnRxMHwDxGz3ggdko1IjoSH2ZK
HneL0FBshKRv87lI/aHObb9Zf4DOFGpDQgtrY0Zb3WRexwj0cL8hE03Zzr8wdu9hUE0Ua6cgA1gB
4p3S69pXTGv6eHgskHOnNiqAIicZNqvyzzlnTilpDDHzVQ+wqNc2R5TDXhe9RgpFXBHRSEhrsjwF
db7GXCxkco7hI653ZIPPsTm8EJCh7YY2Lg6yYRBHQ3YmilD1OMNa0uBxjOZz3zBWsQcY2FNe3uxg
Lm+LWRF7h8V3GPdSKdLDqFnzJZpjvGsm4c7gHhDyQGFCPo7qOZL9kDBUvrieTsZc7CG/S3S0O0TA
Esrrg4WHg+aq/owRsKiq9GCXyy++bLJIB8mAKQUE21JxoqBPfVfHzkYmumi7zBYVG0WS7xauxk1b
sgOcdW8oLdq6GZ2Vfk1BgRt0tsqSkX9fQM+oFk+CkcFPkbsKxxzMRAuwYknfRZ43R6b4LJdxWxA8
stQn8hgumlJKr2Q+jVuTGmGfdeHwaEv2so4fup9TGu3MpdsNS6c/Q9UrGTIHhY+TpngtixV2n0hM
kuneASQcLlMeZRcu0WyU7AEzZxx9hhU9np78GHPSP4YwehRBbH7nBIMPXeOqrDHXLNAGUvsShFby
7Nd6K77yQrPYemEMNsHo+lkfPdkTA52hp8nLhnqN0mvTvSqRi2Xm+uL3gb3sloKlY9YQLi4YE2nN
oWurRlSzBALT4mgPbQHTpYt6cQmRH9IPLHGPil46mQ3ptXNr6x6b/d9a3fpsKMUe/SSGMrO4psqg
3Gi2HUIaCtQo9nw02MHNWhk9N7CAN+sjE4md2+edeemY8TpTvkh+o/fdRp9J32WP4CY9u+CwyfEt
W0O50+UOPeSceD2V+eMUnuGQYCpsEDrKkvjZWO28N35gpO0ueIoUTLNObMjqsdIqPhhb0fcjUS3b
phoAnjf5mTSQ+KRkYClB8RyZTpZ71szzoCT9o5qLz1SnJNazHCv+PD0kcitBWeIihRzPqUX/1Ldc
jNtQtrzJWn61dT74egB6S6K56jC3KrZCZoDbNAQPNMT7mFPcnjUrHb1k7NklLDCy07nx+37+iCKk
Z9PYgGNe21I2MDTGRuJJkT9BCVTboiy5hHXWuyBKCiFvpB2yeMEqSyg6oAeOsalh6hkur/FcF74K
TJdva96TV8geCKPetlCRhpiA3lA+9eouRSuxVTjAWCIwVSS2u6BC8tuSn4d+8mZ3OKEGxkj1LPfH
IetOtDmN0wTDsc+vSD6ax2gpyHAVYQe2DnuSziWtGdtpZ8wfsz1e7AIrMqSmjcHHe5jj4j1brPE4
CHFM1IRw33l8C4llfujr4GSCdCA8lOQwGQMd8jBxtSs4YCmUzHQJySGjtR2aTGz0kUiThXRRGGL9
0yJSOunGr1qbNoDIiEIPJYrtRJ/JyCrWnXpHZ1KyqI+Rc46aCe4Dgt40dj/lESnKgiKKpADUqINf
Nmjm8nLqz1ENTyYL6aRJC2x8y9hpc6N5MjCIzb1z0CJN84IOxawdQos1x2KPwa/HwFAr/pzycei6
folzy/xoXmYWZWwx11kdsKEMKRYdNb6QOKEe007xRA1rbZphUaRRBTRYchWbXSQRD8KX9HgbzWw8
Ixp6Y9/Lu6Vl+0+ruHpjtacKl5MtCSTFj27Zz3F86DU9vgiJWTNFUiscGXXcNcbjSjRmNz1ELcuh
1nQg9xqJF1XDh9GgGTA1y9nSA8Xv2z7dKmxCMJVNHBcLnx+FrUA/ZfXHvrRfRmLKdrXaBK6yJrSY
+uyx8PCPqs7AotDj54SkB18/SL4HLRO4wxPc6/1TDJbnfZjl977jCmsWS7GLFL5iPcNkXjVEhRK7
OLtYozZzzmhMSYRGqNVQuXB7hgsULaeqKPySTsexWZl7fNivOulpJ/RHwMaAMcEYDDSwY23IQSil
jxYv4cXYDBxVS4KdHO36JXSxIvsx+/9j2+GHM+xZHBFWu0FH4wgJerdjh1ufV8vjYYromq6xQ2h3
XmGs9D5r1SujCjSLBdni22ktLZSGga9qtfSXVI4+1apy155HHQvsGG+4OsDh7sOUxkmg7AYuvQc9
VpdDpYNT0+OZSPuYNOX1JlZZkTE3H4ORipAIXrRgjKUOsWDYXMXKbSRxaBcAovOk+kgnNSeru1Dc
dpR+ZwEoNuKRqpumW8NVStOdYX3IxmzcWqkhk4qmP6yUDyTn3dnMlOZk9IFvjtArlCVBrmdwAbDZ
J3ZzZVzqemGeB7jPC2icIW/Xkc6F2YpnDnW3VlDTAeFkgwhFWSKOwo1kyLCZIfrJU8P4WyQ1iLHI
0A9Czqy93b0Sl8nkQIF9L8wUzTiMnYV2q8rdJguXQ5xW1YYQKAa6LQsGb3DCv81UALOmsgUWSNPP
TGbdVaVw2KOadpqxDgBF9S2WvAG9cImWAg8h15dFDUKVK2I1EvdrKdskYxA/FN2LqsWjj4k6mZlo
M2LKCm08E7K22CzJaWtemzWBsVtv7stOxhmMDiX1zenK0JJave4IfDTXMbU+wWsxIF6HBjFiZF+R
9YaoB3Zgeo3We2YsfaeE2zlFNwofjyGzUXvwiMXjuaA4i3JoT3qS7eCOWsdGTMamWtJsD0ORnUIU
MWU12YHa2kvRZFwmdVneSGu+Fcx9cR67KfHHXD6nU3cgFT4/2mMa7WuSAJAXAi/TbEXQjM3bHcFy
n5GpheyQc/u5V+IzoZnyR6AtBNCOgoT5RXnoMcYCg+grNCgphoi4LnYwY6RDJWc/RizaXjra6DzJ
72Jqbr6uQjvq/YMpa+Ft5b/H4zQfQ6NXvSgx4cdp1s850pvdHJQjQY4qCQBm8zHJkBsF5JmGkvSi
YKomFzYhk9wYAC3R3R4o9dCWK1/pWG9xXzM9oAgtLLp/OSwzZpsqnZ3doKlrfmBr35I1HAQq0Ejt
egJ7eZKGXD0ohBtfQd1cadFjiFGrz2mQv42w/2mURekHpFTdKtrTtBZuMQYNf+xoLt2Ph/uRgcgb
tKbcbQj1KD01z4N9FhL0zcHNEd+CZWhqGcATYgGsHc1jwc50jvD7yNpMpDWtMuZQP4aoU1yUjkxN
1aI5hYlyYwAue1nBPGdg77als8W2j3EneMf2aSDVZ1+XdCqSaSGrqCmn18I2vvH+8BRWMPCknfqy
9FStpNNCoVwXYa1kqhRb1HQknP8ckaWc8T/CBRrq0oOKEXsNvlJwIKZxXlrzNSrL7lbA/D1Hmvqa
1o+C+f8z4PYYUwmuXvI1lF2U2MgEbLk56GNVybQFuHt/TJ7sP+8ts90c7g+jWUdmFcc217qOSwJB
Vnsw0+bipn1WH+43RTG+KU2aeRMSDH31xPUmzARHxuH2z7spY+09wbk0m8vD/cZYt2L2uu2635N7
wu4cwmEDj1Mez8Zq5rPACcNZuhsF/3G/iAFehI2WGEgUsn2w+gOLUfnnjX23D4qaZLVa3rda/wtY
Vw3/bMZpOM5Lceikujjc7yl4PFjDxVtiGhhXBppmh3/cnda78epmrE1Wo6g1iGFZ7Y8KF63Dst7c
H/5xY5gRGPqUWW1sEHF7f4H7C/7jpf71XKMTpmKGpb9a8nCQp1mwMabx9f5j6f25+wukdxfl/S38
5QXTCnEWYsbXmh7poRQjX4SEse7wj8frk2FEzvyIKAPkhta6Frxb+OFs8pndlYf7vT8eBpFEoYrR
5C/P3z/+vzz3x8M//r3GmAcwzr9eOQsNjPZW0VPa8wVGf3yL98eSVPFNxG144OCXGVzG+iHQG/2Q
jZGA22bkCDKwFY6jZdM6fL7/gKR/2Wpb7SdzqtqjvVpf769LiClHx/1usLpI739zv6dEVrsB6/Pz
j6fuz1vrj93vtbbV7maz3P/xcvfn//Ga5UTjT6/Qz+VAbQ908EAwtXCY7vfuN/e/6GN24Fna625c
PdsMP/ddBV1hHkSGh4PTKqvz9kBd5Kihlu3vX3N0P9z++FqzdDusJ9X9TJrivj7cb4b1ni7WVMAl
XtNHxulQV8V0UGnP09Tj4R839+fyaGFnKNE1T7GFO12WE5yz/iIhzuDD/WY2m3AT4vdELmIVL3ZC
VvaqFyC7kQy61bu26pqgbWIOJGGzIkqOMFCc2JCGc8ioNoL41LpJ1or2CsQuwX/CJVqgQ69BnEcv
2IKftJQW7DhtyOulOo1CyVlCBdnBvKNAU48k33mxkkKtZIfnMDp8yWKVuNPEAmGa/rJs9jsMwl9E
yX+Yd+tkEUsw+eBvIC33AEBxygVRuAPBtgIu2SrVCPVCELt0QV/V2rh2ahKeQj3cRgRHb1giTkEq
ooPJG3Qw3c3tF704ZuUMRh0EYGkV8M3wgmgyoGMBI+tge+RzTW46nbsoy/KVTCv2gdDOgY5/XOvP
0zob7jtwWiK5yqZ91Oc2AFV5HPDA60k/e0bbv+nwHOiY7YjGUuRQwRFk/ayMt07kAMc6e9+G6U9W
a6jTI79PGMNpstBr1fPPZWF6r+d83QxmrZmE5rAyXtTR/IRRI7c5mbpm99PC+osE3QQNozAvICAA
R8vMBCdS2SxwGY9xBEUGCK+4T3UHJsqmpwd0DoP4Rx3XGVsP4ikVddqXiC0SJjdDzt4yCB5ii3li
OFPKF/pqo4ZHYkN30XuXaQ4NGctStyMNVJ3Y91WPsrB1UzqkDtZzlglH0fjkWnZih0AdoBASdMhc
AQRglDE/t0H+i51KLLKj5ZT4VRNs2yHAvg/yHKJ4maeubvcVoB0LILkGo2/ZZq2VAM8JGQQKhoOa
sgsQ2zhTXfdMrOhKqhDv7EZ7njvVdgPRQapd0idaVGd+99ap5hhFccy+yozXRGJbcRJjUZ1KFK+c
nb+VDrcGfdKkZcBNgb/XQw4uRVH9YNGZYWjRbhnieiN6+YsNRMspqyrEIoRkFFAfYhSjwYWDvave
5k4r6EnHX3FF2hWaaA+FZLBZDLPmF1aeZtP4FYjAI5KxSqUCuxGfcd/I6iZQ85khSh7smkn3dURe
roxyBwpEnW6xg08vatZjI5TIi6FKVndFBGeyqcvBT8LJhojZ6bdprlAlycVxsaHvWXlu3KBStY9M
1bfLum24PwXI1mn6UXmSi1niKgQbsSXeRw1U44w3zdybCXFriU67YAlVcx8ak3mT+qhmgk4yPHNF
BJ2Q0SbUxXubTaKDE4cTVAMGUhA7g9wHbCkGaVqmVfGoQwp9jqLKK5sEP/eMuYsezrK10fiha0Gv
pDFGozPRDrdpmpPLUBGKhvnkdr/piPicWvmZ9FmQs8tzUmu/akuz2WMF483UG7r9csilcPnO4pjw
3niMH2JNgvKVb7UqUFmrMts3zWU9TaT4KYxMYj2IPWUwaw3GcKwXgxlBt7r1zCet08ynCcLSnC3D
g9yrz3XR/Izk3OavZnrVs1Zchd4R3Cor495SgLZ1ARa+plQmT8mbapPbWFX0Vrso7OyGsuiOCL8/
qXcItqSNSN9viikX9fFkJq850GWq/7HZYA3kKBhvCD06yDTj6CiWTelUURZm8rkWln421Fk/Fypy
RbCTyVZIs+BMTgyXLnZG2990icVQTrqiP9bDwHRJhNOGdlXrlNKbNg3irHXWaUJ35S8EWHuQ4iYP
p0TlNXG3qtVzksv77nvO1GeUFdFzR3s+Crr8RYzHeWntZwPmfmSkb7kyj6fAnqtzIilPd9VN3dCV
jEsZyGDjQ9KyvP9dWaysjoF/099bqK5MzcDNoQhZ/avVYhnUxI5NrfJTxUr9cWDo3eWB5KAZfLEQ
LT5Pedt4zTJvjVXcMYku/g9vQf2b28MCrI9xRDEUDJOy9hc5ux1EXZ8g6PdzsCtW0KtXM2QFkMYo
9riQfWQq9TmCgGprl0N00e3QtdVcATheDm5baznKuDA6rmJTeVDy62CFt47hMtFeo3xZVaD3btT/
/sGpq6L9Lx+cZcJoEQIdPiFQ69//SfGOm4GozHLig7M7sclAfONdCwjpXpC9l5m+M4aV5j4o+0HM
EUlqefqxaL6ip18EY52CVrc/p02lWNGXUOVXELczzR/jG4GKobN+UQLTjXmATQekLo6Xw394/38z
N/Cp2youAssW/Bp3wfmf3v8MkyobFYGzOiwo3XUJl2DX8ksYDUO2Wd6jyihcJE/DdsnM90HELA86
0Hi725RqqW/Q9p8A5xpp0viLsN7ttQNSJ9UHZ94DkVjVDlT1CG8lIpGSIBC9y3r3/kv8/5o/o2rM
G//0Nf0tf2Z1bvmfedVGZPT9u33r/i//x74l/5dA9KGIf/qz/se6pf6XYVh4VQxVaFi0/pRAg3UL
EKCCO8PUCIoxNM7BfybS6Op/CdswLVvT7oE0svb/Yt0y/j0sCuuWyRAUJ4huybJlyeIvfh4dXmZY
W+bi2yHQnZjFkeXPor/3Up+gQQt3Ube1SSGzKWuvv3Wf+k/O1lestMWqBN8F83ZaXFN66ypsmzt6
M0rBVI1ZNUwG3yYQWPIK9ikvgBUwGFfBU7ZjQ7ktPpmqaBq5b04eeNTOv+qj7dH+JAXjP5hd/r5m
rr8jvjRCfDSTP/7iC2oCdVZUyDu+vJivvcJS3S87rp8Pyaj/7Jv+tyRJI4zv+MOIlac/HRAP/1hg
/mwBwxj114WH/11XiA8ydNmUQWv/+8JT5sFE6Ka2+NaLPR7JRHxqrnrkyj+6bf4bsAshVP1v81l/
KgNPP0a2mz6jBjzbz5bpLte62uiPCk6ZU31QP/PLsk8fUwBcl5ir7yNtrXYTX+ZPCzJJ4xjPJm20
xCv96ScMtZP2IO8q6ztkUVwbtq/pdzpuSG78aL2xdHDIL/wbNG3OYjoOTvb+R/2Sv6DDlrS9AXHH
3IC5g4mtQGsA84ooA2XfKT+NW/kXnUfN70wyj73C9NgGW17zXF+AgCpHsgoOmpf/KCn8nehncuPX
2U5vxe9lJz0t8TY+B77onVR1hs/Q8sknuCYb2dom37OPuM9boE4x96mc3+qxbt2O6U0i7eHatl+Y
dqDdSV7+tfLGdU/aNz+4yuagA17Y7WVwENQN4MXwVqLefiE2IUse54fFdMNzKNzGupWP6XdIFzt3
pHN5Q+H8BIeieMvHmzw6JV4O9oyn+b34FFvYnUiEjN8JNMazEPtBOaThpkB6G/qDheSOD8RjRK2R
KQ4vf34n44ON2YIjHxV5IT8io0F8Zj42P1DqfZUPwbUrL+oztCQ0oEPpxyGTAdd+infSBS/7JTwA
4Asf2EhhVPMgxeOdqz6zQw2KI3LAnnna72SDCqvHheVAfh2/umSTDsiPnUR41EDvagvZ4oF+d3S2
2Jd55uhSWSabbkNJvNO30UZvXZQPMNCMD+VXcK5wQ56Xd8YutpdfyXD9EZ3Vsxby0eIJpkBfFLpf
IE+cZGcyKnMwqc1H683G+K17c+ll381jRjV2QYCiX+UPEKTGU7g3yUA0aY64xKGMiovMlk+CHXRH
JNMJ1gqaok+80G5+VZ/QHVkv4ZfAJHDsGHC+BS/WI6hoDm1Y4Z3XA3Pai0t+Hff0FXG7mI+tvpGy
TeUXXyPoTzfxAWa8A2Nnw+7T8k3O9gNJ07VT4gwgUW7TuTlnh5N9DxcAAj0urBulOFKUvbi2GVsD
hptcuB2TWf+7un5p7Hv6wYEGCCFm030Kn4oVgjUIG3fBFuWWW/uRSW7vRMQIuQI64bhX4KQ6TG2Z
T/MLgnrdmHskiyEj+cJRxl1yxiUPggH9vdtc8tzt99E5TQA7sAZq8IdkyIwb7Pe98Aa6FUwxfmUv
0SbztQ9EVNlOdWZ/ekgRc+wQMxr75KX7MXv+7EcvGEaQIADxDK8IZUKMG7fgs/0t0YNBYkrM0H5+
qw7TBs+4/chgksAoUghQxsfOtJtCt1Ud66r1L/bjcO4+IhImHPNjfpLfcKt7ke7IT8q1Gf/D4vz3
sgZBOaGQpqIoXOaMvxSTKtNTYxQEN7e04Qp6vWpuvllx+x+K1r8twhb/DRxlEwMmtse/ls1NI829
DH/UN5Txtv4X9jzt53D6XlqwknPeAa+oucT/y8X9f1j6VfXvV1ccsioOa53RgaVD5vv3tR8FkS4m
u219RQLYNMdrw7NI/ArMB9tETfqB2QWhc7YNqtckpBeiWJ+lNhZeAF8RtKLY69V8KwmzoGWlcqox
89j2KCK6WJNPaT+BjJEwj1lNu1U0hCKxHOsw9VXy1lSlwh1XjrgM20s3sWRkYFlsmMayliXXYtHq
kz7OFnNl85AKorfb9lWteoNJFijFQe5xDRaltEG29ASMnC4F8gYpnH1VG5zZIgbYMPvnkDklllHE
JwkmyzylHdPAWGE2BmHfLOLdHHIhY+4AmxBUv3GFl2FuM+NnT/AY9Nxs2wipdohhlZgblHV3kPNU
2WlADwD+EjWTJlCoC6LCRNC7I3ySypZidxwzzo1ieIgLfgW+9o7lwHIKlEt1o6y5Z2gIV7wkcR9Y
c+wFAlkT/+4hGV1Io28dNmnPqQj0czzUpJQtgtQIFUhVaUiH1Jp9o24eRRYzup/z7USggqMbpHKj
V/yt3iKFGImEURsxOODaw4y8FSOkCaVKUEn1OrcAsBRbSUVJqyUy2KkWTYfOYMqURy58pn5l9D7v
UFJ9jfakXyjSkVahHu3NzB8GFalFZ7T7tFU205g8aKX001Z5Z4Wx3Az1M+T9OqWV/yJVNvCNip7Q
hDoqYQYaSbC2u1IYSHXFax+DE9bzlaDNCDITFAkDA3SlgeS9CPEMQe1ZZv6Mr+kiW5EvzcaDMv2q
J+NpgV4Kq3R+m0T1Wk3ZZ3Tt5SjftFP7NEXFcxKENzVuf4F4w/fBAbzofQqu7W29r48bZYwxz8VS
sjVyDfI2IX6GDMs7SHUfIcJYYMgxFvreKp0SXc37TQ791W2S8BLR7WOWfJZWQK9u800TsEtOprST
Mh09DX7zZBhb8IRyu7ZxXgtm07I1Yi2rwOVI0/fMoS5L2W2qVFK0ZoYeRcPCl6481J2Urh7NsG+4
UIgH1LTAMLgydDDxWAsAyuOmcjDZKGDrKhTf/fgMw9Clu837gCjUZ57OFhEQiLd+Z3KA1Sb7tjMc
PLQItcjwRtxyzZK5xB74+oNAqZMbNogxgDQlHT9oqxZqXUMJHKCvzopORqiejzFoyx8GSd9r2klK
4VUY30n0uUzPywC8ehperHY8ESC8Z6u7xUNDoNECzBmAPyXaMMXimJuNOGpYrXZs764zoCSgN4Gp
bixzvWg0vXYC0mL1yE4uBC4m5TzuDTpwmVMZWKGxjexVUSDuzHu/hV9fIY2c+mNRN09SGQY7vSRV
aWIPSWZEhEe1XVAqsvIhzLWIxBvU0J+HAf0jRrs0AGdWAX2xyIMGx0rkXiuph/uNmFUVsU9Dzaba
XbRjAI2MfsC5IhlEt+EFc/RZI2wykkmu0cf0YIrPJEWb59yfiq23YmAWUsZ5drw/c5ff3u8N6k/O
CEhARsH0LlRkN691YjMb7ApRR7ufzlEWHKJe/a5DSP+qOsSbh9hl3CVfl6d2dCkXKQEq3/Lac/lo
I/pE4QC7zQk+GFP66kdSbVqvOWfn6ax8glpFPpy6wvbsh0Vi0u+mH/Mz5359QkMx/W52ymagQjhp
F+vDKR8jy5E/aB3r1+iTWfl2IlfQCS4Ech0p2VETZ476znck3q1j+xz5uhejcoK6Z11NgllWqrGb
Kx4GlwRxX+dheW1a17zID4yEgA+HqdcIYErOgOwJIClWykcaYaGDcL75UFp3xtTAmqB7JgUiOinH
+LIerF/Wvv6Oh48I+mHi6R2JRvzD4XetbYzXEWk/xHpAgW6RUvW4aedlF3tnvpY3CvnwwXKmV3OH
++sa70xCArmIFRQa2u/sx5LsCtf6Wn7A1TZ3dUtDgkp7jRJIueQJrzt2Pn6lytoOoHgOIDOzgQUU
G2hyIbUCgrVQwOdtQhVZqj9ZW43qatxo7RH5m0GCFmcb+VaBK5+bwWEtNWSH5Je2dqp6s1L0IEYx
ANiM4sFQ3Ilf7xFb0nKEOb3BuRtJQF9ZELieuHgSyCcglSusNuEbzcvKMyhOL9bqdqEIRXPZvKvV
TlO2BWjU2QX5lhmuFDnGVT1Y8Z4bupNOSUpQ4BjWFrELIIp3PmOsSPO86yDIab7K5yHWBBrY+Anz
lmEzAywkGGhD4AefFtXltwFRozk2XwQS8vWs8S0b+O2gAcgJEQeASuxCRPE0DvvJ/pAuLGH2xTAO
4kOqNoPPYZFLez5iM3Ty8Nm86L8IaIaqyZasqw4NTAmG+As1o3UzCSYGmXax4qP4ZWykx+U1uLJ/
aj8aLELFU3cjO4H/O/xB6ftenKr98Is9GTF++jeg9Ys455996cpwrd/Gl3jC2OvaF04bGJ6ljz9c
FG75Um2bZyKTCvwKH5wB2lfOZo0MBfSSxJl0bDfd+qUON+RlXNIXg1IVBLJyxF1iI6HxmrcB0Pbo
wyXqDrxfuT8Thcg5SQklbeDcm7Jzw8WAXshEy/WiMIoMsZGvLz0MD6XyDkp1ldlaJ7IpY7xXKcBN
x2QjCQTWNU4KmMFjcGDogqN3LvmmtrxGnXp8QYUnB/DlX8Nlx/RKYNToj9KXXmzopaMvIy4WRjyF
2AWnOf3EBXvbedoPJ8yDZbjlyNUdmrT1rjmiRJsO3QGgLLOuysl+zWAC3mX7lJ0Q1bK3FYFbUGwX
+/KLKLGA3RxzOhfyvfnOcTUvLoY1RHmMDyVfZc3ov5KN7uOmbU+RD+LCtLz0Pdt1wqUYYAMGD+4V
DnR6RWKVuxJaec1pB9yxkCYJXHJHi0PEDXEZY4ZDTuQtZ5ujhi0qfYFN9mOVWY+oPtzokR15cUjT
27CjyrNv/83deSxHrm3b9VcU6uMFvImQ1EiY9CSTnuwgyCoS3nt8vQbAOod16l290FVTHQSQjsxM
5Mbea805JliJ7glHhzJuTVvZN7b0LHnEuT+kW4o5eG0wzG+0fXqOPMQ+1BVc43QscHfdDZk7ksez
qW7SC+uZl9aL91Fkq+eEYSxwSsdi4P6JoiDYZVcqr9s/q1vzlfdwYaVr5rvw0KNHpi3Iu0bLOrvW
vqB6ex3QWcUyYyAt9cQr/xbjZosEhR6ePTgsy9vb5lp4qY7aXcfBs3mxis1ruG+OPoUUpgkXnxgZ
bOqM2v0dTjb6Egz6e8uz3kmvfeQS2t7k4UY6jV5xFVzVP+iowFiUz0RNWNeCYgNXVB/Kd6BlZ0ZY
9V65ih6SY7BTyR1SDgg4/WlDQuck7tLkVLb7UrzRL+rZuCse0VcywSQqmzYfTE3AmfVPlgYhBZV6
Lz0bzWG+Zkl3xRWGUghrxOgdliYYFCtwQ36sBo4JO4Urnzmlf+Bzzxz1uTrCsyjx9D9LiqsonAZk
IrV2LXlE0PX+LhR2o+TxPRHHznspkos4ngoVOyks8g0YV7/z8jNlFYg0tJ9YVUqIgt+ZVViVA1dD
vYT3cM5JifDMi7y17qTQqZCy6JtAtCGZojaO3BoD3j6UHaXbjKdoR8akaV1VVzVRTepVhWmeX+Vn
XzvKntMueJp/ZFfrMKe6wSF7pboyEPXwmqE6hnDoTjckGB6SSxAdFOmdVMfYvATDOXol4GNI4f9h
O8AIejTLjhkv4YmbboJJjfrwviNkJhA+N321NUEtxzeMP9Y0sQS7Tw793eSGP6QnjMWsCEgBfKEC
gSP6mgJIr2yk63Q/e9VFQrLEfO4SvHJdYjBQlDer97pzf13cRqDSfrQeBNjsSURHhQtKtC0+ADqr
XMoYH4l14TqsS276MJYPBDHPOpaZrcW1BaCq5EmMdi/xa2vYCRK8zXQZn33/DnIj/s92r3DGYkDV
agc1YLfxX/FRJckml9zyvXooXmFcqo9ldBvfmOXR0nbaLgZ2tOkFL3obCTlA6YNqimyhA6hWZBBc
KJ6kXekBp0NgugGPVO3EbbtnedqdowQmMqJYr/swNafFOKw5QbURcR28mHfifOXf5TsCx1+6j7bc
lMwC7nsiM9KNQsBiugmuRDd7METbv8EJage35SlDN0U8wab6VLzutaS+8TkdsjfsmqjhGxZ1SHfO
PVZhTulNesc1L7pY9nTT0y6N9u0hcqdXtXOqB0Z1YvpyXpXa2FVyrO+QJXEVUXbmI+AabHiYxB6C
N8UTPzjAkTQE+5E6MyXWEaXpJq5czBv+PY6+/KjdogfWQi9ML9mHQnZf72YfGo3c5DJbx0TyBCh/
nmJcYVoDO4EWgsviJL6qlFtS9b2fRRYn8AuD51nPnBo7WAsHE6scP72Ihe2Aq7MaZDRjtZMyBaqi
moW6a5TgH2KfshriNPU8sUB/Rq3kn2vls6l/1KFToyJH4QFLyQZj/cEcJr8mDCq60GH3AxuZcXEw
WpqbLq7j8iXumONu1A+frzE/aLDfOfUfyGrmPA7v+1P/0/gxvPpozwN7fq8I8kCESkva9j8bfQkq
3eDvMg/UkrUnvC9cs8DvSlvjMJ8nJztl24zZpTPom+EqYZpBmzdXt4WAMcuBsoio/gqDJ6wDut8/
RXTPdrStMVoe1XO1o+DH8FK5wVX6ku/jLcrA5r2DvE5Z8746Fo2dEutyjq7NbXVlmkdxO370H+YV
Z6UQ2Nn9fA7P+Q/rPrhuz7h1EEXto8f61HMW+JvqcYSOlH9K882Ev4aefYrABhYVpj1v/GGY25I2
BW5EktxMTnQMPGOUoawwA5lUlkk8zvBvKEJUWoC7Cm8N6v7jEKTScVzvkMT23GeYo0XwjG6bcrUF
vy8RVcxmfdy6tz6N6CYG8iRpGJQ76WiNkbSwL3lgYcwlke43adAicSXFohElB2WB4qCSwNPNONNW
DfYTsZbh0fJ5lUqwZD3okhOPGXN50zY0gjTDkR921hDIWkqRoxnJJbLCo66Z/G9WS+VWzUSvF7iC
zIZoIcolbLVNgLbKKDGpH8kMHnrhRXLMjEoAW+pPotsYZk0aq0gxytKocyIzctu4fZGQD7lVB+dF
Io49yvLUq2Qq7ERf+nZLYwt0cDyyEq7vmkYxyZgz32QcJkyrSyeY8OYASnbAnsqObAHMJOaForns
o0yIxvAxijytUsGfxIbkRQF+IOKGa6/SEERWoFycoira24rZkamEsP1jc1OPxG+kIxFlYjMc1Y7r
epnMFFIwYoRxehH8akY1I/nnsFFeIFRgaWZ8iDuExDni3Y0qxLf0Og9maRwNLk5+CBFUER1pThG5
VsyQcaZf0sh/VZWkOcDVoVgPg0OPGf+aWfOQrQ2wFg4yGrokOLK+vmkRFENRmimJy1niTvAkNtbE
pCJr1X0wWA/h4uiPo84LyXVqjOCEFeaZrBZ53w8CfbIWXnj8lnZ1ffAt6UPFYbChJz26/RRjX/Ij
rr/CNu7U9EU1Waz4CdHkBNQg2Zjbmizg8XYGapXn2nNGVqIA6WIU25e8mykvQ+6M/ftK+5SEEglX
kD72Ycp1tUITPdTWZ5UbR6nBjCAIPpWTnP8hmyS3GsGJw4Rj6Ts/Ca3Z79pRwd8rhp8zDG6CzTc1
5mPk1n2486nlwUR/qAzV3HUxkeZYVKh968PCWxyepuWPyTKrU2myyeIjD30E9VEvaWBh66mSJUCa
kEWyjOSdWFKejhSMsImKkT8P2w166W5+grTz1Ofhlc41tLfIWKn74qltWYytz81i7VM09wkSbBzG
rN+pp0UGdskxNa9TXcRfNon3rag+5yMA2kXRZAtkCYsVV51pth4ZlcNNZwb8B8YPyW+eyMY8hBkL
4jJniqoU7UNeYS7KVYW59mC910heIv8dic8hiWDmGwUT5hLuoaFuCkt9wSWI55iKY0KGStNG0JjR
ExDP4AFswf0W0kKJq8hwI4LWpDoL9rfhEsxUTKzoyNTYFlLEYqYRN3JlXCB6PwrxwLLJAJRviC9J
ObzHI1caM/e3k0U9KCOfI0KtKaN8Q+SoYb1+qIiR3sQKQ0oqsloOG9TfYUTSGImiCJCIETKjSt9Y
KIwPvcQFwAjuu1HF+IcmnXUpXA1wVIJ4IcwGuIlFUn1074fxm6aC5W8kYu/Mtt3LqUK+VYN0MpWh
ASk9dQsBL8ce7OwDoggoP5rhKuDHN7XfOaJCvy3oyHe3oB0N9YNUTUuZDG8RhEKEkO2tNTQN59vw
kKloMSMZw1RiTDpsWdoWfmvHA3Y/WTSCXYnqMNDJbZSKi7KwcCTCpHe1ypRWq5HA9Un3FBcp85GU
XgxjeHayqkecaw3r/vjFaC3aV7E/Xak5yq/AvO8xhs964/gyAWdmLpIHyFp6BB/qQnCYnDiZ5OuS
PqAgFr2nWxGqSkOxE4vMHxWOSGxWlBRS643URzCJYfYA8gRHKd+VYinQc8d2ttWkuiopM7St/xEu
GXJ99wSZPrabCdOdnsaxW0401kR0r01/MBv5FejDfVe2L6J+DKTyir7GrjTIEDPb5sMaadxnjSPC
zzOIR0VQSG2G5Af7tjA1ot2qO0BjV2NZb/tBp9PWisM+q+ufZXqwsHgHQcblNEcHZkYwUQWiTFnf
pC8JURcJ3d9aC89pAZiZXgITHpY408ubPlnktVRM7JuQVMOeOqkiyCfUZMDPhGWtag63kUnsZRKD
p6vh+0Fn2SkVbd+x6GyyVO6COs68tAON0CXlrmnmfatDJIpr8VjUQmHHYno79u0LwrhqU2XQEwI5
YLHMnCgDql4IAk6IjpwO5TroAetL2jWeroBvo4O2ELOUJLwIEOWIlDLUbVXjUM/keucnIrRm1sR5
EGAXxaZPQmr2UIwDN5WU1eqhP6Zh8CAao9OgYEoaTdqCxUxprQ5Uf3t52zCabXQzodzRI3mbZfIA
J30bqRDPZiymWj6/zUDKSZYR9lDWLpnJHDRtS3xnKYtovb0DQ1XawEYuHeepPakM8LK1VdQmcfCH
s26i1xqoLKt6oFwNWcBJRQBLVO4UBehzSaGPaCDJjsDfKmSw92Z0J/D+HyOK50mRPCdGEnIlBuBT
cyGTcsj4OXKrvdqLR9ESCBdTcLn3scI4VS/+vJKFvQG0lNQOsAuR0BX7GPx6N0e5LQZx5PlQDK8T
DA19bBqkyS7BMrLlIDuWPIW+DtQwFsCRzNJQn95UnN32MGapTVjxfhalXVaYezVuO9cUJGETdglU
20In12B0iPucnAHbXDLLjd2IfP+6P3tKyLpMQsSCXU64mVRCRrVSjZ0axT187sKrCiPfxoP8OVQ9
ZdyUaPv7XhA1F2axXU0xS4emOzcyQrWuD91ZzXeT2d4RM0Vds633fmfixoIPadTaZci45JZztweP
cZXwEdmRb5xK3QeIEXCxoWmVptEdNA9+MY32JI+lZotJ9pL44sNQh9MWlC6NOuvJEAMKff3okQYK
L8Jqsn0f6M8qWVJ2EwuOJkECUrPc2Eiq4fF1D14hyc9tjwRX16kJmEvNWpPT21kQjgQN3GFvUJnp
qppKOg0/40wd7s280OzAlH52WVef1bjZUscnqhRXBGCU9jZo9kVqIF6DPt7kuJiz6TMughDGUm9u
fD6hQlXdbqS+JgnM2CJ01LYOD6Ua+VUb1Q+szYvjnlMixFzvtGOjO4utMqlsuceul8vk1IldcOo7
Fgoq6ojC73o7jaO7JIs7jwYN/ikTVVBFKxtohLKZvSj1LWekozEN1DWC1jjLCjMDBrYzBlsi2a2L
7zeEVUzzvI3y/rpXPMEEeCCHnbKd61w9NNmgHta9Pw7HFE9CCI4lIFEgojPkSgpY9sEMf9+st5k1
zpJIDF6/7QLVAithwJLcrGTW5ksynjmoDo2eY7YCdG4lluz0oiAuudjtQQt7KnwhPsJAYiG7OD6Q
Ewouoipqmikrt8VI0SOV3KtUnbS0W4q46a9NN5UX4r0Nb7aIrmviichveSGNyiGO83WT5+hP2hdL
Go2D8PcmQl6gzlq1Xy0a6eLTWN0ZxNO0nqGJt9lgUhUjC+tG9Afs1qQen9IqUbdrt/vf0vbt3Fv3
fyzP+AFdo0Zm265U8e+j7Udx9ZZ9NP/lg8533v2fD/jHizb/a707+CgWRd4/Dty8jdrp0n3U0+1H
06Vf/8CvR/7f3vnfPtZXuZ/Kj//539+wbuQkzbR19KP9h8YPnKP1myLgX6gD3+u3Jnn7F0/6JQy0
kPkh7+Nnamm6iEqA1/slDpRE9T9IyQBpDmXbUEwZRcNfXHflP0RRkRnnwFyrpqpw11/iQPHfEQNK
yCH+KVZDz6uJmqQqFv5GXeNf+6dgIVU6QZz8EBRDr7YjChO8qOfVYvaH2ez/8bb15/VlVPs2rv2r
l67VEJpzUHRktEhw2wjnwMdTVDrlo/WZvYqAsDcilfBrYljTi58OxTG15s425AF5H0NMO9T34fBY
mAWhNfNguL3C0xE3v2SCvOe1SlwQaXfI8/opO6iG4UEnbjfqG7QRAnbnzagxqVP0rsdlDYxb6eft
YJX3ZPk+lx1JxnVGTrugALcI7aypuhutZFSrCxO2Xl3g/8j7cxr3jyYAyjSt9bMVU31rLWiu5QBG
TwFZHfqUkcpCdKWaFoE4EX0RZKBr9LdhqMD20UR1Ohoo5aSDYBQHEXyA8JLptPqy1pL2ncLCpVN+
ShiOsgFbLn9n0yly4qkj6i2w/GdLMFlDFWq78U2juxbJzIG6R6lGn4mcnAj8puGqOQ0h4SbSqUSl
ak7UH06iXaNr3V4V+s9BDZmBDPldQvL3puvgsPjw6D2tpSzB+opYsseAL8o1zEOiEmmCjsXcjXmf
OBLkH9rLgkbLLL/KIYJuLDDceTSmW0KkwVhaXm8yJqoEV6DECk6GZj5aQWbZkEUrt6/vc51k+8AS
iRqkFDNFIsvWIr2pwwr3ewv0Mx8AlFpPfSzdzXqheapabhsju8yl+dLjabdVAXsQmfIkO8H921g1
lSehb/ZjIsDMgB9WYQlhXv4Dmwspy6DwsHWrrzG+EccHl2mneOVJrKOqh31KFanDdURFonFjctrF
jmAE9LakK8BnwJ5H00HuQQOstEg+qOwEL/BIJ7wSrbdel3jzZShTdikAmre+I4k/ip7WS6y9CQaQ
rVTMSifSiQytE0B0/VLK5we5kRIuCx3VhzYqyusys3QnN2Mm6xLOlEhXr2dsJIdMYxWqZAg4W2Xf
RQPg38Es3EAvHgnoK3edzJSg6/sBioGw1zMF70tGIHJFtuGs3Y4T9fiAWjCAbZUQRVZbylgfWKxm
SIMGFgRdAfe18Cs700WEm3J4lQWIEOAe7CQ9BrSmQreVKuM9rbP3sOpgjeBQ61XjNm7TD1EUACJo
+y4vYQlpU3kQ1DcSVMEnNJHmkm51sgZt30zzz7gffVdpLyq+aCpEdHiS1CRoHr5ekL4mYeIShvo+
p/Ssx6reaaSib2Bkv5klaXpNy+JTUR6WXAQwtXxXAgY5l86AYL2PUnm3jK8bc1ItvjTVNvr8DO53
3LUdMUA4t4i9V3Fpjj7FTT/6hMkBek9wZyuItwW0FkLZLFvQdTzaIWkXg6t2yr2clzQhc3/HtNNe
Mzm/NginmKU9RdnUOXEk38S1fklaWg0xxSdUMzPywM4UDzpeHV+IbgwoCsOSTYULhNg/i0VUoB7G
gt+EEUOwrHOTSmd3jpXkvs26HzG/LlWYobbxjUloNTqMehmgc0klCchV5ugJjzWFsLZhbsLyxZ4a
uMgZ8fIRZhXUYUxO0UDG1CZiDHm8l59z0KvowcHTRz6nBiI9UH12AHGjSqELGEFj7IwMhaeRPJA+
vKBMSIWMLCx2hvlusGo/1Rrt+iTeiT5y3Vg3bwtAgcRYIpsZSGTUWE5sNOVaBKNB5qM+4880J1fQ
KFKrczNdon7Ir/2KiXXrlGIFMFCOX1SrP2QlDYAATjsqWJh2LYoIZrrDhpWV15gzLbr5o8y0nd53
uAsRornYRF9Ln7Jzd64nN65An8CqQOEz+fCaM+0G5WaHb96OaokUvgHtZ5NgyVXq6FaiSlRNmN/x
fmq4a4T3TjXhK5SSjHwJSGvqR5hf+o4Vg2ndEDvq9wIqhgKBdYuinlrQyKwanD5Zb9QmUXltgNfL
c9jSFFOhe8S+t/y0xrkbTvAmJjeJf8qZuPdhTdSzTBNQhzPbFcJHNfTPDEjcGvee1UmnIix+Us28
5mJwqgOTOk/IoEsF9mKRxOKCnrRIQ3Pq4TOSZQgfWU2lIST70R+4VBKB4k/doUnC+7htyh10Jadg
oUpQXPsZj+2IQMB0WtMA3qyVz8TruYkRIW0Sos6hCMdZHqcj5UfzE9wVa+ZQAwDUB/umxZaHcDgT
qE1IpCAycGm4RQUd5xwatWkMi3OoSu/DKN/W03QitQM1bD/lp973WlbjG0tOHyUiKg95ovTbNie0
Lo6mG9PPHyoxF4g6t/jtUBBAR4Y0xM9mGO+UJAZAraQywR3mhzw4Cpx6t2hHelXZhxXl4LtYyfQ4
rFB9qkcr4becm3ShB2oBfq28+ZWP9oXXDozus7QwWspqdCpa0jbRi16m7NGUA+nABchQqWkZYhq4
wH0+tXRk/aZItInk3vHDmo9JM255yW3VJQx6gG1uIrDvuE6DEyQIgbVSeBRLEgWrLFwCQpbCn7zl
wciIqwqddXs7lMwygBM4fWkZZLaBdhL5PW2qTmNhXvRX3UQbp5RI6Ost11Jlet16+ZxRQmdBn39a
KCyaQay2LVM6m6XCIolAwN40k9NkPaY26ppijT1TrXuycmUwoZIA9qWRUsesaDPoDGxBBo8yoNsD
zDGFR+LK/MMo8Pob5pG0PQHQOVZOlKTCcOw20bBrzfHNb/1xYxaN4fXK8BGwbimMXZMnllPMwosM
wBO0qNEdmSvo1ORUGpK1BdhZQgtN8bmAElC9S7Dg9rXZ7kipTU6CmNEuMq9xuiLUUjILchbNNF2Q
nC4DMaAiIp6CrMVSmW2nFrxWw5dF+a/Btq2WjjgtsguFgjKfX0zzuProOgYMwsEQkkaG5jCWTRvK
3+FVpVFg7qsKqZYixNvWyIpzG5YYY1msd7rICTSiDgEs/EHabXLCvM5YRNpb9BOyIOZ1eWJ+lQ17
Y2IJORDeTDq0P50Go1Y8U0O+oAkyPyNBJpKRFDVYsAF2a8ONYzRVKX/XGmYs3xDhPVHMZacZctB6
aoZMdRQvQqOgja0onte6REUvDm8pWSUnjSQ4r2iYMKg6jek4Zw6S7qsZ9U8V+JyeOa3AJvk5x+J7
Uxt3fggVqQR8u0k6PCDhbLpTZ2qHOkasM3F9B202PQhlFCM4QtlS+8o98SnYWYtJsktpo/n9T5W4
Vaj2mcOgTrU1ZVOjkuQahuckKo650v2QWwTAlhHhD1XarV4K91lmlhckXJGv7c1qkUzkde7Buz9X
+CjRt3Ehh4vU0yLLRb7uoDs1FPH0WKzsqjFoqFaRcCQZAR7ekF1rhAxuNQO1FfzCzK5n5vQU3fp7
YdSui7q+SijlwaVXi52YIoTHyyGLBPWFIT391m8hWBUwZOdiiVcSEDjqQtbbYknHIiwAICYhMxtF
J8M2znE5rYwjkQxDr0+qD3FJlmtiEuTWvU4erknMkiDUjUwbDQqKozFMzBY0xQ6K4UmgE7kFlnZS
tU4j2ZgfNoX73RRP3X7gskkNIaWeJVJEYJIOWC9BIGEu03bDQmWoMJWTixAFF7SZSQJRFPel5g0Y
qCCF+TsuFKe6MVrSD6Zo1/jzZYpRfIyJT+NHNA546NGDjNV8aHvjNu3L3LEoWe79uBIfs8UeJang
GqfWhagVujQL3YlWJrAr5diVY3yufPOMKKPvpOLUFLN4M1ahrUhTeOoU/aWNMBeLqu/vKBLeV80M
GbGs7jSrdGYxN3ZydtuI5nwzizPeyTmrqLFnvmtZRb6lzo++Gui/N5hzfOh04U5c5bGsLLwcGKuc
itJTK5MSVCNp7LPhapDz4jofToGPMHg2mZwSoMQ8YdnMQ/hr88dtZpL+iAJmHL5IhH1p9lwWA0Lx
aDrXf8XZ0wdysoLxDCXreNAB7h7ENEdJ/H3cY/jc6/KyfpBFNBbgEwg5CD5jcWa5Ngsd0p1lU2TB
hDyil49BpbxFrdKhjFNRIgkV7BnLypZdEfjM13FbQU5UZpciXHWQEgFdDVylcRdpSAMWvOZ6x7qJ
lAo0atDtOnUM+yMDOeIPBG7GmA2gVhacSwZjCV/Ssttn1MI6qXkKFziLmhKY+b0ZFgDMejgJwqVS
8Zd2zeJICbCW6LNPzP3yGutGZGBnAWJsv2/6+gN1hWKnDwVnXLgz66v5gohLbN39vtFSo10hi9Ax
/iZ0MtfyJ3uFddZWMO8D6ZRBtcZDuJA8rFb+a9dfWChVEo3eFArXVEt5YxAZaGo1o74dqR8kSzXM
IoiAjwssTKn0aIGlpViX5yLrjWqpyBW+Rq+uCzsnlPjo142wvEP9lFQazR7oPYx4ouUlcsy3tHxV
695IbIbkRqifuGp/EVeVBf+zsldLUevp7ozGc8cI7ioLDIgGfUnKcDcXlJ1n8hssccd1oTrAKwIm
lKd8weuxXENHY34yE2wFcGnpNLcVWQ7rnlon3Q7nhdNJQ31ols26lwJScFt5fOmXh/qi07ZZeIgk
5dfJt+5FtHU4QccczHWcJvZ6tgXMdSR3feN8ScuJSAcnNihKoxBY1FScap2l4Z0G1AZBSSJAl8Yk
mio2Wq+WKMBB7wyNfxiAnOOk5qZ5RrmLvZU1cP6gCT2KIGXBCFH0hri77K2HuVrW7qh0PzVTbD1r
ai9VS3uaugxnZrySgL52l+OJGB4nsTIJfhwKFysQOBeaZXc9Xjfr4SzAE9Tq3MqXpCTk2wuJR5y7
E4s4n1IuJ47AksEN/ew5DJfeaL28g/UNre9lvO0KKTlUCuAEMt/BoJDBioaAYQIhAeyjrU75Fpxc
AzcdZV4dWbDOTTVmKJFvNZWwDlRnCeCcoiVqbtkk/FCcuogx0C3n+rrhN/1rb9Jb3sv38Xq3uN5o
9bg2rYk18t/PA8Epzu563HZyVj//8Wpzo2T7RvwYS0jdm0rlvPvaVSsrZRTvmJssN8Y9BtSsjhjn
vx/ZN6CtxmWz7q0P7IFS2FRvJjsQOSVkpEalpme79UhcGFrrHm3NZ+rOBsY1HlUnlNpcMRDzzTCX
mlMK+SJioHu4wrXWx2gLdeuPQx0LsaUzqgwmi1SEJn+9vKIQRZuoCFnWz3b9WC2Tj389XDfD8qF/
H/7xkLCYtV2fM6LjzAbytmwUqD8Q6IJa3xkUPFlmq9l1ETJ4jlJFLlMQhLCal9HF0JDxfO3SMj9H
Rqx71nhTTFq//4IrrYPTClUy113KuJUzA6/btMVFWL9NUmA5+b53Z9ZCB7NmJR2F/RZuEoMkl3C2
hZWru0SN0Y3xXSh0adxSEJ+49AGT/vvfXw+j5RHr3roJy+plHjrFlZfxSCjBjPUMWZzDfx/7IAO2
Zids13dWLW9v3csZP8dejnaUiYGSE7379YbXO+GjIqanBgWQFG11M1H7W8YXfkBgGNfdUVAKm5p2
a3+3Ir47E/jeWIFmUdwdWgxFg9RDFq87xm02Cld9xqZldyCjHYnRnyfhck7i21l4X3xxGvU3TxrU
m9/O73WXFgGt5kEHS788rlRC9NoSsfDfv4P1zBbbBUwrKN5vJ//6mO+/UUkw4vKsDO31tigM+D3l
IzPYSDV//YPrUxq91JFm68bC7RkIQ2tCWF/xcvWLlh95uOz9cbjeoSSF8f83ZkFRdRnb59/Wyv/U
SHlo38Lfmyi/nvCriSKJFp0S4AU0RBaM8NKz+KuJItFEgZJiQSrBmC+q0Bz+aqLIhOMyizR1kj8l
S1K/CQuKQX+FDgtnuAFoAePov9NUAY36B2OBpgqIBVGB/qCosgXr4Z9NFQRsUVhM5nTWJRQRKeUG
Sp3LD/i3XR2z46LO5eT+2v3zAWq65VpKDMQA5yoDpT3fRFBAgWwX7TZH+Z3pg/XYo1byukI9BVMV
UVwXbkKDePO6M094YIcDKGfTFaT5cywoMuYEOtnSNBHYiqXLQ2ihI4ZiLQwUgpTSWp62sRFcZYwl
hyGMX5hEPYcSosHUH6JdSUmdn9mIZbervAwKgg0IAcN9pScOOQUIuaKBDPb1nYDoZH6+7lIDMOe7
dVfNKBYcTVyqDi1qMjgYq349YR3Svj6K315mfdZvn9L6qPVG0BbbqJmlbUf5i3rAOs1IKr1/Xnd9
Qt9oCoT32nLHetO6SZaZnrhMR/7VberQMmqu96Tr9HndpR3CbGZ95nq8Pv37cL3t+8+AEOM11uP/
tPtf//X1hb5fN4hKDRxyPe7pazEVMRnb171+OVz3vu9oEq4S34frXqAtXMp19/sp3y+zPmU9ZLoD
oALpiP2vHoyJe56/7vntFb9uXZ+uBcbCv1z+P3BY/VyFX//sH//T999b/8off2o9BLuEuUdWe+f7
ueWo8umvx6FvynZe9j58swVyma/baBlqB3W5hK676bK+0bOKJUsNu3659+uB+XLH90O+XmN99NeD
lru/D3+7O1kH905lSvq1uz7qj5dbD//Pd69/4rf/MmgxnoZgFBG/pyR+oS9BULheP5ZNtc51rQFN
bd1KaK3X42KZTKwPWh++Hs5CGB+G2/XW9YbvV4JQyyRzPU6Xl1/3vp+ZZwNNxe/nmEJHJxE44Ybl
07VSsihpJaC9G+17t/PRimYS65f1/jHPMMhq+EEHIUDnBRrModpNiJ4g9EzdLplG3C+Mt+bgm6yI
c4JSDSIQPKMVpt2MdaxcuZbm0u392pWW2brGp5ls0Nn9tbveGrbGUQVRvF2P1s36xPVx34e/veR6
43r3+sDv5623+XKC0wpft1cFM4X0Pive+6kKl9w2ckYRf4g5VhhdM9Aepu2ruQzi60YhFRvXyzq0
r8u8hYJmF8DXKSQT0jRY0UiD2dd3+Sw6yVRdzWp1X2jpRNegBvFoZWPGAvFUZ/D+15Wuubzvde97
s94GOIDKm4yqWVg+j7lWqO9lVczAXitPKohqrhOSvgvrStkGIaxMP2CT6lLlRbN0H2UjujUzaMSD
3/v3lq5dGvDSdlmzSmmjGg/SABdtPcywoAF6a1H4dPgsiR9i9TO0y4pKoqXc0+yD8P0rdMSoK2sb
WB3dyQoURveoKf2bYnaSB7u8OkY54WZWg0XPsiBwZ6Lie6M03/nwt/WyE3frcsoSq+agLWuqda8x
a3VnYD39WjxGNbVInYbLtFQp1lpDUxLX8FXX+L4x6smwIULDW0sN62atdXwfrnv1JCBWy9Srtfyw
bpKwbrZGLu0t8LdYYnQiuoQA5jLqf70mjkMoB34C4Ngl5oQNrByxd8j0vAGCPXydiMryzX2ffuve
eluV1hNmDkJ4SM86CkUBJHv5FZQTk2ittga8un8fr3uV3I38MasmgVJJaTL34yEpjeUbVlgG5XkI
yWU9Dk3uGiu8H8kg98iTDcoBjU83ZxLzedOZg7C2O8bD125b7ZBGyvtwnj1/qFUiKfDbBCXN7SBA
JBHm1iEpJJr5y6ZCBDBQhdK72Dy0dYOCXUHqjqgTauq6YB9npXGMgAQbIi5dhR/yiFCfGc1Omi4N
zOU7loHovJq78ZWkW/gjJmJY6DKP6U74LMJtoDgVLn4ZBoKd/IzQPt9E/bYMnmljlqNTUyvpnt0f
SnlFL1ltdqC7xdDtR9l2DfzbcG+0IMQKvMtNOyL5VryRkDarPzv/rc+Wl45rW6Fkm7vp6LSPAzU0
gXjwN2gyGATz9GCOx0X/BzmVRjzOreI5nPbZ/AFQKNbgQ1FMGaDqwYezRTIcgCsmOEh6b1AfdHCV
2l5RyN17Mj70cj9pDyAli86tpV0dnwv9MaQHhIkBuJZMb4Fco1MenmsRA+DOrJ0GSFsPwHI7w2Xo
6HUq24aPEw5Ew4CDnn4Jrq4IPN3j2FSgHn9CA94YGBOG7nlRoGM7THAUXFPAzHJvKQp3p8m8zdPt
0D1heMGBclO2P/V+W/9v9s4ryXUsy7JTqQkgDVr8EiAISifp2n9g7k9Aa43R9wJeZnl0dFaa9X9Z
RDDolCAJXNx7zt5rH8yjkTjgXs0eWxWLEqqETg6gXdBs0/RU1mYQc5M7PUrYvr54CfqDbnpNZvum
p3wOAVyCYid24Dv3cnLKGtBzdkGCOPGvPZRtuN9PkfJCnSm7TsFukpmj7sRi0/6W6Vy91S+mcBhF
D5IRIArmaw8k3DeOkHq+hhFgIT8V1i6lS/oSH+kpDA9B5EjP7TmiB7ANWjshc5PCdbuf9P2o7Mpw
jyGIxFI8c3N6RO5CGoREWdF36deZ8lc8M6VmmGQlO59EC62wA4DVrHfhfKiNa9Id4wjuEscFBXpM
F3HymzBjtTmj8pyPVPn5vnFticEu5rPpG+F3jhkXRxz5VeymY3hADxooWwgiar+by6P2m2NW1X6G
M+1esosdsz1Iv4v6lid7YqaUhdVn8z0JFEl9JIEI2A2vMvexsIUIpFS23hNJabcfRXfUMFPjNSWo
Gcn9kutg5/E56sDIEqJqG+ZRxDo/OuKpvGvCVlKfrPQwi54aOs2eHphfO6SRGgij5u0AF7I9GWgT
6SWWiNXJ8zjNybTZjh/jc1hvYk8ibEK7tfJ+wBPf9yetdafYHXd8zABFspZ6Xbsf5qOOWuFX/KGT
34qWZmh2sugM8n3ITobuik+y4KjCu5hTInmI3sgwUOYdam5JZwZuZ+8WIkoOhWCXSdcSC4kY3ecR
szFQOY7aOt6LUWkHKEhUV6U0O9nIX4bhKAfA0Te0r+rkwHVaMpNid91mzf34akkXwLEWS0+d+UCI
aR17mbWZJ1v/SUvYeqYioW2VC1pmn3Y852Z8UVR78Ver7vCOokQ3duQndLlbZuhK7eINQAMRSIB4
FR17iMOrNPhvQtuiA+dJF3Zm42xdlGO2y72iofflch6H2oDJE1/fJqBya9hsyVIhLrZ9+8zCibBt
OHlvmkKZzDPASnndHUKJsk3Irma7KFL7pKqal7rcsU3gy0wyFRWaPRvLDp7L10az1QgW9TE9ih1t
C7eQ4YTbLTbTJf15OPXDSRfd8KuLLmRGdd1e+Ez5uaoWYx7VnuiCLamWIXHZ0TPUszPV5wf1Sdi2
MwRTFxCcXH0oygNOyQ4NCbozGv4idpNqp6RnaSTWkGI4/YtNVj4TighHwSBKNL1hyRwTO7tF2C1V
1C8ImzZT6rVX6xUlkgWPzjimqjd6eJEf6YCXuKJu8xH9PkX08dWC1T7tiJQE84AcGRbALDj44pUD
opAI43tveU3KuQ4iGynRDj4XgVkwR9+JLqIGjnp+UufDNN3wOybNJyk9mKIwTgIBVkigwGDWb7TY
DUBzzRu1eHzqwqdpPpjIaNaE20OX0kTe5RCN4t/D9N6rC6p9xpb3mmFB6duzHDz02BZBzvSiq9AV
THepecfrTxZc4p/00esZWaJDKTpR9TmUJ0mACoIScUs0HMHlFXbWcQOBgLR50BT0gmeu05n+aX6y
lQ/hW6QeefXkyIImxBDcb0i4CZ+Qru+GO0AJSXZmMG44B0goYp3tKBUOrU37JWEv2eHVBQz4hMMJ
QMEBudQG2LPNof6D9mr5ij1Gvybbeq/eFEjIbozxdbrq9Vb58L02BudiG1v2NGObUPT8iUssfgme
YpQBj8ZliLdsOaAG9OSvo+XQ1LOaTfCsAg0pPch651/1K6YR7RIjUgsw95BcYwvssfwhbEl33Gh3
TJe272U23+kGPcsmdLX7j82vctv9aFzd2Yc4nK7KhZynK84nbMbJMzHmHDH5a/wKW4LmcP2q3Xuw
GAZaKmeECvGEhJP/h+mZhw4FIO293jp4kArHv5J01MsA1l2SidvGhqcB1BBfbzDaOAmZQhVO2xPs
vt1DjspCDxRf8dHsyodoi2tXFHdBc2e5BOrSp1tTu1AJD6CLbfwTtIdr1e3zy3xQ0GRIzpe1IRvR
i+UthGrplUhrB6ttYCunaRt4BmKUi/BDfJEKZkSb5hMgwBY5603zspv4HICDwB4BHAM/uQ/9ud0U
z8UOq2O2i27mO9ox7pNe8RWSjjx/GWw16R+LDz0s9qDKwQgi2cPtwj67iZ3o1iQbhJkGX/srzBf2
M24Qn6UnmaCgR/mluUAZcPsr0VeoF67JERu7w87uwvxS+dKgYSin5tJf8UTsPnCHIHw5VRc0C2hi
PJj2JxLozxzeKG7wT82nkQzWp9bnnLFxZyYIU/7II0BUYAqeT5obvmNKQ1D1CUv/4B8+ms/xlF3g
Lhcbc8fs4yQf8lMoYwhA12LTl9qCKtsQZLuJz76NU9DJneKcupYr2/G13VPbxXB+KZ+Et+g+Ot1n
/GRt4idjI/6uXoZtudc2pYPWt30PXnXiHR3rCbmwbjAEOFxCl64dya2/2ldGMnYdvmHsVnhlmCCi
1AyWMXy4zvf6ZIZ2uU8ugqc5xkl7Kh3DAdCxs65g5V3jHXCo0DrhWa/t+R0+vA1Uz2aEEkla3oBi
UbzCNjm5vGd8ql2wY1KyT4/sDi/xU3saficXc9efqk8Y0wWVrzfx91t2ie60kX6H7/nPzBP5Jhhj
tKN27BDy2ggFGT8fOyAzNiZ68Tm66dhjGFs2ADi4fBJ/0cgXUKbY07MENWbzZH11Hy1O521yrG6Z
Z36qz/X7dGEgZIBUP+v3+IdqDxeIJONjckyO8jMs8mt1U58RWNp8qTv5zKUNxZA3+CoTm9HHbWxY
IXBvToaHd+QQvi07nSe8IgZmeOtY04J8/UBLDEpgg26VLclukpc/cEo8VL/YV4vnNN/s52PsNs/z
MWCMaV+LZFucOTslv9b9vn2NH0I84pxdOIqc8ZjxewHpbDetflBw0xQ2hhXIxxzP0a92dtpX7uNg
WtRp0tFkjcJXg0mMExZfkwCnfYNi9Ct+FHyUzliu6FO7OH5V/DoY9yEzPQtf4plxWbc1d9xD8eFo
ueKX8cb9yA8yXcaf9Tu+/GajuOzv+dPAlPxHQCqRXbwIDwTQuYG3BCTEkofmSHwZlLdkhyF+H+3H
LefingSgrXIQzsqZrOKtcc9+YT4HexVaP1GJ4RrM0EfSWUpeTSxulhvewDDujIf51E235FwfmVJo
Y8KxIr4XNpE7nn/9Fd0GvurRzjDpz87AVBnIQ3SbX8d1AFxHiYV8wIkINNJz8QvEAoMKtKkvKAP8
C+GhYPzgNPg1nHUGghcShp1xD6XM/GwfqoP1laVbgci2O7gB85Nr9Xv4pp36B31ctnomCchu7j3E
ldrmd+8fjVfxuX4AXZHAzbkt84MP6av6YBNj9M2aU/3qp9P8ygmx/0LXwuYJ+TIYM7AxRRjOIN4c
5KAbGbfkYdp+kUVIXtBmvAPScoINXUw7tINt/cBYymnyY87Ow7RrntMHhrz0YTjzvSaeaFdbAa8+
CA8SVTlCmQLZ0oe4T+uNfrK2JF7y+5fcWG7hQXgjw42+sx7ImrgUXts62lPwWrsEP1CvAsbDwRt4
X6FTbjVkBpzTxpt+IiCOEx5cRfbUaovkneNldFmNvVaccb6MnzP6Qlv7Kb1rMA6IaXatS/5aHvV9
ewwhst7leItDoYu3nNLkK9NB6jDstM+jpzA81/vBrh3hKD0CSNgxQ+WVd1fT0e7MKYZfpMRWH9Bj
j8WOHMxfIORmL/NwYNuSF7vxY3TDBXvM3eEOGNKWXmV2AVhSgiM/9xyZN45Z/2Xx64N9+aVETh5t
xZfpc/osr/VTcs8u7SlnFDR+WA/hk/EICBTIwt4/6LvsQvjvlhSI9y9E8Pfx2HM4K97yjz5uwgEE
g62/yJ/pVUB7XW6G1KuaTdvbwpsI1RSwCVMo3MSbNzM8c6YRXxr/ZLYu8+ID3qhttMNbWe5ZL9xi
V7owzWSvJf6XfGHS3zcFAeRPwUHdW7OTx64M1sv4JU4RDPlbok/8inPrGE/tE6rC4KCzH0HefCru
1isb8RXsmODH6GhX6QDRLcx4ZUNZ4lGYeS16E2G1nQxkLBXLxZ/bcPzh2NGpFdA8WAUN67VV1bBe
Wy8mU+rcYohvrEKo4H4rbP6d6iaYBnMjD4pqr1WodXtMMT10IXqpwZAek2Ee92EwbCrEv3uF0F2p
bQC74alDEHVshI+eYo40L/j3fkvUY+RNIiQ1k6N62fJIGDxs2ujexOBBpia/q5d8uvWCpYtO2Og+
wCb+R76yXgPnACqeCGV5pMHQxEtVX1q6zxSAkEWsV5NWjDgLDAyXaVPs8xBrdmRSwQS/YtbZdg4U
KiQE4xRzBdYuV1jwzjH9pEmprgSjwnzQqThIy03jItMKib9x2in5klqd6gs4gDhkRl2OAQ2qcVwm
5ZmNDeA8lTrToGWLEfHSERBj0bC1hKwuAoCQlc6QlhWFAbcSHqjRejUICgZOtkkJcF9rxevYw9RD
aptB71p6KWts13q1G6HIFBHQx2wt6a413rWuu14z1mbdUFXHDK3YLl7kO+vFt3rn+7ZS6CKvDgM3
yIlnR2KOYGdV86w6nfXP9UIsKVz1AyuwtQ66XpTEJMrb9Sq5NLe2y3p3rcv+qdXKM910uYq4JEFK
8EiVXtLh0bqMS2V4+u9rCBcI5lpuWy/+9uf6uPVpyZpQRbTBh2QC0NObX4nY/BJH06a3ygCQQDoT
RM4zrVQQMybLB6u+4GPmc5H1+c/4tEoCCBYX84VwuaGDkC13JHH9acUvXam1q18u1xLTOs55COtq
RkYh6nCM/IoqY0bqUX+UlO6hA+bqEutUEf6MQKeiqk6NVH8xZLPb//lrvcMS8SCj5EPssj5kvXF9
3p+/16s9bK/cKI/KTM1VY8CXa4rIbVBTP260JQftz/X15vUip1d5SJeL7z+/760QPI0EQIPr+9cj
1jv/vIoCyQPH0X/fpQ/5zeyArRQVlIBejCQbKaV2jiy6oPAMpoQqAwmKo4oSWsJX7Rfs24Lay1ss
n+9FqhGpYqn77/vWa8Gi7jDnJd97fYKiV424Xe9aLypZ4EdTAT5sCmTpzvqg9UlUrwEQSGsbcXm/
0Uh55J+X+r71z9/rE9anri8aG4j+/7KVf9mI9f7vp38/58/Lf7/9nxcetSAndr5//NtT1ldEJl1j
pKOm/f0y34/7+5b95e91I/7+Vt9/V1oCSduK6Twv39v6kn+u/v3T/fmg6zP97+/4L+/05+r6gD8f
0OpYZ+opVdv1xvUF/8fvZH1nXE//+vH+8r1+f86/fZj1Zf+fLfh+i/mDgJ0lW/O9WfViy+C/iozW
i7/d9rc//91DKP9T11o9l98vI61Nq++Hr9e+H7O+7B+z5vdjvu/+d7f9/W3Wl/jby/55jKHAo6bf
hiyV7qe59mIDHC6AReM/EYfdcr5d710TD7//NNYOJ+rKf2YhmmsXdb3/z9X18QW1JtnUut2/e4n1
EevF98v8eZfvrfkfn/e9Jf/5ZdbHfT9kfb3v28alC/a/7u3/7N5WiGT5T6KjC73Z8L/sz7pIo/z/
9nD/eeq/wl20f6iarMM0ou1LevVCsP+n/MhU/6HIS+qLKKn/Mmr/U36k6P/QSFFSmC6gAeRpPOuf
Hm5F+QeebnKtZJJhRIxR/18BL4okLwEjf00+QtzERMfCSy6bkqgYizzpL8lBBhL/rE6b2IuwoO/0
sXzWTGL5sPHiQpW7W6wY4S2Ih0OeSelObInqU0pRueddBmwnm7uDBhokGXL9Tt/f2pJunNNIFvLT
MCEURt6sXalYmrg0rnrHPCfI48dCoOKZRnQEmiXWW6nPFtEgSSTOH35HdAzwkeoit3l5TGbyYYK4
mWBlSMatsmaQf5pPWgPlzIS2gz1JvnI3ZWFyW1mSj1oRWUe9bztXqsiRk8OKUOmRHlAxNeOP1hLO
oSkJbLmeHtVcT7159LNdT1jXm1jXjt9E43tklojuWwrDNfCdONOL12mSR/gNRg9AhZNhFnTP40TT
IxQI+OrauX2GE9JxEiURvDRZH2D/CZ9JRHYyjUowMuMjgxJFlRsGenXfm9WnZVi0EomslqoxdbNI
M08xlutd3QnuQJWqQICoKNEreuuR4jPkzDnrT1Z26s1kOjaYqH2+rBexxeZS6so+tuanYvHrChq0
TF1Xfwms84uCtxObGVvbzFozSUcWCfSkwxIe7DzcO0Bh4OQeB0MmGk3N3FyUGldQm2InFKe46awX
8RjfRAtERNDBmxyywc1GVhFTFg/wVLvCs+hG4HJphgams8QSmaCsqzr297zupUvWxSM0nTTcgc6c
Zf0kQCxBKFqB/8WC3tYiZZPWlMGeMT3v1Dp+AbXiqNGcXwUTDKhaSQV6sp8cR9TS44yW/6SLD5EF
jMwvlKcmQdC9NZrtaIbNgylnMqoyn5CBsockpcnjrpRb+Cr8OG5rYToSp4XIJOK6HyvK0HFCQlo2
0UCP6bu0CWQPodTCo0TCeNGIX+hqJ2/ClHEThQOxYMpeknOLKHGL4FVe1MbfqWxbUQ8Oiky3GFhW
6vRKJLgCHkRYuyYWemhkV4VJ/Mbqs8b2FdC5igjkdbkw5vYIsC3ywkUEISYgehIkVlajHDIfGZFh
3Untks9mNMpnRSFzl75vAoMlfkyi0o3Ysw6mT9LBEE8AGn1shArNt8rUb6OCCVYKQUbrTRXZdUaj
k80gg1UkbyKoGlrX6jRe4wAwbCYYwEPoX4AIBHxWRAbAHqFz2mJ6ySf6dj1fOYnHc4UNeflNWV7G
fjyj8VOKjTKx5DKgNkpl3G2ehjHvjmMdfrGoS/d1hflaww2Nzj11ChEXoVkJu5k5nDfN9yFqj1VV
GldDzHIq5svHn9D45kpRe6NQUblTTThYy85aYsRyihwcViOVsPT6xCSHO3kVQ7W+WnS89CA5RL6i
0JMxX0LBp79JPx9qFOHSelC8ZQXYyrqBJs8IfObYedXaADgloDJXSufbPMrTXjQ0du4oPuZ+Gbo4
LcJtmBepQ4C8DlQAa3AcA1DuREDD4pSajp8mHGgqw0RdlEC901G+KFFUYcIOd3Gdf6h46B1oE/EB
d1ozPguI7Vs16s6FjOx/qmsi4ynwCKLSEuIbASwjlCkf8/LBwOpoSCD7mmHsWdBab6bVRoQiGhlW
iOxd8n2a1pifKlMo3qMY6jCQ465SyjNWx/yiA1S4l5GU2alRhkiqyIeoTBoaKnQRTEYayCsh6x5a
o5ZvaiI+yFWbP5jwpuY5oY5XwCwzA72/VFRbMhPrPkQ/mg3aPijpA9Hz35pZaW6pwvdxvId5pLGS
TaI9S2jiQRF/bsnEjHZRCGkrkoXYi0vhi/CB4TH25QcWL64akhyrixQW47QutpyHipNeK7d86l7F
iZFf+iUaIUQ19v5tKEbipVkSd3MT1nQw9h3Kohl4YIf6POpV/1A3VLQr4zOIfOtF8Sf/otYSngPq
FWPpDwuBsAUcnI0nHdqHy1LLQhAQI1QVx+scmsUHqg71wVCE58XRltV691wY20b2VXpNULRlicKQ
2Ha/Y+z3QN5kgjuaIjxpOdoJAdealyXqdKxMcNuR9BhEo3A0/dBBHJo81dMPdIkPXSibz7EgvGWY
XMvSiJ0ZnCb+IbzeMgEEtqzx1WYZsnEG7xrRO9KLicbfPEwfs5h/TDqP7MmodDvUVeSn0PgPgqmh
OtFGNOHmxGl9q75ZAsHkys+gCK2XKqggf4oBObZpSYHDDEFZJ0RuTPRKxKTa5TX/5bFwzkJiukYF
AEVp4RqDjOVFVf7mh1plD0mGriuBPd6bc0Y9BQNs75edqxO7vtNhNELCLJ6Akyl23mQjjP4C6q4C
el7CdWnUBh33XhOh7IHXLaBH7sxZH7ZY0jB14dN0TNzfeETz4DIIFuzvQv+QJSicvS4/D1IxHqJY
us5RFtBr07W7yj4UDIOrFxLJzT4mfUimVGCzoHTkFJQCkbC/5Wn6RHssvUzSUexz62VKhzsTo0/q
DDke/sZCKNM8B70VlptW7JrTDB6hTGjBqtNwKIThrWywKSsIgKqysBurTM6yKh3/nEgMsLKhCdF+
ig2ynipUSXXDObHrWpk5QCs5SU1kW6g22dWC+LKZ5U+5ErVbQlQqZeZKOcmJErlxxZk6VCmaq01O
bartaJhLYfFURDEwc5PTeifXCj2LqfZSpSmOtazEewyEEp2V6SAimvM43GlNDj/09J76s3+sRp9G
pwRzs64S6Z6kgWO0vXVUqgLaX20dGo3akwEhr1PFe9texqaEzitFh3oqin2ZtMoGwsAR6AZNjFDH
1d2Uza2xfHLHff9U+BgWwyRLdk3dUPHOw4OOLs6OSxzyFAd/VXPFrEDIQ3AbtwomyLYMmvEeiN1j
2wjaUw07O21BYhMzIrpmG+wEA4Z4Fn+kCsB7s51+1qKGGd/yiZ5uJTuMzPg8zriq26Yu2Z4Eexll
zW7TmynJ0sni6w6yj0HVTVemjlwOAH71RBYv0DQReZQ1rPhpFF1+aWVrBu8mOYcMjUXXwBURAsQs
MSkIgLr7wuweeuzSoRmT6jpVkucPSHKbWlMd1azMTd3L4UnXil9dPSJBApsOtpTKkarCtxzM+qoI
wutQhATpVo+tIRSPC9mZaUQi0pyYpTuB4ZIrViQKDEmXv/UVtDWGNmG+Slryw4iZdqhyA3y8NM4m
80I4c3AaQ2q1G8N6z7W7EKrDAxJ+qJtht8sINDQh24hS3NzwOpDbjB7WTKGwsoI5wYhvwY4dQRH+
VjQlPCEwhmkdzJwUjEgBS06PM0ave2zJvu0if9rmEkaXto7ba8ZUa1QHCN1xd2XOCv2ZbxH8y4h4
Qg1SL1Tg9YkCfv9eCSQ3NfSXTEYnAWVHBO2H7F82Eg1aptgeEy0F6ltEtpoWxMOY07PadIhYZP/J
EOrIaysx2mnx8BAyd9vk9bzPy4488ZZjntAdmB/CE44h2TfrN6MqeQWn7OPqoSR/QQmGmyVHFUHm
B4lYWk/EIuxY0iQeNDKDlhl2FcNPZiIzO3VNEo+PZOmeqeVLiP876bRyb/YZ585yviewTMUonM5F
VNMEHilKBrndKZG0b0ZV2UNU3Fq6iRkdVBtQd1Q/PUJ0wOH5z3yJZPIFJTol+ZSiPF9yG1pDvUDN
7Tjb6fOOVRe6W0EBYBkKhgumBJ7FckZpkv41q2N1v06G2F54UKOJZKh8bKKuXFYB8gMueLqVs3Uy
ElC1XUqNu5bLR2NEZRBJUexWYXpLMjU+cz9qX1OiAV6ktpDImU0MVL2Vhh4+B6Br8m2YlA3GMJ5i
HE18JTJRKW1sHcUh+8CyiNJCyNNT1cUVofOocgwhAisw5NucNdHWMqYSpmI1bS3ZUrxujOmt9yRq
VAFvNabaY62QC6kXQPVEzpZbbfK3tJ2K4a5Yk3SpDVZPy51Rb4ZsVrmZs3La5T45HpaWEVsucOwy
HKO+bfdFAPdj6qH5A5q2wFcjZ43kKmVWiRxSYeLbRcypET/bZpQV3pixV1YCMil8tZ7Rksdi1SRY
WHRYJbHfmpMJ3KujX8IMC1QCkEWNDpY6/jbM0nQagtOdtE1+kOzGAamUPXIxaMJxQtRArhLuE6B9
dYa5pjVlod3kdN+DOs4OqdXv5QCjJDQ5kjlKCdVgUYU+Ll6ZXSDEC5gG8VucmAFJ1yYB9MswwE+3
bdKXWK/mh2aW0RXOZr1vq8SewyBmBTUMnl5LqiPLwcWilfIklfmbhQgO9oflIe3uadAw1vsQVY7q
OD5mIjLPohVpM/qIiFSmK+3IgkVMS8PLuuhpbmgzw/EoXFAJ9H4tcFXGY6k3S8A93o4y6TJO4HTL
et2vCfsQemI0JyIfKwBXLaHoaQNXxVp2yxr0kTQoOO2T5FxO5WsUkk6D5KyDSKxExzKf3qGMIOdU
p+IYF77ums0YUzbw+UGj5K2zTBV1l46zF3CE25v6WZMFdP4DrXr0zITFwd0+qGNyzGW12ksVTVSz
7rejj/CtCGio5xHkqRHnP+fVho5xXyT8SM664I7MiS5/mz1OU8I33i9CTFQ6sDLibRj0Pyat5OcG
SQaF3Dy1LD7tsFH5cFkFxXpJURYHDrUowwk5TELg1pVBOypBhpXAsHSKMFPcSTYbO6wRyTZl7qkS
ArXIEA0vKWUmdpJ+TqSoOAsqajaD2YoaIdyT1C5ACKb9iBBL+2JVbOUhkHeT39L73VlSE+zChNN9
y7jt+mr1CSrrx8LFZd3pzc1oncue1JEizy1IDMK+HJPGq8dYcTpDGe+SPOr8hhN4l7JhWd4yCJe4
aXN59s+j33+wcuUBae8fZrNFaECuQSlr7bUurnk07DiLtw8+56OdSikHuTDfC0WrXQetfk6t0zyQ
iNWSa7/RtDZ1xTqRHDFAG4Zo7pcZk/Y2ViOg95JFWDyZp1QWpCc90JVTZM7pLjJKdD6sTTl75PfQ
r/eKJrcPGGlQSLVYOnQzcSwTcXGdX8ZCVk/yYKT7KPcbgDu5QNXeaJA1Eci+lSxOfkWTRbvMBygj
qKSRJlBBickCyCa2pStYSL6z0H+hubjrxDJxgxiAnaQw2ylyNJUWAicLsRWQfGI6hHbXWam8KVPI
Mjjmid6YTNrYigw+YDkFjrUskvweP+t1O54AoIz9lHjzVF/BvU/HLIVME/vNkw5HplFIPA2BYrHu
2MVtbl7bUbxDXlvqOS/JyKRLxKa47wI4JGabMaiGgHesOKleC1rfkk9qeheRWAyogFiJgfGllnvU
MDF0i3DYC7N5k7AjXAvzo28g4YpDcS2lzJWaFg36nGmIq3VzLymk63XqkRhCwZvyaYAOpo8uiDrG
d1WwOIyj/SSdO5bDhH8Mb2krNC+VOVMwyL9aQYge1TR68+M+OwZ++LGesWKsCH5D3J0kVbkL1Oe5
pxAzg4l9DBPGF6VWzomMtiPs2n7HICfvGVaYssPoblNU8UD9J8MZFNIAi3oiSISGahb18sMgqhBk
G2TCBTt56w4itAG9aDzTkqSneUpIs4uBycKoXs7VF3n5tNiPRVbNarS34qHdKaAL9tG0M0bme8Eg
Td7gt3BzA6ZzVQzQLJGC3/pskMmQ6p6oCM19ZAooT3cYeuV7TMi62cbUjpQkcM0xpTalFkctj3/H
ai2etVDbalmIIokS7z6WyG2yRpkiRiMCqCdvsCNRDYhto6OL8ZFthAOhutGcHKNRyQHhW2TFjJVx
zotC8CqzeyxgMqM+TpCIZ/DsZCXf9aHlU0QEfkfoYHROB03elSkN72AaJ5vwSPWrA/9cqftSG5o3
qbE2qkRVc8NI/qBmY+ilsc8Un3wgsxCss1j8NMd2N47VZNdNazqhaOHs5Nsyqc/YTPYQ1nB2uzaZ
hDQjiQDJsZphZjNcqw9TnQt3UOrKwXaEndQvTlkmaPcwDPE8i69h3yofgUBojdAdI0U7WJLuw0Yx
giM0mwMfZnjQG/KFJLneqbFJDlLEOM9ZXHCI4aYYk8E1iiFblZHRXxaHeJwOVHMBtT/mXbWzZmI9
Gq0cYb+wzxZLsVYZmrsW1RQzQSUypw2N7QykAaBxvtC58pcmuY06crdY03/ISjgcesHIH1QVEXg3
PEVBYjyowz6ghn6yOC/L0kCqZjNmdqNPLG0sNd/MkIBYiI/xNjNNf0fhnCpWbvAmMQTR0RcGOxgI
OMD2RiNeYG6dd1Pg5omPVLEf/I3cNoGrlT0ZJEvFop875J6Dke2EiFY7Bf122wdCRnxpnbhlhAfC
4FCfC2rlRhZeC2G6Fwqr8VRXL93Y9S803Oc95+fLoJo/eg2IehJLFlGVVAhGahOmegXxDuhDEqyl
5IzKLtP3QicGIN386jFEISowuTsPQfLapCx7GS6JoaTOcKM+YhcjWjxUJ9l+ZK5HWR+1DTx5L08G
TFAosydpQt274O2iKtuZg/wuUzXfxJ2+hcwbvWKG98ykfqm0H30/E/Y3V6bTiyIoRQs8zFL+MANm
zuFo7Q09qWCjVOQ6DExsmzy9xWPxqM+tsWP2Ne7TSb0w1Qn2gZiEngWwCSVW0Zyg+Qt2WsAJ9yuZ
iG5BBqjeSQcNagq1YPBAfh/XHurv2jRy5kecK2KZXkSTN199SVLdUCI76ifpCtAlc00BfKQgb8I5
CeAQFQfOOBPTYYZkeTGEgpGbvBQRFaT4dA+eG+WbQbAzeZrGYl2DoDZ2qJWbmLJxkt4FMheUxBoB
+HBBbnpEaTBLSNFdUCJAkh5FSihu6/sfQjVCeioYJiEqEXeBVwTHWe8KPEjIY/FgdqE3ZaZo1xWJ
WA0eN2YgCgYkkAlGoxLe05EG3JD94WlLtEW7gNEaksPBSsibaKHlzTqiioBZ9RiarhZbE2Uj5M4K
aShdEAyHsV2CBKya2m2dbIw6vLKscOpKE3aLT04MLM0VY/3SdITgDTMaUV9mwZvifhQyOHrrdia9
PvN5NdbYaYvnBxmRYBXPRlcQgguMeqx0JyXaxGNKzeC6wLakSCucQFRC+8fKm1mpRvAShl02Jftv
RUzAdB1igrifKoqDw0DMThZseyCqrtYnr0WdwkIswIw0Ac4k8D/5AptQtPS3UXTztguIA6DQbFCn
ydHttiQAJhOkkbH6McIqbGgcFUJyimvrffbfVrmXPBuqR84urDZciSvuJUggtwbhRKTZYh0XBZP4
vWzsnG+RFyVfdKj0XxzBmvqDqhXJDhz6aUUHTSNQtCIkvT20ajeQk0eDeZDNdA+66rT0JVQo4aJp
B/+HsjNbbpy5svWrOM49+iCBxBTRxxecB1GkKImS6gahKpUwz2Pi6fuDysf+XXbb3Y6wQvpLlEQQ
zMy991rfwpNL0dBTEQrBK50n11zVhA1EObzeCBQYGBq6g8UGgkd9mLIM1xemKI66JrQgjM7wx/FT
jAYMmQjr+0bLve9BlX4Uctq2pfM0xelPX9c2GGADhjcMMtglbe6VvdLC5iBMCPFGqN++CFmGJHZQ
9eqbFdKkLL0Vp8B024zapRldsVcAOMmpFjRuMu2gdFT0fjCi/YFuc6jyZ332DHY6Hocv0Zc7Xrhz
2QIL6/QleCO0NdvIxj8WA0BlEZfTlv4EN08Q3HqEMM/F1OIbSJydxSKwdypwCEGJ0Wsq1bOXmubq
a0YyNUV9xBTL77q/E5HS7zW3S97col3FGqcPiwTaQymsp1AbjY2uObOvV92MYbTXetRqi9G1gO65
wTbRBtbsLpCvysZvKPRDIHxCOhK63HSslL4sGZ9Qy6BHlyF65yYj1UxYY7aGkUveFX36GekwzB9U
U9YbSs3rr/vSGFtWUNNbaNJ+llEPldR5yrwPq73VUXjVFGieqaveHY/0nromlTDP7bObwZWduuRz
1NVKei2uDg3xuubpCO+ku6ctjGewaSGpJH7LXEeauzJ3jIPGg0MD55pseI3tvHXmzXhpRgWHoi84
jKSHuLExjNo/OKbAsViTXC6wL8m7IZXX2aabzpwZTXrvrlF+06OeN29+7BMOwPbj2FymYPwmPdBH
mlNS4Az9q5ZjWfrhAggG6wUk9E5vICH33VxUG8+13jxKxz5oA20Z1V9Lt1sBr1+FbAlLn16Q3RES
I4ivrzLvOUH14Gvuc8i3HpxQrAczTnZfej0YvcNumLQlsNqgqsw9043ukIUGlxjCGk06cE7bjhPv
RIesqrZhTkebIfPSbiNyQe6GlnKwErMMWxUPbjIKHM92AMzQADBJwaovsmQTToQfD2CH6b4H18So
6EbkAvRGk9xLVMq4c3oVPQa0nzi+kATgse0EJjiY0OwZHU+ePrc0dEhCALOVTZh2N3588a3yXRm2
KxfJGOtPzrMPicFUUJzqSeLkJl40oCASdjvsTJUuO3IGdn/Tm+qxPHRVOdJFM7SdAzQsMFIgiV6+
6wf27bIidJd77SMLtWZtBBNn5swYKPJpfdEfAGMcU1R63imynVcOxDgB/Or8JW3tvvzVoyV2QR3o
2y+MGETBNyYTlBixGy0tNZv1fD0+MkMJ1k2BBwkknzx4ZZVtJqUDdCWgnPMkPbwOW41ZoEgKfXR+
HKtHR+KUGMeXTJCjaLrqVs4P82d/ulvx6jTaAycEjICpf9ZZf762u68PACm7g4ywZcaWeyGViri2
kOfnY5b6Ano1ZvpYWRDsAt/kQFyEYtXLYM1aV1GrGNSFaX8omFDPf23lc93DYA59zLMzqgX41j6H
PljP97rOj/ACQGfduWynZGsnvNGTQr27A0HBEXO0ds6o/9ql57/867Mhfe8jH7Ndg0sZ4sorA0xi
cvPsNj6YxNTZ6L7KEran4uBbcpyhPevCHp7NXRVB97JfxJlzZb+Cbt5WV6+IJcxuZLtwmRgCCAGD
OHNO3ihGUK/9i+EQxBugxo+I01hqcCSo8QxCQjzz+y9j/dozWZ7NnKEa2JqVxvH0l8Pbh3+9ryFa
S0OYWxSpN8tiz2A5x/3jJ/TjPVI76lQiPC8ruU5dNybHB89I6vlsXanCa6f13iEVxifUwL206GPi
Ct9+bd40sLAiNu+mrj3JaDyH853imjgJA3tXCXlt0OEQbe2QGN4mMA9ZA5ZOr84dMHUSGzejbjOc
LO2tNKub6uOA2xucZzseTTpCR4kXXJm1vJp1VjGRwLWR2eMdryTaZm94CvrhzMn2gWrNXbkWkYnA
0zW8lPmnJVggqJVXni4xwU3pi8s7qeqAwPq9Og2y3LUvid4Z+6lRDhQ0k1cu6PO11H82kBLWY0Fk
DCudv416mnkDgZ01JeAicZv6TEe09iNKlsbd+UaOryMtx8PQjds0Re7pzI0505lDgp+qWCNiOwwf
WCd82oq0MSwm2zAmRClYGQURLl09+OsG12TcOu6C5m12KTKiRjVb29Zm5W+tpEl3gYgcgleUXBqa
tukyS9/rbrPJg4Z2Qea+RdA09rrgEOOoc89I5FhHLt0EFDfw4s9tgAiAg0lad+9+nH/XeYnJN1Kk
PImuWaHfMBdDX33LbeObBhnfbK2jXppYHuLvuUDCUqgWtYCrIc63klkxQuZ4TmW9zAHLaP21MAbC
aAiYIxAr9vR+IyPTWLM/4lxKRsDOyulXnJxv3iDVTnQfutB2jTB8hO8z8pX4NU9YlxjWxap1knor
MgfHbYUDjIHtrlHdLul9cRgswjB90oVksLeoJZe1TcKfV3zWhZ++ekRHloTxGE2YfCO/2UuDZcwJ
cjfIXJKGa/30ysZexw3s8pbMXj/zjxEIQmITUET3ETL8RhRrnkCw0QFPL6WVLGguGysGoKRvek6+
kKM+Lnxp37gJCAemIRQ2JSbBWRiANNqaJ/O+l52jIQ12RnvVe6Q7GinkKok44EmcfXSddaJMZ/Q/
45QfBD94K50vhtgh2TNQ27SF3ND7mDMTvbY3WjDwBs/2ZI4MTIiw7/hqCOg0PdZ1jAlJxxSNkqG5
7+L+EjjNpoQ1nHnig/a9dUGijNG/OrWTaFd9UEKojWjXdbMVNk3PggLbymx71QTBlgUq3rkFuUeU
0q9Zty9T/cOvwVgE5hhvIw8uNcOvcutb+danMcRqxSkFO3E6nVzCtX3P6UE1qeM4wtSQDjFMNZFb
SKCxhkhkY4YsVkXt5yvLBQwFTLvdGabzsz9BqYvo/9WZ3y+UlIKkiJhh+bQiJJ0B2saP5TejfjId
s953AxqFaIzlPL9C+YP6Y603NkZlmlyFicwlyR8QV7gYuNOagTIShswFvaexHWFHMyQVlEWwCFMZ
yviOoWOrBuaNeP+SXB5H4AZf0M8igpeVBkdbL16d0V5ldocr0V44FSE9nKmxLTPGpWfBoqF9Becl
2XdvAAqiz3+YBWp8UUFCN3JfEqZWVcsoND5c+sEVuBBrzNdBmDylZSWOCr+uWWnUd4CtF5XGIZlt
zkEygxwMl4tN1mRcd2RJV1eqPDZpPa2WJZF/QqpVGnVqL1N0QHUj1hYmxjAbMDRO2UNGo2BlRv13
MrAep7bul7T5V2UZ7/2z7ZoZTVPGRvQdl6nX7fWa/CjA0YeiMda20hPSE3L8wamxif2B6aE1R+Sa
zWZMuHYEI12JlvKWIXdHmVgHBqMpETPlNpaa2Poi34O1LqHSG8kqcAy1CBrxg9GvCSDGwaEaZzRi
jPGix3G2Gq9UOPXBisAz+Ea0IU/rWxXhyCOZoqXpRbpmcQoAzjC/kd/TAUSuOzj6pot4n2dF/4b4
B8BL6xDBm2JEiIW2JbBi7fKQTeqO1zofO056IzKk+acMti6JGCtptaFyagnTohW0j02tfLCz/BKn
rYdLwbJX0lefBYExOzO3TybZhgtKiIaDY7MyjZCNlyiWDUjlMwT4he+3kth34zFL+7sgd8XClH21
yLlby6ocVrpWMGhmbrEKCBOoaaSQa5mtAy14q42HvM2n5xlYwB0lB47Wg2FgqYmLctk47EVWptPr
dQZ9MereHboxc8VMfFxjrFn0uf2ap6pbuk2H0GV8DAjP3OgWYQNjEzHdzea7oXGYwqc4gn2UdkM7
rXU9fups8eIyPiKUkf4KMlFoQCHvuecUHeIGiQZlOvcHIjKzeTBDNzwypjoNCA8XJF5FG8/Ammn7
L6FX+Ct4oZs4GKOjLSHrZhZJonTx2wbjf9ZBUYg5/09avZoEE6NMDQXrA8kf6LIuVZmefQfChRDc
Nq6ssbLD9t9UWXTI6iEEo6DeIGd38gcEXgYCZf5ctmTA6L33LQJNvgk9PHYhGKZwEnMbMoOUQWmR
9y3vCdRgPby0qCO7nRzG6tgyisdtAxiCURjn+ejmW3bMwQNfdRrQ59St9jDk8ztx5AzN2oepJJpd
YpXe9e2xtJ9dx2n3vwHnfn3pUDjZJP+trAiikkZcKk0OnD1ZFsDOnXtPXx/EXz/7n/63DCPboqXw
nLxUrkKXxq0/e4H62TGlj9SZysaI5dakelMSJoWvUBu1RCHAwI7jdjh8fRb+9bOvL//Zf/v6lr89
4p99i5QjxUJkdatGioSVpjIWcVOH55Bo33UgpnGpFy3KPOVjN8ZInIRTvM7DGhiA/Ai6oD5HcTSs
fTtxFrJyj7mL56y09XxDFBRiAb5L9rMLDG8hZyU0ROWBwDgagoqxa9fSLRz6+I47D14g6eaj4kzS
eeF4HgCstCFkgdxS+gJFKZNK2hwWo9qF7KJjwL+rEN0xOhZ4Ezuabf63byIR3kmmn6yZIxgclrmu
AS1sV+3Wkh5JNeI9iM1upfwmWOUDXSQRs0rCMBioCWm+EyThG28uS8feJ89nNL+Vhn9Rge9sHUr4
eYitdcN3o8TP7EftSrQMQW2HvpAaFJfnXHuxSc/QRPzYoygybJyE84mSqMJbl33qjZc9DuKtFeon
zVVoZrr/HFQtjFRTbc2mBUqdJKS6k8W5mGpDkte5TcpOwoWish/G4mNS8YmzC9ug3tzQQ9OXnlgK
lJvec1xYu1REkGAJgY1Ed838pdtrV1RE5oon9TzU9pYqHees0Mm7NaIfDQ0K2KiAbUavz3ZG7T7l
GsSLdhjUSnRRu6RePptT9uZ2w+OYcXDQrYgTTwYivyglzZYgOLpzAmA0TdbBNIn16+fEAlm4T/i1
Os68VHRjNkKoTcAbOaNyNyP8/5Ror0Plwcv0O3tgMPxB5rfPuJ0fWDSmdijGmEbWQ0AHtnLa+liM
Z4NZNSyrdVevUzaaVZQl4UKB553TXB4m1T2GnkvmakroR93DcNHmdD47I4LEVVm1bqxc7mPGLUlE
O3Xw0u1X7h/t5l2eZXhUa7gDnmfs3dBLj8or1m2SDTs513g9cZnMD1ofAAVaCWCfBMkEmXGUzvRC
oUigD+zuwBvCXQnPpiwTNN+j2H09f1GfTRCaK33U75mWH4xJ2VTe2YuTJBdrNC/xgO4tvEkfFZCr
lzqyBBrLNKWvXcx5x6D99PWDPHgQ9hw7ONByxmm4aekZ9CHIZHQbijBYerGeIwB/KNfHg2Nss9Eb
dlXY97ueXAvT0hVDK4OpenFMIovl7D7OY4D4Hb+3p6cPFy1woI9a/sGpNG4czsNoXKn+E2/DIe+N
QM1zJ50GderQLzF/ZpBUx0UcnVxLvLSjlS9Nz39vSnFnxva2TZ23KU9fx5pk6mgsds7gv5l+6DPF
jrvH3iTAfNJD/LWEq1iMzKQpkTyn5Ht3/quoOn3jmASjVZF6S0rgKWVCP6oHKrn2Y58XVg/1x8Ii
9CFztnWYxFci0YAHVOQWDEC3EhldcyIjFt2U3hzX8U5aynmd8mHtMJFiNO3GZ1Kld7rmhxutkOEp
bm1vT5KzvvWyQ1cO8q4YPW3XRTUTx9qjJVRZaLzDs+gE5cy7baRAxKb3fM69rZzrSCsnYOJYIurY
NCp8SOcqanAKwl0ndAsukwfmjli10+HJTelzpF0MIWaeOhSl9z3GfYCaq8vXwk3VwZhvv9aiVe81
XPYgnxq8yd0xNLBgBrCWYPSP+ZJgp2jr5819GNjMrcr4JS5LaEVDnK9wU2DcdFp2sUwFGLQHg/VP
2HO+MjpgMuiHgxrhhZFrMynPo6SxApZ/dtmwH976GZpozvjErw9eSSLxYNA3KCNCCUXfbwWTCNdE
FJRW+zwlKcJvIVEFevnQC2tPhtCAvZMPXYlAxdKhEvWufxuTEYqXC6DIsUBpmT1YBx0Ks+shdSbB
/MiRqSANrjWTdiWN4CnPOCjinBgWPQ3rg90BP5Pzh6kA3mWRTcqajxdNGNFtKvnerAFyHttGdzTy
ueipP4woyWmu8hgUABRW85oGufjTc13ywyJ5k8DyIm4N0lFNZp59fXLRN72VJRO8EqFZ7o8v9TzB
LsgZXulD8oFcKtz3bqmf+wb1u9NJgIiRdkOvmE1+dEFk3C5HDbqJ7iRArhq7YdccmQPoMdQMN+9W
tOPC46R9Kvr1VBLyaDeRffZaRtr5JOqfbrnOl6nVB0uI9uwq5uvQMSjWdcRY1uBG50RWd/TPZwts
mnMu604Zf30N6/fqO9b3sTEfAxlOb7AOj54zjD8zMzp5F7DA4VudMdOeNKKEkAOgTnbjhgTv4mYQ
/BtPcIz7mA6+wjIwAXpdekYZvRqd92YOVv2hmheHiLo01y9BK22qpcFaydz89B3EqOTagj+q3Xjt
9wa1YY5gy8SLshIhjEAz8n8mE0lmAf7XkPy3RVBM+Uk5SERrMXmPziwB94ra/SaGfVs2l1a3rnYF
UsSqg2TfuO7GzapnelQMrtLZLZBNG5Rx71Z8kWMUPuW1oI0O4CJiqM87g5XNqeJ3I62Do+Wjpmxb
s9twygZUEyAqSYrisUAjV/p6g7640Slnq+uAbBS0dP/Dbd2BrcSrn8oQaD8n24WVX23VtXc+5L9K
CViukfDRCiDsUlUZ4IARmKJ4He3QKfeBSw/WUD89M73L5/i6ZJCfRhXu3RrJN8W7vYkGLpTXmda5
g9q/ZynsthKFxSOeL+pcPE0/rWAnJq3cTZxwV04wdccgtHDMdOJSW0i1x5qxomPbd0ZXbFUxVKc+
NKdLZ3fhNjFCWsC0206urWNkbw3ky01+CqqE6WpMM7WvdZc1vRNvjTFFxEwZzsGZxxRfHzJqwkPy
MoRtecqTuDxldWSv3ZLu6q8vaeRvSfxTS5OzipLTcHHbEIIjHq/MZcLTlcY1dn1rZXo9eqoqKtcw
cGebCKwcYn2WvmY5rHdjsrbGlhgs3273rdO8Os6U3AXWfM1LOjcyEfKuSrRnqzO8NX2AfN2Gn8KB
3Wra6sY4CKAGFEebgNIOAXy97HzGTRxZy0VTJohc0+nQhJYPczTYmOlwiEKVXNzHwU6QEFl5vnSL
DoGERyZTjSO+mXGrmDc4EhuSXlKJaaZgMd5pWe6uXV9Lf+HjieUlB/fyyxn4J8x7lyLK2+b//R9L
/0fDoIWf0cA2aDiYB8mX/aNhsAv9NCrbOezJaDDxTI1x6lv9EBmt98Dl2hCvEJHxaRIORd9mbUvV
sIsz+Z9yTCkcpRCzpyoC9OHGt75xOeBmqXGIkkjbIV+BcejaIGCG0vyLFcpMQ2NZ1E66CsoGbEgU
HxRHeBQDqf3Upl6D96MTRzNBh08ytk4jgfgL+knhzij9tzQ3QcV4VbyHNHAu/Sk4/e2Dm+UNoI7u
KRAVcy3JOalHAacrBy4UIIByXeri2jme/28uo7T+8TK6pmDeJR3X5FL+lqULkUEwYyBprR2cDxLa
xVtXx+THmyB4MN3YdDj66HV6LVWD5sdJzRVtfPOK2tFCDpIW+06m5pX5a3N25LRBs4CBhZhwXGF6
+MgbFzNO5zzpqtH2iUfQIC25y5jE9opr36wL2/6RirohAiYKHwxsiEguwm9pTaZUP07ZTURjvpIF
3CuWaGeJ/NO/d0S3d0dVHZGEXloDn55sKnjjWDSJexQ3VzI//4Ot9p/cbia229/9qZ7pcgQ0bGyy
jjP7V//gTyUXzCduQwa7zvBXAKT7tQ33sBwKnm5sKI6SAOxQHLXHXkfKGvabmHtgO5hdtKc9fO/n
wP5CJhSOIoPly8AWW+BtrQAEa8a8cflhlVlwdoHlTeo5G6P7Uc9G4mvRMmp+9qZBgHnUBnlEw/Ov
nxu/958+OZsnaCMXFnL+9z8+OYWLNe8nZO8wAfbIS2mfbobCjL6FZYMFMihI/pG8EEyv5MasGgI2
tEj7ThYae1fBIbhOy50kppiIQoatzE9BTqkOrpJnDSunzmh1c1vBNi0QrzCxPQemk/7hs8QK7x3D
bO9VB1ZJM5L2R88Saesqf7Fbv964W8Q/YIFzxJJT0eSrINCdN5/MvUwyjctH/aa38Vtk9NEzp5tu
m+KA2UmnM64pQvAFWiSEmIOykahrL3R97EesEmS0xBGsR2oOONieWFbMTXYqtfe2CdnTFUcjvNSu
MYEyF+4jm94BaXm3HKoUpKNnh/cUsywIPl7KOh79Y1PlL31j9z97hl2+nOmoSqFxRwpqWNe2R8eQ
OFa1EFYrH0t6+dsyG+EDUFCvNIGRNKuQ8zldb79WY3EW9WT9ZGnd0f30j7Y9YqiNfH/Rdi7YQ1+m
BGRZ9j02OxwXGtA0SQM/wWQYhxv27XozaVhUhk0zlc0btjeE482e9y7+3cFr74wYl4vs2Y6GmtRM
hyxfD5ECWix5iEMr27VmDXGsRYrZxwb8xqI11ynHjNAvxNu/vgvNf1yJLMcRljPHj+mO+P0dxoAn
0kw8uTuPhulOR7ps0to8Of1L2huXyAGdL4PaXtNMNI6pSApafgmcPxlR8btDu/6iBEW68T2z6PMS
KhhsHZ05ua4sJr1KrSYPe4fR4BToZlX9BEfNaQH1ZIoeZFO7a7MgCLn1wzeEbYg26I4uwZ6c9Jbv
TN0BDiKzyn/ztOd96tf2tv9gW2PlRU2B6802pWMKXfy2sGhWpU2d4YQ7oqjOUaKMs6EiMsxSLboP
yEjOciPb5QE4KNjdC9nr3RMVzVkbOgrMuukujcRjSQ4X0x8rOGl+as/NSjjVE57lskf9HWQ9ysFZ
CDmN7wL338LUcAAGcfzMm6iEw7fQk7q5t83wYBTWjnZ0sklH0jvJ27RW5OBam8raNsy/VhPjrH9z
CXjC/+Qa2NLySDoRdB/Fb9kjTq+XOIKrcNcbZX9WaeCeOuJIRWa82k7bPkyBHRIuEP1wJNoNGZUv
Q+SvaicgY9HRachlXvmWJsSricdUJaiYM8N8yhxQuxWBJS6byNGq6v7Fi958ZAqXfui/V6Ou74xK
4XPTpH4zYwfAtc07rYnxq6ji3Jo+8n3G2GGR3nIGb+cpql+0oI0IgkziQ6PV3aPnHHyfOOWOjtCq
ysZy13XFJS314VwzQr4bA/XN1ZsemWm2aUoSLiPLvjUqts4tYb9n1svXVEb6yjYEt2kbtVf0QyaQ
uubeqDqL0jDDHjJopw5XESmT0lpHBFWdG0Y1q1YZpy9tCWv2vkkp+Xs4SMhDqulaWuLqdmVx7Kr6
apqtezciiLpmFIPkfaM4Ri8JPHQA8V7iOWnziKglCzfF5G67yTu2esWoYNAjljz3wRJdsiURSl+G
bSDXg4YgFZtiUEoU6E7p3hlWA+8PLd56RF+2of/x4ShPX+Omhurpkoo8dKl/STNxpuOQbuM+rdel
i5K4yYN6HVG+r3WRVavRdRDfCS3ZREaSX/So2yE5Rb4XUZf7cMMozoNkAc4rPqLpbhY2sKeFFbr+
WlTC2MoWgGx643DF+S+lo6eFGJ+b75YgoLOeFFKuqX+DJNVspxARCs5Izn4dBscyh6RAEOkcnhx+
VqlxQbd5Eki2zkNGc5SsdFD4FYYPyq5LnXbe2nYscz0qGi6REgmj9RwtoIPaQkX6Ez7z4iENx2g5
2Dwy9G3O6pN7Qym2IH0qXqMwte+yTjHgKX3t+V+vLMLw/vFt5RiOtIUrhbQ9+dsRORSEGqve0bZM
U4miZ3Z0Th3fX6LoNhZqkh89RfQ1L2N/pQTc4tKRZJKE4lufO4AkRxp3WgxXovDAPDaaEe6J4IPd
GHpPlufCCwNZsOmdQexM035piT4dS5WdrMJqzq3SkO5VPfzJMG3vPV9bepZbUOBdxjAJL/O474ED
Kd4KYTjrKEf16zOcd3Uj3ro9eMys7XlcQDuFYOyUXchMTnaB+KG3Bri1WKVPlswYmxdCMBku3hmb
06l2i1MXhiXqfu7HyBIODOy2Wpp21GzCAZC3Eli3M9W+ZIPhXIYkWpu4zWaf3oYowowIzB+OavYR
+EiElhfD+E77ot9pBdPyIt5MHCLuHU647CTDsAMegv7EjlcDC/J66PktgWETBZ75BCPawaXNYyQ3
lGCM5tQe7oW1+vLBW87RtGnrpX4JBZGOzSKds5Gw0Z5I3oBOIR/yCegCB2/zEFoedsDWqXbY50Oc
CZ65ltiwF1OVm+ck52iOMOkOHeZSaCWHDYxedYoyZsCaBAg90DfI2GdR26yEQFyN3sV6inHe0Ply
M3KN0GLGSTHtPDep7iP0IBPYirUMMOOhkoyDOPvhgSpceDFp77VvHA0Hr+LXHft//66oa/78n3z9
oygZXAZh+9uXf97+LO7fs5/Nf86P+ut3/fnvv+RBf/mhcwzX332xzlki1UP3s1bXnw0K7q9fR005
f+f/9B//9PPrpzypf03noUtAufTfR4Jdw+Lj559Yd9/zjz9Ggxm/Hvj/2TziPziRg+AxbQ+PNxrI
v7J5HPEfricl0xUHx6bDtvmHYDBDcACdN0wiuwz+6S9kHsmPk7+QPP/LUDC2yt8WEJf/mbo0+Rv4
u8zfj2RVHXR1RtbtDk0xPMsg/KZmaeCTIjhwSyLxpW70dlY0Yb/PaQAMHnauIo/prQmx6VLnPiaR
Nbu4Vf/kFtMxMqxXAA6cP6I7twFsa4H+TZJ36CInp9A3VL4LvNRhVuybggD26KHKHbjeXrm0iPDq
Rc0IAu50VbguY6cJrKjtojt6aAe5ySYYfVMBWV34wS7I0vtU7xGXukVLTzDNlhW8Alo3+q2bTk49
Q3fRwC/xYB4SM1VLLWaOpxNfRlf2s0XLkGvfiiQcIaHrN40erpe31AFTu2CeLejpgwaevW25gdFG
gbNxG+e+TPtkYYzigjBq10rno8c3VHtZv6D3Z9AYlzvPzCCCILs30Ohqw7aqu6eWApYBI1Gk2c9B
qatW1WuMlT8VLSwT5K1PyWB1w8KJtEeHemjhG/0pgSiCTxzfNYjUPO8fBj09RW16Kohk7HLa+hYu
vkrfa4O6RLVzr0X6ka3gWHj6xfN1mCQW03918Stcg8amzsSt1pqNldRrYte3kZ2e6jb6FJiEPS16
wWJwjdzuyQit1y4JQIM3frN2Chcz2kgBzPKcxO/Cmo5q4GkmeDZEfw11H7/p3kta9FPdRhrJCUjY
RcbqGNsDY6Vkzh0ixZssh4nUCIwDlohOpcCInSD97DatbFdR4eyMlNTsNjmIzLsf6EcWDkWSIjhC
Uxd9sk+tetFTZnyeDD/NjPsgsIsjZx4GlswkK7kb8mCt4gwhstRblF8MoPjNuLeg449oiNuSYxAY
5D59D6z0Dua65xL+EFq7sg0PMduhMIIDJsLT/AoLf7h1jYFhJPkO2vOTYJfPqkWQwWUstQlPGje1
nJ5EtcUq9UPpWBwEplR93KrcxughViQ076ukI5cDWjGR4iBbhuNkowsM6J81pncYxXAZJ3vXKbQC
5IkI6550UAgcXMFyPIpQ7gBtIPhKP92ATRM1+zw+2egyOZnWdJvvSZimO6IEEX5FB98af7glCB93
zYDhyeZAOJTyFaM8Rz0kl3AkanrAX79DQccelXlpIPwGAx28rgo+sQQDns3HbTCm75gF0UM0a45c
h9DJV1iM0TGfilZdenb2SCdXo4s/a/wPymyBmsCcUSkW0+Rg8j7PVLTziwTtlLqNEypQapUxni54
z7CHt5sq5l7V6seEYIp43NZVf5Vp91Rr2amflwP3+xhON2/qrgN6pWC8GrwknALem/7NU8REDdPN
qabb/Ap2ujpqaXKSYfY+X5j5fhTBcHUivA/FxIm8W0HfWvSDsZifEhSJ1chp2MRWYRm8NMB/LkOj
028atoytDRxHgVnz8+qVx/NJPGfNDovZw3ptxmbtkeEaSfc7PYUpZE3wZffYUXXN93aSjMf5b8My
Afylb58iTlXxZGzjOD/FzPsXXUh8CeqDyee93mXdJmvST0x06yh6HXpU0tH4ZIh2M99MZD1voKve
/DZYGdmt5UqZvfM6luj6E3266XLfaN4jTcsNDfCDFtebgr4+3dmLU4+X0BqfkOuv2nxNK+Kiderm
xMOWwQurTBG9u7RLqM0f7prRupe1/iMkMyzyg1VvBNHSRPBqOuMPz/Kfc/KHgOF8trk6Gh29FG5m
DaBRqw4YoO8ZAJfaxR+KO7PoV/YgMCS3u2pKDqlr30urf5oq/VJSso3zp0SDm9PR/G7HyYOOi7St
zV1lpCewq2AteHuokFuCK22TAFh/a8z63DEV88r2CcQSfGEGLP54hLp7mv+vRRFM04NGq59NwyEi
SRwri1AHf7yM3Ju17J4q+FGk0qMEJBSndqzdvFhhkycDQ+CDa4P0IJz+aV6wUZOtgiI+e+xsbTzd
RJy9t1X1bPwXc+e13DiWZe0nwgS8uYWjE40oyqRuEBJTCe89nv7/oOmJqsquqY65+zu61ZlSSqRI
4Jx99l7rWwFihummBFRpsTrd5eirjSHiTPppvSXXNUG0jBMSFH+9iVqZewyBdOwMofnW9xWdoYKd
xlLfOPvhnhUZ54rdlcPzSWahstPhEnXJR8djZAWrmwUKhGmGPSo6t1r+kaAiboTooYlO62PlsnH6
vuOk6YSXMWR+oL5jkj1JRZB7kDHOQ0xJrDMNtqNZeUYJEdvMuZL9JGD5lTHSZVjWGaJivk7qj9nq
BiLbpTuj0XBXWxoNlKB6UHrc4fKo7xOW2Ic0mslAmWcRoASuMqwTbHckXCzzNhkwvEfgQLI+fcun
CU4WDLm5zMF7tO+KoKm2EpgdsRECm14xzgX7LGKYQpuYfsvSAp3m9k1g/mYx/0ZlnhdctGPe7XpD
f2SILftLoiuwy2IVnDN/+v4gqM2//qoq69O2kbq3e2uNNPvGA1tG+DrAInMHhSAi5gx7kdOLnQlZ
AM8tWqEkzSLBFOYDaWPSPk/Uzg8W7VVC4YrQIiA1sPCJ2nuNYgK/yEwc96ZVhbt8SJ0+Q9U/i/GL
ZEjRbubwYEYLS8iaLNfpvmQK3lIM7rCkXqEK3kgnmz0Au8Wb2f7CaOenE9nYjPSSuXNBARpEpxHR
M3fyg1BFI63kghydXmgP1Vyi5Vo/9Lh4Djy5hR5TezKiZvIpipBQIC2O6H9kQnQpSrXkVK++mGi/
tY9Fs7ZrDrVXR+YHAx7a0jRQ96TjvcfIigshAYnBLJzZfGz3OtSVMlNfUF+QClYh0swF5uyNJtpS
h4EzLLiwMbveMyHdD4V2MlVoS9HATBEcAUeFN2bfkb1wmycNiwe3AN3ja24t17CZCahvvDmg0FE1
80cm5t1ZTDwGL5bEyNlk+ZvkGnlYarwZgn7S8vEmN/MtVctTpgfQGczNosUfMYE/I20EPd3/qaj/
m9mA9O9lsiUblqkzjeK8b/zevooT4ODJCLW8N9JfCOLIVb8VxngLzOnURM4iwN+ijpqM2vsPj/z7
VMIEwGlxelA0VVQlhpIU8H9q3Fvq2BeYf4ttEEqXGaAeaUZEd7g6hoKMQidO0CmT2iFY+BIolf7D
w6/DoT/3Lnl4MH/0Y+jYypYh/vbwo2Gg1AiqEk04RTxrDTgGX6irjSVeU2S0uhJ/wFvvpsdYyw+N
yqpGYRsl8+Y/PJHfm6jfT8TkXEXRZq3//9fXIVQKi958UGzXN1+bhqtGZZJBOjPE81xRGGTd1UDo
biJO6aXGK7Iei2LtFRK7T0bBaiFlLlQ6IK///MzWM9q/v0SkU4prb1tiYPnXZ1aluNQhSxRbcgxR
dBYHJVIehTYGDz+OFKEaDvy0//y+vKuW+jyb71Rit7C9lFryIVrTXYlYAL7LQ1NbLuFG1oXXKlte
OrYuJSE7bKYMobajm7Ax6mmzliC6NW7SRNtG3ABrlS523CkZPYQo2ePOu+Ab2Da8F5Co3KwkoCIa
rkhY0V2/Zabo12x+RJ8SNDVvGrO91vO4zdA7gi2ihl3jJQK/0BtfDFuvVhoPvBldrfkOV+lVn9ST
RegZovaLidKOGc2v2ur58QkcW2StVImyaqzeui4lzQYXR8b5Ly/B5vfjcIuasvgP07u/uzxUSZTp
LEtIg7/nX3+6TeQsRtIlq1C25NZXS/ECOGOfZ5/flfX0InXN7p/fdunfphnrFalKynpqN1Xukd/e
dwslCmdT7sxQB5KaJU+YRvVEeUnK8dqy8SFITz/miUVtIbwF3e2N4y6R8fleoa7PBm1H6GjUFrui
PMJbvVpW70xycVaM9WJYnRUgsy4Kln3GU+dWPsSdyTy/gDjRs3WMBaF5xltPKbb+3NGsfJpr2qBv
Iakd11NBxpVgAfIDwXKA50Am5fIycKrKtcazCJCb83ed9FBEnRvO91AQsmMRD0A+P80IRbiEC8fS
GR5M6GNlPPTxLOveNJraLiGu3lUrgIg0qmSSs+iUchUFx8BctdFBepc6kquopGSoS6inz0U6vYxG
cIvj3hk4glGBK29yRnUMgzHTlB8Nx1GsVx9r0dpVGNm17JSjrmn6+T7IlGNFzJE9utbNjoYvQvbd
wGscamCmxBxYmvq2zjVG+D/q/DAJyS9BrrZyqLlm2PtzlX0gkNkbstspl6lSgLFp25lVe+jMN32Q
Lutxj4rlMHsCt6tG6vh6Tir1rdwvLLvMJopHLPun9fcQRuo3HVqgUoJh6V1DGg6jKd4DU2VwTZvg
n6+033u839eZYaJbJDyAWPffluAFglutwpdC70LXnCPdxNsuvRhB9br+yoVebYv/sNr+3aqviZSc
JjJwS/tdMkDgemxk6sxim3IgazmYlv95S/2bW9bQJSYg60dLNtcn8adbNo7qtMtEEU6RiVRl1NDi
ytlyayay6vBmGLSCHlOxvi4gw2YTEJwkHnBI/Vqr7MYiranTvViBhKZh+5NpRwjyKeXYM8jqm8FC
SEuZESffU8IiSJJPU+dh6iE9MtMmBQVBPAtxmk8vfSi/DGBabIgXyJahBdLibpmUTkZ/VXj/+yD9
kK350HUdmB6eJucy6O8vkaWe0oowQYWSHBGRZlyXcdpqHHTWJ6lRh9Q6s1tFv5FoxCXj0Wd+rugw
mERCxtMFDcbRGvubZGhvYT4dTD05FpBqIjn0hHbGc6efOmAr4gIoQGseuDwOCwqCgNZHS79ARn1h
093DkFW+SoyPCJUsvH6i9BLl+JfGdiHMnEni9DhMpFXKlp3xTpqZsl37CuvDiQ0LzZBob4Xe3/K2
8dLaeBNp9K+HklX7I/BcgmC8rSu4ynntny9uxp//vn1yiTG64FQkqqr223S0kKtuKue82EoZ2yey
C6esk8aOO85NDaMPvE3iocyEzpEi3iNhijdjW+2iSXgCsZExshlODce8gaNhr+qnXjX3bfeiEWNW
c0Jfj27DAERmukZC+NCa8gNyoB8WhJ+q6GjJiadEiV9nM/1YE6XZsnhJx4Kc4Ri4Io2/QgNlhCY+
qWkBDNz5VKNrUQF98doH2mldVetluJcMUwWxPcSQMA1W/pzFzFDKo1rxSLO5FxjrVca0kWgu0L0L
hOlqmcNV6vE6aiQ0le/rIZVAi30jYKBeOr+iOdIqABY1qh36L3o1vdSReOGAN42qg2Zrs1Zj8Jxd
6I3U4NoJPlEoIQptWqaA433G3rkWQVq7tiyUN2vlY69GMzT9fTm+6Bq/cR9ySyjBY0WLrjM/U024
Urt37j+/0X+zilG4rf/B300v/Le3eQxrI+vGodiOZoGPiTl3ZdDXHEfCK2kwdDAY9H0AB/SfH1bW
lH+/vkzKZ3ZoSSIt4ffls1YVbDFqX2y7SHsBQH9c9zk4GYQseaPIm5Hlx2Ds3LV/liaDGyjqtqHg
qWYaL3Q4EQxulRbM8CK7BZSItchOaWs2ooSYkvdT/9RppKglgU7USyaNUgOwL92NIjXfBqv1xzrZ
r0vGGIOXIPt00DfQTYyR81BmUYXl8z0M9FMkK65Kcy+Z4QxU2RHP1Mu67iZcdElBCxHTRpNrHkQV
DGjHGXAYxphrSNFDPVHWy52BjWsUvJuJ+qCPqzItPRbEYefJcp0yeGAG68Z6D4dK+rH+zsoiviyS
+JIs4rHueV/ST8HIkC1y7ON70xi7tdF4MopdjJH7tdAxJvHQcdm3nFxXskWdncDCm1rwRj+QO3Yw
39YORTgQYgeLqVPUU7Xkv9Z2CMng54LK/GdZWxsQRkepK11p/NVkid+N+VFXqTrmZbnnoqfAWadF
ACCCTK7ptHTclWtZhzDxY8G+xYjuHDJuZfUD2hDVkg0Mzm857iZptp8Jm4xM8Vjh2YaQC6co/ehn
47R2rSX6dWu3aa4JCZ9Vb23Ccfa6r780ItebnEqXWoj3Io7UJumv6w4fc2+Mg3YKg/my/r2SZ2Jv
cVRl+6aPjwXt5GHSjxFZZoS9I6BOASMH6Ic7ombX1XftrJWcF9VuOEuwh9dD7NzfzHm8S2XytNCc
kXrxSdivq25Pk1wMkqPM6EBakg81To5S0XPYjD5UlWclaKzQdF9zdD1zgFkuRc6raW9rpw2Zod9w
9xaihuqADjyJ3SLVZQV8mZnjWjBJ2fyiZupbEhKNGcielC73IWKro5oYCrLGhmSPC2ovYL2WsbuG
xj42Q4yU9DS7jPZi7YUlQqR0jyHh8H3BM/RYy8iYbXgaeT1ZvVS6AmqBO51dEODjycpwtpNJI+fj
bt18CrXjBKkhPyUjILyLAn399YJbu68Jm2o1cXZo62ZvQTExQDLZrTG8ZAsTHvgX3lCz+C/DZqjp
OrMcr33CpQq+/nn5kBTj75YPQ9MsUUO/o4i/VfnZrCS1rCKUao35XrS8kMu4U4Jn+lw0PHosueth
1OzzB9qYzGgQi3Ijrb3n9cJqI0uHY8QZoLNoEZcjiORU+162v3+AIX/WCQVuE/8qrfmemFi7tOnE
5v30ba/WTdIRx7R5oB80eu1jKsiDLaJxmmJB3qsDe07RCKonwlmzpn7eKisgUen7S46WZIOmG8dS
RclsLsDd4jdp7SLpC7fJpOeNL8n1R9VAiQwT0isx/t2akl5oV9LbFMl2s09YDzl+Rj3knnIz4hy2
6HIn3fyCXxFXzS+xUUCkcoOv60u0KLsySSBZic66qutqd/BkFqd1zXkKBfEk1o1dNtGHaFKFDOOL
IuKeTdRtV63GLVxGjbfu4Rn2sgC3bkmIbk3O97oEWn12tLgi1/uvNawnSXkamGtkiXhZf9paJoUE
MIwjmpCz0BhwjTgAc1WkwG/XH2LR729oL6+dAYFxQipP+/WkobbDTUqRBZXzfc55AvTt85mERUvy
t01FFVT2V/EhXnmbhHdshhQeVgFto25/ZV1/w5F0WW/ozvif0v//NC7felfvr7Pxv47X/9d5+l+m
68cn//b7T/nL/P3/j4E78+71DvvfB+67jBgcOBZ/Hrb/65v+NWw3jf9SgQKhrmHOvk7N/5WCY0n/
xZFG0/m0qSOGXofwf8za+RKfV/Er8gxUFoF/zdoJyOGMa5h8y39P7v9PKTga0Tq/rydoXdZAHdFS
EQ4Z1rre/PnUo5OlkUlthHHnuUV2s5sDjiVzuyTO20zd5gy5KiMBhfdXGw3CVZHN16xF01fT+Cdp
Bb+WuiMFOGpqR5jjxgsDEeOOdZnbIaeyb0GjcgsPgrWfKzV/MOWWjSLusZuGh0pKtBc0PKZ0ZyBp
PE219rAIdHsnzViuY0taaZkDwwd/H1y0fsU6ytEmrzNWsxq4cgPHdZstpFUrLcm02dvIurwbQUtW
g/wwZanoEfhFiZu8WrMluxCGMflnkG0NTWXXELMPgVsQAXgcbiAeaw9tkr2YeLIOMI6NosAGG25H
BN8eTc/wjXmD0NcxMc5Fc5ER5MyaAnjaWHZ5gDHaGLHMJgqG0xBz1pj18kMntgqCHDM4VRg5F6TL
jjYPxSaMWZitpHkVJ1B85fSdARmJG6VSZ7vXlHgXxRqZnYlHk7E+fX/odKyQNXTpVGx4DrwamTz6
M1C8bQq1xUFpo3g5xntGaQ3D7JjCmenYSePxwMQvG00aD9V6vgKDA9VpCTzaiKVnQKO3VatYJcso
iioixmdsToAe5q9mJBDEUkYvawXfMLNyo+P8VKcOGZFMfh4pSpcmG5h8jYLDqa9z6mFVuCXqBi0/
B8GEkfLitkEconlWDa+q2ht4RzsVJqiDxUhx0iSZH+mFZStjCXXXOuOMYP7JbEhsey+nC0MHRN8m
JZqGGgo076Bg51qSw1Tm8JlFg1uG1WESOCgG0iEdW/VRGEFJRSoKkQE8/0WX4WEUhvkeaNHoF2TE
yJDCD7FlxF4NKIYrcsXhWePk6HoF0nAWEEWVDCwUfS2zFbebYoBFfZc/FJOOW2j9wK+mzVH2NMTZ
Q1q1dtY25QqnP4dy8SMIWrckYcnR5Brrq0kVPQbVFnxyvDXRHXtKRA1Z4Am6lAPwVaMVia2VO7eN
0Z+laX0MMWAYBGgzeu/OuNtsSZHXUa7it6EieZg6CIYWxlttzOEpr/OdkIKWz5SSQxMQP71IHvJK
b68A1vDxW/AAibVRIM0OtZR86eTKFoH0qUalxoFaWjOGh+FMsOQF/w8EUYxb7rJKCDqxWk2J6F9F
MGKjbpGIFT8CYk7Ig4eTPXTS3cyBggkYtMRUC44lSFiBzdE1GO7iLKL3vKgPS3gAesfUR3LGIBt2
FUY3J17nTgu+b0dlTJzO+IVMKUWLh5reqbXSn0OEYlHujNZAzUtYzSLftSa9lVjWfUss+O4GsNZc
ma/JQFumLoPUiUC+mUkElL9eXksItJR+YePOVXkRRyKGC6AX4Iksp0wFW0LiBzXWMDZhTgynjHFs
xIoPawsdJc4S3vdUgMy0tKDHxuehLEh6bypaES2/ok6QrymPri4rhKBLGNIVvHoZDvEc3IZWQy8I
VBzkujDpAD7q9oS09KQQ+1xn+whvsaqpKFU5wiEyUqBJm59N9INGw+R/6VCqnFH+WQhrNPRsq5eO
eJpsIuU2beu32QQBkJlDTOUJVDhWpYoBOvqhoQXUExGpoxXINsQi+1WH41NNwEMKRwEDNibuJYAK
SJYIHtJDWjfJrleiz2xSMZmr6WeDczSspsGWOw5ERRS7Ylreuwx4Z9UEhHI0OCNYNV2mNbo91CpY
9rgAD41ksciTS1gSk5REkmqHwROghl/DoPBdKvKiWFpb0MhZi2XZCGN9yaxbZAKGjbTl1QJ4YlcZ
8tBG3tZcb3Pbn/SqfY4zuEpTfEFy3DmhLoRbXbBSu1rg+jI3eM8D+k8VFiFTk3EXDKQhDzoCX1Mm
DN0gCmAqDFiEi+gWpKRgvshDRA9N9bP4isbwkkXZtJdBIuqdxo08KYckN4+yQbZwDvhDnSEJRJrs
mtmQA4NHzmjgdLYhv7zKQfaeEYTlGOH8s4rFXTVCgcPE5deD8hbCOre7On6dROkURb22kd6Qaqce
UjfZbWEXO3mMNqgGjG5revsal8kh6IPRIVwosWuxgrvWLk+MaH+hCKiDFtMPmbeaxJlSkAUnkn+V
C5bPbrTQE3dJebba0ECjAGp0jHBQmPS19eShNNAAc69b/hSV2Dij8SxaJ7PrCAaR4+EszAW80Obn
YqoTaPKk8ToeC9+HhygatV1sfsRxfBwkEuWkADECa8uz0LRP8sjOGiTdl6o1BxNVFfIMAYJBeA61
fYC3yKvoojFV14JDJCxoohpkI7IZ+IB2cNl2fI37o0rzYZfOPMn4V9xqH2pvkpMdq8+13EGVZe6a
W4O8a3Osg9ZbIqpXgslUlLcG1cVc7mchfmLpMVt+equvYSLsG102HQpreZ6NUqZ4mL0WO46Fu18T
hhdwRIhu1C+THcjHNO6NuKxxMzuxPP/AliNgbp8JF5dJqNEXYImK9E4ZgQEteQUiw3uG3tQraiNl
IC7/wI1fnXh6RA0rM7o6Ng5DI+KMM8UulgjW69Y1fOznZ5Ubwx1rB6H9T27VZSdEEDk4yfg6b/Gc
y5QytYFQbSRRri1dqqWDZiWEZAzFF3ahnVXPNAHjQSOiQnwjdOoqIgtskMbf6+kxqBXdXXRsCBDO
VDumigpbUt36tYW96MZD1cOy1hoamGc02TRGQjFg32DpSqQv0g0PE0wN4g8cRYowlRMbofbgbur8
U8aS0GkKXdriU+6097B9mYbgIMfSBpimp6lcsr15C+AdRdrzkBGK0VuJU+jGpuhShwvdX3ldS5qj
hywQbzQfyyxzrEaXAUtTqsOjbJY/5VrftTVe+07amwRHkEbyKs2mQnOkOYi1sOZYbLka/UokNnAQ
lWGzUKcf4sL8LPpfXdT2G8hLK0i6waGelfcp2M/pneY54QEmXZ7QeKM5c2xD7adOixWso/EVZ6dq
HAQQX3DDy2TCdatZPxJ6ka4i8orBt6yaiqGOJhC+aBaXOesMRwiM95i8xkLR6Xb13RHGj+yZqUU4
dFMQX2bJZ+y+TkvpxwULP/MT3oy/6Aum0fATQdaznggwjKkrxVrZFz9VJbww2O0QcOakl8TnyYxp
XkFfCmGQIWpQHZTmu5IVvBQ0WxAiP87fhCq9LEv/kBeBJyBxGECGMG4O2tieOG1qbfZkJBqhFKH4
3EkzrJ6cpWXKxVs/NzsS83bpmExON70ua1QexWmwNSdiB3AmbqdIhvymM9mIO2sjWQm+SzI3ELii
WY85CQCR1KlvkVJC34QfEkmvWQNfOxgkr7bU+5QOm06V32lEHJNQ+DQi86pJC356CdDbSLBKuOD7
UQiIrIiHaktzu6RPcgqCS9G1m9QUlTMmnMKH9ii3iQTIgrd/0Bv6NvAZUxY6TNSzj8OTjjL7YF4l
NChEJscgjzdcMjHqnnWTEZNm3wskZ0f1CFzt+4+a2Vv0OglvT9YvI0ADzfD9le+/x3UduWafEQO1
fuMfX4AiGInOH5/84yt/fM6QIUBJ6A6/f9Qfn//Tw39/8vuJ/fZv0jQ5KBDVN/RwOqiA66Ozw8Im
+/4j6z7A0j9+ZA2M1FTGiGI92Gsl2HwjrfzvH/z9QWKKu//jr99/Ijngz5/DBMVsEUFsQO6R1Zsf
aJx5jO9/pf71n/7359S9SJ3KMRkOU6viHujXD0vew76NSX3TgCgzIF4/+f1vvj9oa8D4pDcrSP5W
0j5zfvv+P/46pNLs4C6LnBp5SWb/8RWpBLVd8wqVK2Ni0rSct5SJvlTExI+snzMYMjlj1ilOOjE9
aeeWVMi0Bm6wkqQiMgDQoK1/7IXwgprczftNPUYPwrFVT+xWi3bkPIFnzfQS3aEoDVA12HsAn9OP
8VF5wvt0LjFwOsOByoVMrOecsB6nel1eqUhlklfvqMm8gtXCXfYxutzEVvMn8wEoZaLvDU5BDky9
L0R9pyCxl9f+OFXGY3YzLwppGnclceTSb+YH8sFIMISzbA+VW41+/8X9y1mFkZRcOvl70znxoWQ0
ZWzjj5GFB6VdvtE3kGUBTvLH7o5+C6IA7g/gEeXwPgWOsNjEsfSu8tkeiRJvnXajvLKUkGntZ72N
jMcOXqpbegAdJ0XumLtMCWSyQp+YUvVsacdsYyJpvanqPpI2mLRdutfmcCKY7pKdzcvCagGnagMZ
SgQiFnKYjc75vryGhL1fgcs32QMfNah5sFSXaCfLbwswRxHU+mxPAqQP0kxIhrLbL6y0INp95G7h
MO049+j7eJNvMhEM7tZydI6so8OWXKz5P7aIezIVtph9OFrvZXz3Kbu6o97IDFFv0zURn4WPS1v6
XeAuJBo4yiF7yt9ZoLNLbEtbABpPxVP9CJQTW3KQ4SZzw61hyxS5tmHnH5b/ZljnGfcRAsdZsIVg
T5Dtqk/Y41fDhUI3z48oQWEdGwSW5S5tc7vYMjl+U8+Vd+dgGj5Yx25057fCdIR3uNQPoWxrj68I
BM8Mgx86srb25ElxdlFcjoc2akAwSXazNd1L6jCxUhharR/LxAXZegl+mrvBNt1uq/4IbiYIDXuj
X+Ij1uKfxSf/jz76q3lFrfUZP6MRD34KSN1f1cTlUg0uoYfxHwXF+gIoRChyXUWOHOyl3NbdL/FS
vIKFJgyArrFNXoI32SWHUTd+D37crWfzYl7EwdNSJ/cmdReEe6t0UxkP8oUmEixBw48qN7M3KsRi
kjS88rn+SlGGOr4I7sx9L0/n8PpGNJrkNplzMCRbOhsl8+Ha1WAfABwEYIgi0zbhiDqTk9nLRrrO
iR0/Bw/a6Uu5XuNhJzhfXeU1n0ycjdJNzjFza0b3Tv98S5hrutIBTiBHWm68xynaZD+aNemRASuh
FYSMOpaXghuuha/wsTjPXvdQnXE1LNv0mXAxLJWsOBtcJROvVHnM3OkgxP6ufO5oJr1Li/s/n6Wh
4Yf7fM0qo5dy7UvuAL+GMQTi3Q73y+LWz/zc5Fxv6q+8trmWnW4ba1B03cmpXohfnB3ZelE39Fno
9TjLnYvtfkweJr9xB1/W7PjUH5tz97Ty3OL5bB4ncmHil3g77RBX+V/qrtmix85IHupcw/vvK+Ur
dTbMKTijQrh1m9d7umm2gmPe6Pmwf6MlaBOeCiSKzp1VFxHzKXBBeDOipWu33s68mVxlB0xd4X59
MduvHTE/9viceikoxOJcFccg3Bn0OPZhfiBu7g4renLS3fJYkYmz7XXu5O2EG/QUXUKbjqRTHmFg
vtMkgZ/2GnuMGPz0PfZQK9Ad2nPOwdPow1m1y01lYqx+ZIRpG59k7aaeeFx2UXSgNe83spuf3svq
Ij/2vxhQ8qo0UH6dpd6C/YQq3li8aqXl1B/tKb6udCLuXnds3uWfKTQg6YVKl1ZWPXjxhv7k4sIX
RsrhQ1eelgcBDoz6MfzUWrfojox51Mm17PfFJV/R/BWLZ+i/n6SY6GjNXOGk1X76DLjhte5dM+Yz
A6OZYrcYNp0opKjniOamwz2Rf5WbRsCC4iif41eh7RY4uKPHEhZ7sV0fuVjKDa+KF+4ZYc3P0Vv/
SNffOPPqLIfaKdHI2c0nUWWLzdmIfBfF9MH58vO50qP5QR1+lEeAdc+tk2A1AeO3WWxO40SqemVI
ngmgsgfukZhQuquyJQnqGWsK5m1yv2RPuJIEiXQ+imyocfx7qJqlh8zdHr8Sl/Jq3TGelE82S7bA
2kFK5oYsDmO4K98JO081/sprgPP3EZd55k+fcF04h0+VS/uHBdpZ33taNeVHvidDaivZmvhTcTks
YbGJ/GGrrtdeBUu6fyGwHEXXCtSriCu50rjMbu9kxpYf4WP2RJLN+cpTFL+aJ37h9Zc+svRMwS6O
ttxvu8S0gx0T8NBdTt0WiOX3/8Jxt3yGtnQIPb99nkRCyuzFpc96csl0Cx6LS/lcPocwh9FJjDav
BIpneJtz6k36JruLPaFuX4t61ih2N4nPM0iXDbEHFOAtYPOZLQkhdiJs5Ja3If9iZ2AZee0RtQlk
c/J8nOrMdc72FuxrW/REL9xyWSU/zV869iiZoyZ7lM8l1HKv1EQ/sd3s13d1svNH6bPwW5VXRfqU
v3JUZQm3/d1A8CmDLEZZMNrJU2f5i3aO9zuVjcj3CUrSWtzK9h5PtpvDHXQwJen450ICvUM7eFx2
8ZfWw22DBVPiMzMyjAEv0c3qWCw3yym9cfD+7F7FZ27Ur8glboEY8EP9nri1w+LJmsFMDkLqp3EY
Fxspkx8e+g99X+24Dd7CD5JdDsquPjD3hthig4722WJxR12QtNCVzy7yR3iAVommnxgbw/temFwW
J3cyfGTO2culs02I/TawzMYaTrw57bMpbXgJndlb30SFLQMouHtbL9N6M9A1sitmxOiUkZHaCLk1
KAY7/JSUaKx1xBP57cZMXO5881IdBNZCDg0CUZ4D5dBSvkOJoODh4xrenl/UITvgqoMYD+vd1YOH
oXNkxZew0PdPhgmv5Smi9RsDHxZFgH6eqCc7TT0ksS9dU8dwvjYmfL/twRU3mk3t+YTGfcYwk3sd
0WP+srqy/LCx+/fmHPmJdam2hrcJfLpZbuB3tu5wlV8VN2aS6Y2P0zkYz2H9mRlOfq+FG4gKZ/qp
cJqUFWB75A6StbCKGFpQVRepr/ZLnXsCkovypDtcyyA9AHPiAUCrIGw74yMzuTj6XeVimMANf1Or
zBN3QBzZrmhTTcYTLU4teCgIEPNSAdj/XSbn2QGkCf5LrgewRjK972OwtYZ31aWTEHGlsOxI28wv
zmQ/o2j5ZG1jP6GQlsj2Zmnj9u955/LHApy15VOu1M8p2y+28nBHocqNd2bliVA47Puv2qmfidyT
nKpi4XApQSmoq4HF49qqrnZFakA/vtD2s0IF6d2Xw0CMSADsHzuoK2mboXVSWsnys8KtzXbl6dxj
WJQeQdhCWnlaqm3lq1/qF6Cv1tG/0KialBE/KrBwtvGaetBrEfEgJfBkE9YYYi+b7oqdXyUMLiMM
A3IM3aYDO7RJGzrQ9kQLOnR18JcLeW7IXJH6AUm0EZk89Stg2ZbHg8Ysgk4QNPViJ3O3MiOe1DMt
lQWnZOwL1yA5hZPDsOLdeCOCBcnnNPi8fMNPQcL6tb4erH0ZW0rqqTznDXtCVe54tbOzwMHj0Ca7
6onShfajOO5qMifJ4BgcZX0vPW7/Pn1B85P43M/ktzJ4Yu+9qSMYoQcN9J2jH+e96MFarJaHMr2g
/HGSaH3HuhrB8yESvwhKSWIPQNN7DJBf8sBnDLIXbAiLSUkDc5Y3wiX7U3OZn0v840TPlFdCgOt0
06cuTRXxuY236MlIBZ51irSdAj66fZqFl2D6Qc5GGa6LS5bY+Xsn2lSEr6vAgRIcIFjryNflPDE8
940Vh+hRYMybsD9ToC6HfANKLtPONBqNfc8uIFJiJG7Ooe4YrK8el1L5nD0J6Y2hDhId2xx32mfL
TjBeMn8mgQ9NCIcwnHyVK22Hatvkj5BDgHIowQ0dUcFqUDoF/Ka1fFFYzWRgugUNjs/GIuEwOxic
tpRLL50pZ9gfoc6y2I1f5tc4uS0t2cZNZt8yNrXqEz9KPXyLQkZbgg9KusYnVeGFtPszQ9qQhCxi
XBRnJGSgIWJtT0aQkR/qEMWVO/W/OCeMrLNP9EJQ1dNqRI7BjE7RnFGj+e0WiStWGzywgeXNwkOB
ykr1yMcrws15vfy21hmIf2FtGMekAB7vVXRNdoWxhcQt7avkAebpWoSxj5DCRFLtY1j7YItoRwM/
r8aHlGCPoF0paNc8DV3sxbFQO7o4ONSI/DfJHjuGmc+8Acsn1SAkDX2fpuzLdXohXxvHZIY9TWBc
cohYB9WP/0fdeSy3ri5Z+l16jgp4MyUcQSOKoiRKmiCkLW147/H09UHnVt/uiqhBDzvihM6mDAng
d5krV65lGo+t6DWosBm0ytq1+jV9qGBbXzXqD+QyP5xK2Gj9yLjNVi7+B+Kj5uoUv04Ia7F7RQzV
AeR7+WGzESFkpN6keBzTlI7F3FeT/UK8jKqd1xdebO31elfeW8kt4u9Q2BG7Y62DOUJAdyQXzZ6T
mzulPkRgIRxFm8wutY78Srv0+MzxwPm06y+sG/OgUML2LhBbiF8b8HCPuKO/wethR0fv4yH6zD77
00cdVLuP+lvZz/c/6JDq78jy9d+1yg6+Q/ucfD9hY1rODMLdIKZhir4CCyCk80guu0/OxTWtdwIY
O8gs6d2ncMObZL7RKGd9Ks54wdwp/UPYBcWcY8w4PddeLTh5xoZqBu3XeGcvRYbrinwnJXYQwxbG
IKkR1SSqyESpfC0vxTk7cEO7/qbtN/DAbydvO3hB3b9SwWO7IdPLDuWlrPfT0/w9tDYhDdpZu0jc
J/pOA4zYeHN0k31gKiTULp5clgzuQdvwSnnBYXflgYJK8Gra9SocolNGPfcxhpJz3g6S+cba4pPI
3P3mhW2sug4+C47mhEsT2SZ71qm8sXhZkblHrRy8gD19Zg/CfQGIYB/biJ/OgXTCRY9Ztvwkbv1N
U1PsEH0YoVMcGgTfPLCov+KLdGW58ykFScNj7wzZd1btip/kWlyNY+UbECN3ePZu1xONl/SP6K4n
i0ZSEkeC/Lreo9E+XMr0fTUOnYyoNLk3SmRF4ZjpQwWEQFi8FUyHF5SVbOuevpGTG56EGs1e/gFg
Er4Q3S3+0BExXGUYitsGWXrYITEO5fzI1OovZKrSnfBSt/t3RXRU4ALvIgaMOPK8F7CSDPkDuN9e
2WD/Yy88HKwOExt7AQ74riMWBaymop+HJC7IKJhepVIR3iUf+ntXe6yaiP0PI0pYno5mPf8Yoxe5
8suM2v2MvbmLUaP5XvmSg35CFZBmiJmrZJdWvyTFX2ln3flw9MIsZjTHcbPRQtLeFUcnjlzxWfAq
cUMPVu3UY8qxo/GaPhJPDsI23hHNqspjFe7Fdx3sQ380WV8/TKAgxCvVlu0usdmyEGxeg9HJPttT
i3TQsxb7wp8QS0/FLiAujG7koc9EEUe1Q5CXxolOeundmz+aP52m5/gY3tuXiQOTpBNNFYyuzV18
tRFUuLXGvRIdqbI/Z/oId8CJu8JzqsUZCSEcNGIzrC2wrtzBb/073ioL7eJAQiqUnqTkBj8VGWFW
YqU/J5aDiUc1nurxbfrkPONjPgpfIxbq3+/136Kn+AHeRM6mCn/rjqKqnX3kt+fKVqCRX4lGhg+d
47pCSvzYA7wWOAgiR4eu8q4njgUd6H6WboeTvUl3g7NC3PtRjr71RGx+LFwyTOqizgCGiWHle4oQ
AsjMQwRJNRhkOqePm6z0eoIqImMg6XE8lzdigeIDLcJng2oYMxUjxS2hI+jY9uldAvrsbWDHD4o0
uZc73XlBsqj2RPmI6HAy47pjrx39BGDNborhe8fkLoyXOnQn9bECq7mD+dYGbBjc5wj2u2PxavaX
uX1i1M8iBeDhmI3c6sVqiQTyr4qDoAGDSyNo7vy2cRKXNxC6UodBewpLT1u/+A9ExoKCs/3vAbel
QtF2U/1iGde5O+pbHKonj+NO2dNp+JxhIBl/52jWCEc+AwWPwQ//lhdm/R+wEUv15303BqbhtqHD
hnYix9/wEbRO96GX6GysocMbdU9GeDTxJyG7UnbhOzgdIXwJ5kHES7YEYFkfhNAOeNB9vGteULmH
oNrf+zv/2xC3vXa3npryqQJxDhG9fh+EPYnXA/O+J1hBrsQme7uPbD9r7RKGsWtcyDTM8lOcxh1H
FR53FTID+ZkdlY8BviZrYzHH7OqEv4nX7lMvJWbUHGt65c2+SC7x7IHCM1wi8nUAXfmI8GRBtrmb
78IDx1CF6w2OcRxvJAQBnyxH6AsRSsnZQ5Kh/e7N++2BfHBFHWxjRNtJdNMti+ZEhB2WgGGY7u8O
WJzZbm/k6vWtIKvRcan44mmNd2IttrV4267ibfax6RGXhu/DS/yH1IW4GCyXDTJB88xDuiM9klgc
f/LaCd8TlWY41IZsDBIQ39qtX+xu81sh+SO/o6PQepwoOp2xtqJtziEMyx6I2vOgi87LAhqDwG8Q
3xFyn78kith0YwHNhJKX+QGp/W5O4Ir4ouqMd3FipV2hVBhY3DzjMpJkrpBcOtMVHnjICSZcYIUY
IlPDOU8vqrsckPcirvZYZMpXf4NLdgLwaEBrCEDNd6J7LLf5J+g/qRAhhQRmRYygMwaviMHDzucc
gMZCE016GWBN7YodVFDLI6LKdBvIXT1Mk6uFYDCEJTAj0MUcQZV+Ju0OrxSmVXRIgzfhBibKluFn
MdqbOy6LAVL9cfqJgHP+qhyKzeJTkaCVhbBqSn2eKMSUjBQpO5Akhe/LdFbu5SVzOdveeWxiekcZ
h7mGGM9nlDnAXYL4Ne/M9+QjiwK2Bq6meJm/eCe2FY2EHUuWlTD1ksOeetZJatH9pXn8pHypSECx
wX3Et+khQRQMxPE1TEkS3PCcZhdD83mzvLuxa8k8GXKLm7Ifb8UrlWRtOTX29BozCfn9OjphH9B/
ZZFt3eYjCxmwGibYg3lmgoM0mRw+VQ2iiInZnr2rIMTKXBL1LR2Bu7HptOzQV6dJUMxetfZOZxOl
Noqh5K/ZM78LsNMQXGSurHmMO6MxahSX3BlIiLS6gYv1GBPxNS5/B0WdAH2PrzCZxMRjamn1sK0y
iABHtTvVGTMorfdK+NvDjlnCDYZLDmDts/5RIgcb7Ws1IHLulGOh3QW2fq5ZCB2s95YIV14fV8xt
8iRb5sGWTWoN+QWKBLOypPbrMg7o1veXdSRtc2M8pzkJmCo3AhO8thTAimrP1XOtvDP/UCTmM3g6
o4tXSN1sz4b77ZUXPpCdjOdRs6XMz/y0oN9Nc0oZKr3Lv0m5qhcRnUvpmaZKWx33m3Ekyzv+rnF9
REd5eufP+ZwtXcHsfteTnpc75chj3cwE2UwJd0ZGxBGUPZckUa+nBMaPV+g1Wz3HGB85C3niPC9V
2POMUtEx4UmTX+24GMOE0gDYQ15cM4pAlB/MTt5Tn6+ce6Gwr8Q37joHbGyyV2B/XnD5IOu41mN5
y4+QZj6zU3LykVJLNQfudpukKNU2Sxgz7pVsMMy2yJFB5ZznqeLgJABoYGfEit+ULm1ugFHvR5u7
Ym61hMyhw9VzjQwRuwJTiQYXrkzobrlDifLDKmzu6E/swU8YK7wS/qrA9mcTIXIwtNEDJwGqHEx3
m7Smq0tvzBVeArnKiMGxiH4/mU+w+oBLUEmrYbrtuDPmJOlJrexaJurkcqHc6wIjCPmozJ/rgMfP
x3Pwl7dlPfBY+Xsq49uARjZ/xL2n+AxbHrfDpFdcropFxE/4FYZj8ueY0vB229ytPNtcWt45PDoe
AdeICwb3v6IjFaEshw8PjEybSbANUg1t0ylhtu22ASQHRWlxK9+g9XwKDyQbUc7ZQ5QE0ILps4NL
4QcfPN6oEghkTB6fy+3w39rdeEMdmEd7YHjAhTOyZlW9GdqFVaGpAUu+UI69FgxUBTRxp1IEFh34
bwwib7YtjMRmoTYaTUcU656No0r+Y3oMLAuEz+AXGXbukNtUd9wRjVbNNZL3OHM3q4upWANNcqsf
QAMl+nXGbSnbkoV7iI3n7ExV13KkZz1HkhWAETDhxpznw0NYzwJUTncxHtMegSenMh65n4mpRDy4
N9YTw8DvWusGoGBUBi2Px8NT26ivIO6EO8xVaJ0v04/W+vBGecpcxebPN9oSuhsajmJIcdPzeI5h
TCov/EEsnibrRL2O+cFQzqMdFj5i8XwSNfc4J+A+pCiDyRQBreO0rT6DtI+r4rLXE4UNlkVW2/1w
ZJL1j8MTBdKotbe1mNr9M66joB41XV4NYQssHZ8SG0K4lheVjkKbRulzdaxjLXaJHOfB61JXtOy6
oPetDJ5Wy2E7sYbr2L+n0MS6CsVw5JrPUNpE2UNHqpPPPW+/ekvpV7g/Fj66hjDGMsmNNpOvO2PM
ZY7hM2vP6G685HY3Bldtw+EgLg+lPUoCLZ4JeM53lLm2BxsdLSg6skvyBMNxrYPfx7/DyLZ0S1Rt
yD6bF3UO/nnC7KVCv4dTyfPJkAZGVb+1Ecw3X+cArht3tgguQ8Ja5PloHcYndrlVnez2UX0Fw+Np
dKtbZXtJdpiFcAroJJcFlweGqnuMuSyN5aNN1VqJXbg6OYRPHiw7EK9bzd0SKcSXuO4UmridIQe9
2pJKoLFNDhZkh//qzgOT++b+GFemZUjdTt3wySk/Wl/NNeSeSJyYjMmBB0uaxyVx/xshyIBcZMe6
GwLmYyKx5abwI9HEaYuXlXY/iA9MghEo0x4Zz9kGPddCXwXlJCvbUbmQS3e2MCEAUtsN44LOX2P7
7J52g9ONDBfoKdHfWIzWMf4DS7V42uarQGvYbjSDRffS8oPsgUlGgksOrJK1VdNzZqHschLn0G2E
uwjH83fZmaqno39DBytPAGdqDsgrZyahhdJBhXNq5liJiK7fNTAq3O2BY2ZHRcqytdeY3IG9HHoX
FUbYUw5+ryF9/MoVSn/zDM4Gk8Myj5KAgzi2MOkVv16fZbCtH9XGdVWQHeTX8kccVKqBZmCHoW6a
Y9uQVDgYjLIkp4fwlScqymeYXYj2MdqsgIo9RN5Z3V7X6H/Yt+bXNq+VK2MJ0CpSEKXs2SQ2vkXs
N9jeeqysofMgXILksgOVwKTQuQpre24LPcHsw7JssfuT4jcPBvx+rIlw2KFGjgiT6he9gwof23Ol
Iqe23cUYIavrYkyks0Bb/IZt/YN0F88BK35AHgwmaCSyeNw+9WmlYKXByDTToJo+hT8wVtjG1B9E
sqz9bD4VldvxTAlvrDejvdadAwdxm0lDALOc9lTsx8WzJTgdjwelrgj3piBqjmN8XLDCHN8QNtuq
XkAJsRujssoKxfuJ9Qfk1G/zmrWYIUv3CYxgUabx62bPxGQomLIw/oGk0CReHliBqBEx6fk2S6SM
XjiMzArf6q2IN5lHfsTWvsUccdBdhS9em6j+JXYUP+Pgo9UBo8ZJXoqc9gche8IFpli2u+A3MSHc
XuoObjEtxMj4GEO2NnazhUCEva17Ae7nO4gIH290DiuPd6bixLmdc5zalcxspOi/bBvIdmbnIGkB
OwkE5TWh6c9j2gzalWUJOT3sXulNZNzr8SDzVqvbJ26H2j2Lj3WpXFm6fcJm5zCh4vRp5oYgO7Aq
hM5Z8WsRfamnyxJ638iAwYEZUPjYR9NeWDxcXDdHbgE3QzYGtx6P6roHyOFxC+U1JOJiY/ndjFis
9WP+zpxhSXFl7ETruA02v8RkZjNi52CIItEX84BBY+cpIK3oNucjv8Z22X1CCGGD4rwTNPQdycMn
8mbi5dwu4KwVdiVd2MZogUXkaSqJzTE9sgkb+DA+lbMPsIyXPEOCM1YLYnZy9kgFR7OA7bciA8PK
XxURjTlwxs8WWiNbS046T7tSfUWijHrmFu/xVoQgmc8Wkq902psQhNMMdHhk9uM0Kw6Ib+3B03Ll
8wlOACUZIjHu3vjDJv8INkqyTr66Hd8wT4A/YRbltrbRDPoO1l8A0wIwmcO5BWEKichbuxckdK5n
q4BOqqoYCItsHr9q3FGjVwel6WceppUAI7Ql1aJR0xHfLdlgf82mh7aRYQnj/DDr08Nq5ugeb04y
mgrYpNBrXmQwORcEuP1aV69JPSsHaaiUg9Vg+yamkKhKtQhoWPtIe9ooCsTADzh27EIRDSpxiil0
CzS1JHpbukKLS2KI5sohGsIIpVZZZiVNyqbkwCY+WwBnrS5Nh6XNLnWCeZq0MiLdpL5M+pTbEQ5a
NFbM7Fy9qrhj/NyoJolUhGvkrwG7sWrfbRF9IjjMcaVwOseoZQ+IIhLXRJFZBhmk6d3UWzk9l9Jt
NpXK09fwX38e6vqCVoF5+f1WmyGWbini7fetiyJb9jPITbm1BZXy3B+KTu8PU5PwyIbxlMjQRLP/
/eUf5/jf1/3m7TXItWlLDQu3VevmEGXxf31ROl/TKo4SdNwIN8Snf/9Cqqd/TKweXKUsKQJtX9px
QRfk369//zV2TL8CI+Olg0WZIBCX06/HP/NfW0201VO/LNej0MDsFLJ2cWbkzOh+MlgjCXx/p8fG
gax9Y7oKMELbTfgEmh3//P3mP3+4/TXMTn7y72/WWRiMLTlY34H1tAZMyN9P/v2SbiOD1QSX8/vP
329qdXO3RCqJM8p3u6gQG/JKTrpfi/rfL7+O9f/te78/+P2ePMR7JdUTXzGmU2HkkleOUQPVBR2f
KSWRiyOBHaB5bUW526U4qzk99Q056rCIHTXNljeJQOs0pKbuarlR+Z1Qv0wgMytkMc3c4G3sBaZy
/tvlYkvmF35FWpYTETT4T1q9OzUahZEVTlsKhJYaIwSCsURBSIAoo6grqd/WSBd3YJ41CuvYZdHZ
hPLX0og8u2UwcYmaHuueA3kUEQMr8xpO80JKlD+089ZNSOu6040mUtiz+VV0t1YDENRaqXwWKYVg
q7gTk2LyIrNJfU2uKYQAkqitfl1ktAHEpfIVFeJrM2HTgZeUvcA59LVWR0SXBi1SAvC5avGQRU/d
ROVIq8bhqYNXWYNamVkenmtMqrUxEBMJOcq8bZxwHqgaIioYW9q47/IJHKpWXYvmPreYedLRgroB
ff3tUELYM05ZJLVk5M33jKYEn0cYpIO2RTXF9FTIqNZzCNF7aNhUFXA6TckKBaoya45KaGMWPFS0
WKcRfBRdaA+bG4SbJDKMokpeK7EP4NMnOoa9VUr+XBlGglwVHKQKlNkEINSnLKRMNHyMFQ+tbZBn
TvRXxSJ3KGeiTZHGd5oVcZijo23+oD9wgJo5wvhXdrESI+sbCiSWcWQbQ6X6eZV+WSBAmpRp6Omg
9lLnBI9xSQFmAKzScSQjQSJlSNYJThtC5yuK/miFysjAkHXRChGYQIhQveigNWAeWRe8H1k1o2D4
Yjy9VwNXLAgZpEDBPA1YNSLYaQ/oPx7KGVdANYHsWcfZu9ETjYral5XiNxkNHHCFRqNpnUR3CYdl
EmACJAEJiCEeZ6fBNZfe8pFGCRFrBUOrnFzawnupCt1oKreG879TNY2nrh2VM3o313UaYEhR6KUF
ZT1u4j+NrEAlGAW/HpKKBWQ6jennchRdp/LSKbp1TzYIUUMTUTGP+MkEaVKhgllruwx1vqMmtGfD
0KZ91vQfeqRJ3jQ1cFVYvMhfG9dBwsw0T5bEySMz2SYReU5ijKA5xneJpMFuRcTOTVX1G7Vs0MZC
8XqdeAQXMYzAEixVVXQngwF96RgZvGCCSZuuSwFTaaJ5Lx3ecdWiCrT2GbZInL+L+o2T5rSfMLem
f1J7UMZMPijZeohwM3bGJfzUFJ12jgzPrBET9+W5aAxvVBG5b+vmRD9Nf6Rv5ZiH0l9l6WigqQHO
2ESpNUBI6jUkL6TUF1IsDkU6jwqpOYjrU6/TPNt1rXwoIUfQ5heYowGLTV5IkuoUL7Nc7w50SA22
GGrfYlEVflHpmH6jB6O03cvUlh8TduDKOEj+ikHoNtPp1MXoQhNy+WTEy5eZ1YkjJzHKnrS84Roz
NVLnz8TfqrUXFGk/JTUtzTqtNqUF16Ndp+SYco4grpog+UuzN2428UZahAaCUkPuNJoRCAPxliYj
ky6juVHUIweLES5ONsR4pkddIKGSEUwIel/VON6ntXZkihRfuMGezRLyel/NL2hn+8ZAm5s+UVmb
OmDDuH1XuxmdrV44rgk0DWFrkKxn3DgVs3tZxHwOFFE5NQwNkCPs7yi27GVQfrSJ/IaOqwlMgKhI
kpaHmfruFOERYCXaetFU5d5aErrm65oELRYoQIsAUS0mHGlJE5aOPqIntOMcVJIObzCmiix4NMLi
AK7QpoNT6Q2JVbrVIxUBkdBCl04uS0wLxoOeV6chqZXr0KTPoWQ1HptxFsjpix5V4sOmS4t7hHKU
qWfpWSI/98tIUQcqVtcK0nEyPpB7/Z6XIdkXU7K5S+6gqMcvlRPRchpU5oeQrBgl1dU5bBYMS2g6
pntA/Mw3ioQYUs8y6/Yk1nVyyqT4tdTRMxWpZCy5dJaElW0TEQtPyAykUov6lVmKWbpQn/WiJz0f
J+JmC8espBOoAkbaTRWw7l0RhKSl9AczqVPayQp02iK315qws5qS/pST7eYZZZdGpQxkZpJ+HMJN
g1jugogOHQoPG0RC73DUYjubZI2nGsXfDvkOn8Z+PO+pbIfTFHRKgomgLt/7AqHzWNVQxxhrHZHu
MWi0haNWlXVPm0iPjFb1CjF/lUYFjka3XAWcd2jGHvE+xzzCqqqSxsfNT2pWiG3ZWgZ1lL1JlIeT
XBeP07S+z1V/aYsOjCCblf0qjidsfCKkjmIkvfTppoIaXjB65eFVviAXCf4fkeHgWFgCdS5QXASF
zmgZMfl5xF9ZElp8EGlIwgeHw7aX82fafy7TMp+EMXtAr99yjRUDNZWAvqmbhhMV7ryUgqCkQvld
pigLpppL/K5+hpvXKJP9qVQloHLDDJJm7fZFBK1Dj4eTsFhPiHs4EQ63lExMdGtqVMO7dF+P3Yul
S2ztAqiipJNsrZH5J1mJNisTF9hGB6dqEcDXRSDNrDQ0jOrcxULHl+RQGqGa9DFM06oHm0Oi94K1
A56WRgXLPB3PdD3OWfmXxv0dosbaZ72+4WNk2lESIoc2cv86HS/raiXnJb6YGk5P7LaLOkNmXcgG
5OOypjjCt/MJ4TAR3vB3pGFGg0N5/xoLT5MGHz2zusYL0/E7WdTwZlFZQkRmQE7ANM9RNP6JOiP0
hUDR6n2DRw6NgDMwwFoFTUFIn0nFMW4L9aplHcqOo49A4AiUAgjemusbVklQ+OkSxoOZZfxhdOjF
R2vvatJIuVkKOYLW7EGaz4uSxKehpoRqpoo3SRYFQoMkhzS8rzQS3ixW7LmqYloljfc2sQJ8dt85
cJ50Eye3alOUqJGh6We3DkMNf7b8OEvrJjS0YUxidZutpApSeHBLPnOTMg2+GgA9/heUBzuF/me9
cdvmpCXyejGSoTkjTACsvxCwgBCY8Sa9PtcXRer1U2ZRep1pxMnilE7SdA3Zm7IvswrTUxsOsIPS
zNd1Dch11lB4mMRqPxlOLDvkSNpRmrFaMBbprujZZR0mHeWl9pW2dc5JE/ZmSkO6LLPlzAvg3lJa
j5nOUCIUAatJVvB4iqlzilPt6NIVxKzP8aBL+qZAJqA8l2qXgoD3YHV6rbl51KEUNjavHbRFr6a+
jrrDk663wBdqzZDlBHSjSJW+kUqg4RYznCSvbn06kA5rNNzR0RUkgywHqmU9do2Y7Ie02+JErDBm
o0MkZ6hqv6MNGzowLwsz713UjD4WC7pbrLbHiSZjQEvpo1WbS1EpqIita29vi0fPFpfkkYer6cgV
6SgJSUKBwuy8eGrfavRjE0YI7Ez50DpTBQ4SpupHRezrKoX4U7QlNXtxKqCEtPExafbINW+QasQ2
pjDBQ8q1+TRIQTgWpq1UBf1ubJPlRKeFgq4mluLPipib52YE2a3kal8lWxsChM9S0qQjNmAPojhK
exlxiD35tDKtW1QAdT3DW2dWV+iMEMJIqA9S1mbXIbFSPx4orqMK2O6rCplsvOmVkxhm+JqNOqhZ
EmKJNAf6RPuRaQwkfagh0Jc3xpxXGZjU5ngnrQrhiW/iUELr9xK9mtoI3zQr6R2rpLfoDUen3k4J
6h1984DtLOCUZio582QxRH8w2/oFKJ+EWv4iiuAiuipJjxgrVyDVYH5qVKzu3Jl0yitoQahG5EED
TH38s9DL7StU8qWfZjGSg7VWCchJ9zHodbAKSIkVfT55ayUdwhbmtoVJzKEFRisjblY0IxzUGNwO
6a5GXEkMNXy6kEKFRrbAzRBSUfOqsnsThGTh6B0tYpa0DdoFOjpZBJBTAuu/X/vDSv9L1z8gbxWd
TTG9yOokPJPuKpydf9a2a2y1O456AmJjUmschKeqNIKwJFEwBqqaaAz7ad5TRcdOhmTIKTPlz4RH
PLzmRETyvygpO6zwt/q3MZxfgR000ieTXU7r9pXRNjRQWPUpHJSJgkQeZCT3B6Nu2Vua+NBR6Rda
MfSzJhvpiWQ4aWn2hbXANGDStixUHA8Lxs1NFlEzRJ3dKXOYoZJC94k0FYFR9MqjOo3BCDwyRmFy
jhcBarvVNA/MT7bTFHPoVBPZO038zVRd+JbpLDiaUvI2JxyrYsxqZLawoAlhNx3H0mulykN62Osk
ttFFj/RdHakmv9C+V8qkYMzQfogTJhdakrBE6xrob32TEvElTikVriNledOaQuj/lPrDZVkpUDcf
cYLtpzJHFCnhmnc19H/UWtEMjUfSriJ7mBPlJhjT6IvWYlD3WHfm1xRBv17iGqqGoBcED23utri/
r8vrui60kFkAwENVPJRd97LG5V7Io+iWa/duHP/MqQWJNiaVrIE5HC633slgt3InHrq5oDsEBolU
zfAVzMNoZue4PSmS+NGuSDIUinU0UBvAm0I34d6OTx1+PIjHTj/KRBuJqdEVgpGvhoRclt20JH/T
p9e6qrTvVb2VSXYt5rYJhhIvzSydt6IzlaDOAm7N1PPMgeSCRv0dG2vc9xa1PHRrRk761fJRUMpA
FmE0ot/yKaBAR4gwuSOycQ52AoYrYRbd4hU7pCHMxJL9vR6TP0mVf9dG1IDqNo+tFA6nEi7lyKmK
e9y31YmSi8g29ch+ff0cTLwdxEFwLTzQQM7Fym+UEB4AJniJ/Ci1497ICnIaDFVKdnB7kObTOEYK
rjwKAX+MvHQ1giUYlC6wIptR17DnZaHtYEA4ItGDAllNR9kaE6cWEGPp0Xdvh8aJp5VgSq4v9PhS
ukCXFe6s+lZa1o9SCJWXDt0X+sMQkJKw9pdVvyi5BCKdGl4nEBUZ5Ha1SSuNKtANOGCtSYq8pLOK
EohF3xajzvJRcTPF4cLWsYilxhnLbNi0CgjZgjm1VX8nlCn7vvirhVMEQ54eVNyoNkfA0BI/hQI6
kRSti7vk1JETinECorFW136VEl1QoektXVMFrVqxvaqkcuEY34eue5vHdb3k2qNV0GmcDULuo/mB
59uKqJIgEDF3YOkW7yHk3bXP2hhzuW74R9z5/0nh7f8jQzQF62Ak1f5nfbbnn/nz/xJn+9df/Euc
zVIQYcNyTNQlTUZOcRPT/5c+myTq/6ErsoybpyRbprnZff9Lnw0RNiTdVKyYRMNCQVhDuu1f+myy
9h9YNmuqqYqi+Sv59r/+yw7uX74O/9jP/Q+W46r23+SI0YjVVCzaDBk1eQQffx0X/w99NhHrlBG9
HjFAHonupW68ETBESHYUNSiYftYtiqtyWD8VUYhX2bqcSrQMEqCZceFXECI6KeGK6phlepqJLadW
fLYdHQSCaMBuXJEHGJ8tVcp2ihVfa828Tb10aiscKeOVBp8RskW5qi/A/JTuAVlPmtJ+llDlBegO
zUITSyJfdPq0lUQ6SCkkvaEOKUbmnjF097WkngVshj4WGWTYaNdG6R60Fo23qpxCe7DozRAaBbFz
dOXKbqW6lnk4zePnA3wRravdCn9Sy4o8PZON3dTSfs2KxKCdqJYemTyXCnTSSPWR4zESiYZpeu8G
iVZB+shXKUNAwip9TvznzqIeOhkqGiwQEdcGSu+UzLIvRotdD7hEh91HY+Ii16qnwQD6mPGf1A2e
B27FpP9Se6hGgxpH3hTHaqL0MgF32PUYyeeiWMSjkZr/vCIZks+/35daXQlQFT+bhoqN9MJzRk7Q
8qssUrgLtTuJmjQfOwHJlmVeJUfWLeFSalX0GCpr9Fg1gl9WEwEyOzj7KwVmS2vER9QyVtcshuqf
l0MVNo8LHHYxsTxFXmJoNIn6bIydfKiMUd2RpsVnpNDuETEKwj8R1O0oYXsXzPDy+6U1F+FSy9Vt
VL4Kazb24Wr0dFsjfUNHfzUcy0L2a7XgeyKcGiFklNNESCmbowREqoRQjaJVCsKsshTTZ2YoNF7T
k9ELmXmaKD+c2mWrbc71URtnAz/oqnVy3sdhQ40f59ZIHhIKP8UyUPfqY3qgAPVnP5/KR0sXBbze
luHWLUkMqY32tcHQ+lvZaupVEtmXg1iV2hdRqPgifkTKGt5+X8ha66nAxI9UJnYoAeovBOQQ7YXk
TcyN/KiI42pnepe+rbVYO5h80hDRKW9z1S3PodK/jmE1fqUTXdrzqqrXUQ8xb23K2Y3JheCgiMNx
YU4bQiT8NCg7TOZcP4wN0ldjblauKEblwSoH7VnWFXT60/6BxJwqbSvfZqFavk2U26KpHtCcQQdV
EvT4vZpY4rmFi5tK9wG2Dk/xlKUfUigJu0mq6OBJNQQ/RQPPbfTYdmY54lOU9pDxGOfrGpajnWSm
9mGuUVCPWfg1yj1OTPPFmnv6gA1sN+N4FjyzU7q3jH7ePNTliwbqvxOnVvFnAbaotUzRa5ZRCK6L
St1wi+i1yBS6tzQykN+fWpPsS4h7oCphmIC3w3I3Oum+ZEL12KFjs5tbADIzRFhJ67rxu/gUpDp8
ytaOE99sjnkxWg/EUzTFS7rl5zNNHbEEi0Qtu/o51gdfS/novJMEF2+28dkM2+6gj/KLJcPqqfPo
sxCgbLaRuj5WkriccXql5argSDdZbMemVozDbK5w83NrvlXCNN9KWd4PmpXbU1eOXrp9f4pBlnoM
dd3f3zC61tq3I1TJMS5s8NrlmrXGfNXUfsKTIjn8+1uMZeZHYnJMdB0xirms72Kt0B9rVoL7+3JZ
5Bkcf1Ma/k/CzmO5dWVLol+ECBQ8pvRGpLydIGThPapgvr4XeLqvXp+4HT1R0IkWKLN35so8PDa9
yp7pKlwTQ9fe2pNMH8dyZD/avzk1VNy+joqHtsjOcdGG15drQ8imz4iycJdyTgzj4D0wArEQysfw
aoxT/TnXw5XX2PYDoZDyprH9J2o6K1d3srtSGLOpqtgWfWshXBnttZ6AGLcaROBaSinMlMnGCw0H
Lf1gxsfAeLAMsz+UseduSjew7ysLGe6YBZh8gXnWibpSNQoUR0MAM2UgyQt6hdf8fuRvKBVt3ZFY
HN0vn0ILxaJWUK2RTJcrUrFQZlO83FWOeR3qKv7yPAHAUdc+h40UgClAqD1rFjZN4lJg9s5XoZVE
Fh0CuIVNa7kvGUdVFrGMpSzAMnuyCSXPc++l9+mm6xxei7ivzLVLSfZFrpnymxd9Iso+g+KzFBXL
ZkB8d4Yjrqs+BwJGAjxNHJHvG8UWzPdhnlmhhulbAEvyWzI1gs51Vx6Mu5tmbAuKFpzCdQEZSfp0
X5Rsgp1jRdWTW/Kj5G4XH4e4OAdl5V/3k2RHF7rhgbecPLo2vb8oG1+MYCYHW2F8n+ulvPVwMMSW
Ht3TtmKsDpwK+m+ZXRlJd5XWbDCttNI4zRP53Njahl5LcXA0GeOHatCbuwUtxzqOHw1auetY5xNd
7kXbDbmQFUE+7cNQhwrvuM10YzvylhWqPP65bb5aKIqTFYB3ooG7kzf/uVzqC95Pr9BndEOqjoNr
qOPlEqnCSFWmShCuFgxrM2T2HQqGJ71pKVvFLM9jw6hWSZrni9zPofyJnm1B+yN0XWx9JanyWiYE
nRBJh+VkBH0F4UZ4MJgmvgSOH29nhkiTOPCh1dWvJlqBfRqHuyibtRUlqlQtYWLvbVY5jRtcVXBa
RNElZ+NQpc1NrnX5rcYoOwcKiI3mfIuJBZHFpLDN9WmkrY2MSKVwHJ1Yv++DOFmKBHXfZAYOAmEc
rGVa7U2zfg39fCtCPKuDwiRm980HgzB7y1rzr8PRYu9byueaqISTsoZ3i0anJStJdBvzg0xpKlXj
fUz4+MZQAXFzXcfLNsPCtazuYLqf7pg8TEnNiIrSS4uAyTfDLaGmeICa+ieIoZdIivG1Qx2j7cBz
dqSuU734Mgec6yClF7krkCdrNkVdK6l3XuLSTrPal8nPkW1Im4k0MzauM9RA/9kSRhEGd7+izIpI
hLMVXQsGPM4a38b+PIaoN2P/yayNT5HDQ3P1s6YH4IasV6+KtgQN3coSQlaS9d+uJDahrmlfxbHz
GMr2CQnAtnUCtK4SrVU1ftPBweCXaWCcBpws1acqHbX0wYGy1HDNXqz0ESU8GoU+im5D+qhAd/Qe
mkyggrfS14CKf0lMgm7a0bRtqhYDLyQfvQEDBpds7Oku2RmybxWHn0bazN58+7ZiL1dnn3HSvEwW
osxMkT0B2ayP8yu6a4e6h0cy2eK57PT7wE3vSun7m9zhfNJ/egIO+/EpGE1qekiAQnIRDO0Are06
mLRDQ8YuR9N6Yv03qRuKWUuvAa5kUOBWpvYOg/YWLta+TVFDa84O/uAuZSQGXjM8UEulZqLRx08l
wVORpBHH1o440QVBsHdzjpsRT1RVPbBL4N5XnP24NT3n0+njaONR9u/hddYGpEozAZ/c55zZpnNV
p+YqtCDLoEnvfOZ68xBXNd5HC8Fq1F6xfkq3jGpuFMBXYhNvFL2P8r9v8egsowDOhK8H9Tby3evW
R6XQmMvCLeD71Vyal90xQp91HhL8GBTnzFevbl4fy6n4LDqcw602PlDdqVZd0yMsdc1dbkxXfUVU
nl1zIvq6oIBju8vCH2/obui8faqOHfkxMD+pCUcSgXN+zHXMqoWnN8txDpgLGrHhUI8W0nOi1RTq
T3ppnlMdjcXgm9g2bDyUtekuWqjzXUs10ofuMPnGwEJOPbW5+drOzyOE/RoiujBnuiYBKygvou/a
4hwxtfpTVfjBWgle03l0c//N9cRHMtc+zJugaXirFZo7OvJF6/14+fhhOcaV0c11sGLWksXyJm3t
nnnSWcXa+K5M72kU1rdy+u8xrq+s6rttLcKuSuw9RbS35908bfzPyI5vux7aQWlX7zDNyrmjy/Q1
wpFkLlJx9eYkHMvMA1vPxiQSRScWzC+iV8+htO9axzl7lX+bGeNNWZo5/MjhVffkqazbg1VrR5ZG
xqJsoq9ImLiDOQCJpEJwCnNAyQQiZOVcNylNPWoW1JIcDfiIi/vGa2+CIuWkbDBv0yWUC9Pkmtbf
aCK5IRLhzdbjm5D519HwZZXDVG5UK6/C1tpBPo3WLSGjerJKmvxGKeoxcnKXUwiWssnz69CRDFnR
howj+r/oLnDxRqvKe7NSfxanTt/S63Exp/WxdRBkwg5LAuzucEhhhTnpzuxxVWVGt3WEuvFGCl5Z
8xb4cl9qbrKxlMBK2hKNM8QnWath3XVCbB2ItcKq9d1Y2/hwSuK9HKJ13EEsCl1DgAEkwAqrhvVG
Odsi2B8Lj+/An4aIoBYiH/02unEbgsPK5ielwIo62YSmk20Cy/I+w7vk3pPmveMX8UNams8B5X/o
mziqNTI5lQ3RkVVWu7d9DqnCl8NuImKNtskzGRTZVd/giA7iMd2kWIWaVc1WjiApylZ1ot9p2UNM
KQpDe2XBSoxQiwCgI2d6FY6MJqGC2Fz7mGJHHHLC8Wh0qcTeAlSPGLudp6iLy7XtFdduOiYbRT7g
Sg9c/JOtPGp80raL9qOpQhDgwCG03kAF4F33vdfuQn0Ok/MTFi00JCt97gQz9C9NbXhzGlfu2Sfu
7SgK1pPn5bvGTl/jpDQQfLOLL1r9S3RNw0muofHxS7o4VPdYEI+bTHT1S0v2Q9dgV2Hjf5/maEvo
Zr4b5tz8LRn73mx6nShs0ZZ2HvtmNBXQXIByLrB73kZjsGFb6+Eo9+4cOuuLsDGf6LUxXTZ457TG
WYSdd93axe0YMMC7mX5qpabWRRJ4R1/D/Ic7KPe7g9dYbNCrUXtsA/LZlY82xSdSOssyskX7U1/o
P6TWEkzdxcTcpDC1BRBaVYa4iKSFYs9R1SGBJkyZ+p/rlxtN33lOjcldX27vc+R9TjvL+/563OVq
omPvCgZyvOfnI82OD0ox4q+HXu5ENaJhYseZMT/l5aa+VquhBgc1kTGGejssjrqL9TfJS4blftua
CGaa8pyMFJKK/jvKWcx2o/5CweMU71tio7B0d/uy7a5phiH4RFsXIxsvJJm/sfpIq+nbTcbvmpr6
Qo4BAUrm3uz77ykNGAnKaA4jPeaoz/0O0w/AfmQklk4vzviGW8+eMlo1lTiVI85P9TVNpbsBoQxh
zRZXdYW6PkbmU0rEom6HAqP1wPHkRIEc0vmPGtP/vjRlAUCwvnYxBrlyJ1E4XO68/Iko0m6m3n6s
00EDORK/51GGDbjLdqq36llrBOlZDmCSQO0kpQ8DzAqRlczpvLUhB6brOaP3cr1ij3+o5A6p5G0J
fHlL5hF41bak7Es1afQjTJNORp/OZnU2GflzZk2Yn12zONQTAPIiSt4mL0IOZobGUVem+PPH+OeS
Q/2PpRQRBfWQp0dPGel+7JEUG8l9BrQbENBZc+0vw6EGp993RviU9eGxBcXRQWP07eYzaoNHNx7w
lvCFD2c6yH2aX9EjXBsaQC/6/CqZTqZAGOBYxhWc07Vla/BLYF6VahvDpFEzY4NND8cGmxQgGsYx
KEFYtvi5coutvhsDPjDpLsl157jrztfeagGgqHcLbJn+VzUiZmgRoLNEsG2Ws3TeXD9D82Uf3QIN
RX07hPJUFfVZi3GQxBQ9dO2NzGL8iClLfPLBUPXVMoKop58QNXOOTCH+OAl/U0d0n1j6jVf49APu
inQme8j+TDIENU2LhRSouNY6Ktw+JQwYrbqydMxxAyBgWQvmfePaCJLrNKSvMiTQ6JoCmhobapSW
+EERHoD3qjP48hQuy+xgs4vysodxtNgYGsGz0NQ20BL2F8MBtK/lQrog7uYj8OCcNkkA4LyCXJWg
YEKdb5nVT1rNUQ0gfkkNPBqdPNgOFQHaoQuFCppgCNS4A6sW2yv3BtT9RVapat/agBS9aq11mELy
4LGsHLxIVnqd1C5myep6tApv21ivYxDcaxlMJ6amQ5ncSBuSRtdWcJbsiN6QJw6T7LZ5QRBU2sI3
KfPnYDYDCsAvWRxRYY3ih8rayhzZqarZBbDg4NCnuVABPmK5v/B8fEmNE0LMsiDQ2QzelsLModWv
EWUHj0YmO6ZF3rSfVukeOiut10mcfCZl7uGyY8WaImYx+pOVZrBHZQPkhoMTJv/a6qsdvB4w6BVm
GVKqvsbRlOfYYvVoQuNImcYyDyM7gYOLQMqHhExQ15GYU4r+pc7wX3XZd4+wQli4RsmO6vyaTr8G
Ed82XEYGPOn5dJ8ZoGl82lZYgMalrWuPnpviF4sgwY4Sfpi0jwjfyXu5y139OtSAaXTjrQorbS+6
F8tqsQc8S7rSZoT2WNZ7HWJ1UgAB0l1x7oUEw1/HeIeV/dNo5kkTwZroQPiRSCLy4JQFLalgpL9R
Qzm3mfqup/g1TG5MUT9naCJWRZXj8SkclCgOI5ptdxsFjdZXQfgqq/JTOOnebLWrwZrxRU8eJyIy
z5/UM1HjecGt8Ad/FbIUcUR7X7f6s2Un6EXAjxj5Cgkvc3R6nGpceo17n9M7s7ryPa3HWV4cCOhE
PnCaFH2L5UfbarI+goS+qeuNE4JTsENRep9P1U/EQGFM9U8FukcPulvydB9dV1wNLYiQsvggSPIj
YFAQIv/xfHHqYIwRrvA2JtWbnOZ8zGbVWogBqpLavxJljvKGYSWlax+Da3ltrCHZod97aD1xn9Fp
D6w1Z9djqfe3mee9VQGw8zYGS9tLHwMMVTNvGHb++Chz/JchMPhiXqoGVfHTad0WURh228B8bJgC
ZCiuLXQFwH5o4I4FZnZ3M8ZsBZMpPDH1bai23WYCs679aTCFVYGkE2i8muIsWb05Y3EuidzqhvA2
UdOdY7Eom6gUS8oeNm6ZPr2xSvwzcaxdD11+aG0zgRFxigVemdh072uE/stm3Nt09qn4EqTTi9de
9++iqFqghjXWLmtDPTRQN9dGgyuEj1tmE992mlAPGVlBZ2snZMEzlcPt/BXDbH9A6VwtHUaE1IGP
0kWfGvuyOfGCZQ4fIXpNJrDyfovZZxQjnE//0RjEqXe4Uohp3SDBWTj5ZO/tLL/x4k/V2uPJiiN/
YdvaSxZnr2bszVsrHyd1+oSPJANm2BclpOc8vr6cSF3GoV/9sPh4zGO3XIdDtko65LC1d1M7tbno
R59qu2bgNIWISu1MW4z68OzOtHojYM2u0WmlIsU0mU4nQ7AvctIr2mM8F0IHkyOGGb1eGnS7ULvo
H0FUrUQa3cS9gHmHjlz69U0oOs577MtjWXFWGnyBTUIFe95ul+OcWBaKK6fSKQim/plff4+sOMYW
RDkEzRroHYuyUcoHDD1yeZk7lo7rNKvAfrRr522wa6o74jGIKHCo/oc17pPM7m2pCOEYPfhEDoj5
+XcKzB4VgBMxr8SetpJDFLKOHFGv4Cli0/dj946OUMtDnDfehRWvn0klN5W0mFAN4yP3HILm+kMy
km1gS+y6GeSDVq/PU+1nu65FikiGt0EO3SJz2Gj7fbbI5WhTcmVd2lJ80qHVKEHTbYJeXJebKDNo
HRYh5FxDvE7iPe+Tp5EWDFyAgDrDPELW7as2qHfH9OADARR3ciWuvIx1aOaBW+RQAU5c2njq9A52
PnOrGmbUmQGNeJrskfnHXdbAfmh7EWog4kVjwzYi4xJCZsRqQiTIOKsObjQZPsSVYRaNx24uvaYe
2Wneps9cQWZE9NgQc8OI1ZAiCCtIH7dm331KxH5YIKaRcy68djP/tjWoknbmfVcPz5Xpn1VILyOr
NTD/vEn0EKReFLtco0TpRDHzLBMaap8P0g128VQjO0mbH6D8Bc189qz0+ZbjYGDqdZkIep8cJsrq
OPw+KNvjMSE3YYkeojCN13aupjBtfA24Sazc5YeLZpRghTlSuHcLpyWfKjLKp8iS67LjDahIx6fa
UFWewN6IvAyvsKKspM8hLsq5uzl7XOrcBPqmII8J/5PlzSOiAshak7YK5QTnORt/hqj7zJHKdjGK
aN2PDdzJDhvIYEMeY3kWnXwSPvsn2V4TWsjPe3RD6klj2V9rZWSupKIR3Ep/kTXpI1ouilErFkuS
3GinHo5Kx2mbhSU8rDyfPR9B9KQjcaMMEvprOmw5BfJ3a3LqZajkwQ3UqcB/srI8MNldNFBeQ3Do
8SvZPft0elAHr4XBqw0Pelqd3JAxzy/ZoKXRuHf96t0yaCdF4b7LB4pY6tur9C19ledUoO9GU/aI
gB7GPxaHpcKUbqMKK1LE1iU68LFsvwuttnEtmhuLOr+onkRHX9qJXYp5cfxBrkWbK3L+dLK+tpGd
XDs5hOp09L5lC+tM0dcrKFdr2jwC5BYtaIgX0ZhvCFdCb6ty1FsF4q0KtVlh+M/OwDfehOqd0Hpw
MN3aF1BJO1PqiM71ddu6t2xoH6KgfzdSD4tt52Hu8rptpxMwnrvjNuhAEKuheWsz6lsilggXB6Ah
QrZMTuLaplEIQb8C5svIZ2rpSauIPRgii6J6gq1t1roETOks2eFSuj5NnAb4XpyRBTO1rNHtAe8u
uk/H+eotnR0MAn8hCWENdOGsEkcIlEXJV03LDBdU8uBmbJsNKgHLptAY2SkC8soGHYGVos21QkP6
ZgcROCaThbFOXKfv4tQUzfQUamiRc2mQ/+b1JCcV3riS+vApXW6yc+PGk1GC2/sQ0nlZURjj1uGu
s+W0diNkBlF5JJ52VzX+RK6JR8CyILIpN/EpGRpQgnIiygrz8YjmbFXVBURNz8lXfazPogIWk5BS
XPPWGkKgvTFVQk945LAUr2WILV0+SaSlq4hcy12m4PqbzVYULmJ1A4kS+IbKcFeKAeaQTxnBxcYm
pq3vnIOMM5nOk7lLXI20jdDSN4GpzI0cmGQqB3+dSMV3zOZvGRGXi2Fq05QlQ/ZC63OEe+N4hVCn
3+XZlK0R0+973LmMhs2etfRtibRxl/TRSTPpNsQ4H+LUp0eXAYvNxLSbPJYhjmUtXeigg98ii4ZM
YJMRvSlalghWM2w8BfWrjbtmmThsyKdWeykbQlLrIN1UFbrP8ojQFgRCSEHFbDw87GNiHFSmiDRI
oVWpkljgsRs/DMQTpwz4Gt2zbKVjqw9xlNaaewpkin8PphxNo3VZJulVEcT3gexZeOAuojxL1Y4A
9wWt2l0c4bqhO7noGnnHPnYjyR9co4SnoVq42UEVAKpiqHfFjV3QWKjYZ2Ohze56FfrPAUZLYJmV
rX1RnSMcDPOYMpZiZJqx/PY6MDyFllPFW17vPVIVo6aSjNRE9wxWVW5MVXzoKHqRy4erKXIZYzWz
QxPJ1xWSh1cY2Dn1u8p19sotAFl2syfMApKQOKw3AwceCv9Fsc39RP9T7GyJB6+PEm8tmKMcomXW
pRHQdKDi09OPDF3xUWhhe5SVdl2nDZ4k99EbdXruQUb6Z7K0G0TQfKRdCNlvz7bkqFmZRf+AcgjS
iH2KMxfJEQBYPb8Z5XRlunG2ormz0Lv2Jm9SWh0YKIXhEsmlMPW7qgtpLrFjalw4AGl0b3oFXoiw
kNssrvRbL4AyZWvmY+2DU406ybaDnAVyuB7joN5MFq5li6bjXomqXDZ+vyZKCyZLi8k/KKabTDtb
WldsOe5OZqqdERWg/BiaszEp6hLs4RDvxPXBnrT3OiIj44WC/jHTnnpr3Jsl270e3T8Qe6YeQHO9
wr/RZk9pkV5qQXQc5LvO5gtDDqqQPr1VqqwWfsovOSElXY1e7syqU9qDZv+sDI/2W2FuxgnYEE6f
XTJWt2okMiEK/WKV5h1wi9KBfJ5558i31KbVWe0ZRXQiZNs9Y4o5homNCMpMKa3J1xj10JbUuIHD
PKBQcdK16JXqIDuRDpG6A5jHwLvJjqJYWk20pvNhnTMll73ETO85kFVzOCc0l6G5OIi4O4NKNtPt
UdGkW1at+nBKi/wIqwaNoF4Y2yv6k+JLtFAOEzfBb2KCws19ecq3XqBW6DKJYS/wRqesf1Optj7p
B6wO4ZbGbKkoytcmAFZ6lsWKPR1shNQKUHQyYtuIuRtF4dt2wJ7WpLeczSKDbhjmICygAqWSVBek
JhAB259QJJS50h9Cwr1VxS/iKcdcO3V8kEhimAc2bmR9jHF/7dsaWeHJOkDWjTxaPXbEQycWZcsI
5Xgw9Y8jnwaN+tsYv3c22QsZOpR1pBuryHGLDYnL2bok/xptbz//TMldZ+Ykk6D/EULeBL6/KvjV
2O7n96kF3ayaomyrSCvDgpF+GRFdHt0pH4IA+p1IXyXtd5C7DER+3b5PSbRjJa27k7vLQkW/uyx/
aFQ9AbJiKOf1qdouglA+udg92pHQsWCkXNcrvNBFCXY4zt4RyRuMnMbRN/SvAJ8frNyUDMbSe4DY
EynT2ZRJfzOO9dn3O7CncbRDWCMRb8+pRKUBMDxtv1LRp2w+WQFnulvfyto6Ys721zkWxNqdE0KE
cd9BnKerQqNQx5kfBc80ppoNxQp+G5h/VmnA5WurZpkzeVpUNIAQ5G+O53bgPpiWvGhg3PcPCfM4
NAhE8zkOEY0Z0x7YT1YOSShlDgRTG0t2HwivQsARijpdMfokpgvz4Ax0tnuaXVQ0raWjOOB4akaG
pLW2zdFxayodln+vRZmN+KL9QtrFJiqb01+csduOJoBi2lfgOAxtWxKsowvxNOnaVxMO1qGFLt3o
fnrnXXkPYoiKYxt6+HQTh3pneO+Y306WtDdlMt2GEpdOGWM2joYzmBROEXZcLTAcs0fGPDqEYOiQ
mKdcncqubfAkkOQce6EONxMKfd2Wz1i49Rente8a0/4o7fQlzAUkmWTUN4xqyr2zKbBuTZ+cIKRR
NZ0cFpxl0dknJ2eATFGnU2ZqVro753PZ3n6ontN2AiFaQVTQ7fqjbLGC55W5lIG86SoTEJbBErOU
FHyqBgdd0wGVCO1t1CGRJGwzXNdgtAstOxMNk+6FGsdr4SZXWdg1hyBu9L0z6dcUDqhmJ9OWzNAE
79dCj2S96yyBpybu9XVHhX7Zpin8+R67AX+uyjgJvqKcFtuA/R2/2VZz8BkE9JdWOvgfWQ/9iuLI
drCDM5Jh5iyTw8BTyXkcnXsMwOadlZV7v28saCzifiY87Aa9CFmawuqxHWLc8uKgaOwfhAcu3jXm
0E/xSEDug22paZMS5wQvqCeh1fTek4qy49hYoLBzqEJ2igVNKHYt3bQWlsQGk1e4eeZqtq/HT2LC
+R143XubWUCkGWkKR8uJeqRCFkTdNjXB3YrMQrOWgtu3C7/dowPRGUreMiQVy7wvNPKQ3AbzM20g
LhFNF+u4g/KUXTdADZm9KzI3rwVBtn3+Eeh2+pQF2W2cQZjPnHVX5YChMzJemmCd1sDmov4u41BA
UduR9XfZ/Wrgfp2vrumetVr66xgabOBi1sxKw97WzMt61Xw5Yc7C1Hdb9oHVNRnBzJTgq8pqWqs6
3DNOsZsqouc+0Rh9TaR9uR9sh3nH+RV7XXG24vi1KpmXc8rVsQZrMWvTQ85BvTM9YrVQJu1N0mIZ
YQbA1GvXZPlENPGbyWZ4wKHhVAn5JyVdjLh7CYwmXpOu9toaTbAMKOEtWSF/902VbdO2iJZ+1+GK
nXnbdcECWfaw4Vx3k2scr1MPHsZGSAICgTdrFAA0YgIFogK/h3KPFYONW8I6ULUO4dLrV65SDzqO
vkU9l4mtMgZCXHYPeex3m651RmpOSPjtSI4Ll8FJJSkBfDY4HFzHj4UBqsUoYepUBoyeBmfPRo8Y
+dCSAMc0x/cGeX2XDhVCKfembHRr6/iTvcnoO4Bdqp7SmCVgPxVPsp8ZleT6rWA7nJVeU+M1Jjin
Vf+gKzXt6lUuViPWFw8ZQgtfhhbVPvLDgQ9qRUc/H3LOcjs/XC5RT0Gs+f/fZrB7T4Fc/c8/j/Mz
/D5NxVJo6dRRVxxFgsvg8sDLY6raQWh3uU4d3yMl4Z9XDNKKuy7X4zHirss//MfF3+f/c4/NYGN4
+//zXfx5k39ekfluxnNd3vafW0ILLKdbWzI7Oo3J8TF/mMur/3kjl1czIqfMd78vXGkpS4jLQ2vM
gc2f7+/Pk19u/X2WyyXdHRrOBw7SPdkPoWPJg5e35b7IB2PfiaFkmIFWc7kUoH34c+n3Ng8XN6qu
fx6TILKiqvbPIy+Xwnmk/r2tDbLlgFlvd7n9zzNc7v3zz7+v9ft/fz0N+Y7IekQIc9Whjr6OpRCs
G8Lr3zdSGxodiMtz/cfFsuVYBfLD+7k8edEU4cYY7Mc079maq1QfN57UrzkLC1A5/EnGqaD/wJ+/
bvu9erkEpufKTeFY/nX75f8vt12e5PfqxCqUvQ/4icu9v3f8vtjvbZeHZBSyqMDP7+qv57rc9tfT
XK76HZBY0drRkgrI9vf5/nzcy/XLUxWySoCS/e9P/edB//a0l/9JJ//gt7IicNzpDm3BskxYmmL3
xVU3iGmjzX/+uqoPnZnBxPpfd/f6Jpk8slPmiosOfebyT79//rpNL+FimYNlQ6f6n1f462V+//ev
l/q3xwk/4D39Phf6wvrQEHQ+33z5B6vq6QH+9aT/cf9fL3K5+vfdmp9XuzGR63/9Cv7tff3r01we
+PteL4+53BahIFv3rvktYzlj+yJkhIIW2gKbF60PkZsNhPaujzd/hovefNIIHQ2mE4atx8toUFLC
O0RJWe4tE0YBMzjVh3xtpEAEUL5CXzW1eRJL15xw71ACANvUXQPcjS21PV+iWtdYbLGdaq0gswBG
rGD9UjrTvfxBDxp9h5d8mw7qoZYxJUeNkqYLSWkxtKj/pBNuqkBdt6I82RMTx8Vd2ebjzVipLysI
MFajJzBhckGuGOcaIAlGGZw1HfQOJT8Ml7nQv/xseBCVn2JCRBSRDyXiIizDowjitZGzSgrTU17W
pKDE0BmKqYquHFRQp3Duw5QmGVBjfs4FWgCa2IC2nQJBAEthuuikeaRdcFvVcg+zF/xbP+m3FgE6
u6nnnTlsVwf3maUJW5tuNtq2LHQMr8VCC4wOEzVRDzlbfb7TVclehZ0e0SAC/omAKRlosN/negym
FoT+06NpZfuiqk6odCvAPNZr3YM9KscMyg1Z6zZzOyuUqyikI0Wcerhixw5NqNiPMAqoSrDHSCgD
anrZQvAUC92kCxB0Vrzpa747uzN3gRdFD1gxIUoYPZRTjxR1NuatN16nCuqSyxfjKf+VnjrtUeVf
hWNK8gcBZkGR4G2uqmFL7+zKUHqE6AkA5dhEz7X6SQIWkLrOimCYbGCE08LVqm7XGbS/tcbbxhau
VMx8IP+Biq1ZGz+xlhw2WMnJf+jaLze+gbdAYCha2wW1oALKrzaOd4YGc172GivzbFq6QfrWKh+2
ChWJXaVRIKggmGy8SfRbq8s2HhqNtWHxwUN0jbvUux1in5DGljc9YN2lh1RqB73gh65gMLmw+NiG
LbzQwyGecS51Bjv7CLZzgK+0GU7zEWQkTnfKoumbFjbL5Jb2QG2RlugG59KQn3UOBs/g9FsiA4Q/
PiKViyK3Wlo6+Z4B7hraFMQN4Q2x2nZYZci3TItwpinV0Tt3I02RnN4iypfnIE4R8zvZAs0aZMic
CDuP13JQkoEchdEnBzUeGmmjo9M2eOaD21F0i6n2PqqsIP9BD99HpW06D65tL1iXCfNEPQGsYYGV
y49IIuJbKIeIuvYwvRBeTXC6tRPat+sXiE9iM97jnYVpnOi3Uxdglx+zVRCphxHcXaRD7/JYfZca
lddUgdfT0s+0FnIz1SyMKTxWG80DLcEJbSd5gEuqkHBgQf1TPbqaOKWX4IHm4HlxHQ5UJ3K6r1J/
t2uLZc/oqrVs7tu0fkRMn0Gf8teOX72KTp3poZE2ZnbE6SkgVIGJ6zuhMh7omP/TGeAnBn3hE3aP
fIp2R+JGYDJJNlC1uHMSeIEzNQXbWpaxR2rzmvT5BLYbZu010I2dMBFcZtn4HPrqPQhrcsLi8iuZ
XiYD1p6LOlTHQLpqjUevjh4V7oNjEXfAlI6+2OiO8t+7QXorylVAZVzs+SzIncD4KSAkwht7TXr7
jC7zWWX+lWXwsFz0J1NHf9dNVrJWSFq6CnQy+hBKUyDMIwzq8VREu/HDUUTtZQ9pId+ELOgLdeON
lWggufEMOlQSMUkwdls0wmpVIJKSFFgbiCUcE8umlKjjknfFl7RoKoQw2Cz21YAFC5sWyefsEeE2
ZK6L36ctjyas9dwOblGjwE8IyLeaW8jOkK9M4juwrFFxyLKXPpSk4PrZrIynHNG2+XNlC5CM3QhX
NI1XYdrD3mp0CjIAG3VU9utWy56cxLhVw1ycflYOXd86/i/uzmNHdiTbsr9SqHGzQGGkkQ+oiWv3
8AgPrSZESGrSqIzi69/irWyguhroRk97kkDmvZHhTmF27Jy9186wUiKIALlQGdl3kdhfbQ3FlYbr
ujcJTu1hNJVkte98mAjrxEJI4+dMteIpwq7O9KNA1zlM1YOZ1jd1OxEfOpGrTqOzpWFlD3zg2N4F
LdY7s7Ob7WgsKQOmujC3Iu7AIzKO+LW2jkY4RGwKJFhkntqhF6E92mE0T61jw1RdthLzUF7dFBmN
LUce69r7aOGpVqO4jX1CKYSZH2JLEowbgmPrhxD9hz+cOibrkVeKTc2uu+1h6KH8I+TEM5jdIO6b
0DeU4yZ0jC+/ZsAX6hHGucNkYECjJL09U+9H3P172RViXwl7787DdRaXTyVQF2ERwuLHyEOmOn9L
XB4zo3oNzCo9aRioYCtVfY8G+BFS2fM0d/lGNO1j3Mxf1ei92CRDaVrDBQlIXjRez2RXZjRcrRYp
q+V519WC4CdtmrYRQxlPtMcsRKGSePshMXCXoFR7Y2r/HkT5o6f68+hBLzHB+yPta0X+BvBn7aYd
KYI9tYGjzzGolHzC52Y2NLUyZd8mRgOwlveT9Bo3P3DqRn2YM+tLBg+JPTAc3s33qRvJuGcmKMmA
an2SxrqEiW+RfQ0yeXLq8U3X80/KkBZ7+37WybEXxSPzVSZypJgpXKV9QgyDBlmz4no8iBlBSjUn
eptZTr8pMLyKIPpofVhKPbYcupvb0idBa+jkTyvaGVgjg/O+Q8JQCsZPJnILY8mHKM0SyDweITLq
IIJwSkIYscUUtR+94PhWtLCUa8aa1ciYHpNatDYmUYEZZW8G0lPnPeflEEG7IN990VHXKiT5TWYw
z0kBxHhkDq89H+poqpdEZWQqTvlz0BhXrHwPSRMCZu4llz66sSBwVK6979LhMFYEbR9aWsgtl4VF
AqlEguVqNTAmfI8nBoO9VDeJv6gXunZrtpO3GYNzVlUPee+gZrBLTCq8vYMf/uT5eKqAoqzLsXlB
FXKG+XTb+zmQjeFOddG7WyAm6APaUOmQv8mATLUZsydAVZpajqA3TGo9XT7Tg3hN2dBYAxXNuPUd
88wruRf9NB9BCoVwIPAGoLbBDIRnhtelf/E62nJz7o8r+ImXPKVBgsuHqynQczpF9Fh5+Y9ajCsL
lgTpdf+U0Ig/NDFTFQQ9EtcCHgN052Wkr5BuxSs0jO/YYDYsufbOK+od5JprpyEJulIZdAC09Dlw
r5rRumOgK8BCDQ4A61ckjZUzuzT5HS6y5DJKiYOgQGW16W3CRsCwIIXFp7opHtBTK545xExoqFdu
2yT3nd52oQdiHePN4N8F3+bY92dr6tagQ92DH3aPhgB9bQX9O5pfcNBLwNhA6mQLfV37TDVgplgB
krmcJk3DVASqeL1BNs/LQxFWowmsI8ZnzPoQpBbZoZhhccPFfZEU9YodvNcKHTi1MVnd+DqBoqTJ
WeDH0tEAHDHlcamTe4vlZ9P2vGsh5BokK+coqX5lm9AetxiXZ85T2Po3CE4+rRFVCjQWSm9MQmHi
E5RXXvcgoT2KxYgmmw6iG0qQVdq413aSPVNrP/ueA3ckAms02+MXXSmGLb4eb/yArcYDb+f3H5FK
2M29O2OJwqy8Gul2zdsxrL2G3q2rC6ZNXg4tx6cG83KxS6PkV5Ni1V25lUVapzsCRhuHJ5dIQ8t2
iS4sAOUmknOw199iQ2XYa2S3Dr1xZq6ftMTKPWO2C6BepphzrPfocp2W+bbll08oiD45KddrN6uR
vVpM/CUPjfFrh/ZHUmXH0GM6mMTdlRI3hYIjGcSIifOCQnR2IwR3mb8OMOWks3vd9MFjYfQ/jHbg
UJ0TUFVI3jcTTmmIxqC6dXSbaiEQkdRvY5OeAJHczw7NGa3ea2GgVg0QjQGkeVICyeiowid/QEBb
mxF1J6Z8tLIYwH20HABPQ8QpjFfmg/amVVK6H2lfEA41TARGeKQoONOjbWJeSnkDY65wJhLgiq7x
4yIo2eQdMa7FNrY8lCDj+zwCI26fcslbWhQDeXEW10kMghTMgnAphH0ckmzKsfa6zchCgTEgsJEh
V9WvdntFkKtnjowBXONBVAK+I8cxFimyH0wfH+j07C/e3SHcqgxEmDKcKydu33TsfNoevOvQ1g/m
FG6nzoJ9G+WQtxsqQjfg6a+Atm0pTGCcxyA8qPFhzSG1ypxfh3HFyhv7H4baf9bNVVK7NvQu8y5B
XU/wnYSJxuzeCHhKpGt/uL7/kzBfwipYHR17OOjJDpg8WPe1GyCdskCEBQ7Wuaxylx/YJonbQW8X
gNQzBuP2tLYQRUpL+9QBqSJWAgkP4o7X1KqPTUgkGALFukL01+bqKc3L69j0Thr261xRP4NNZgZv
QYHx8sXyl25WVTvf0Ap4VeJ7QpKkijndMLDCJ9b2d7Ic3mQ7fCVFd5gZanu29Y6+090oZ4C7PhP4
NDbY+mai1lseHiUedCbveoahEFiKa41jyWBGCd81eEtd9Cfonx7D7r4XJoNQju6rsvFzRn1kasfl
de6Ks7CYfGYQt7x5xKhhyovi1KEBS2xipgKBGJ5sbTyZQV/uoni6x+EGUX+UdwVJ5Vqn4ZGj1qsf
3Pv02hGZFHJVMkded11KgU2B6YEX3qTwcycCMpGNrXTT7ztJfpzC9Zw/1ThAT2ZKsG1N/JGKne2Y
WpzENII3/AZAsG2PzvOpjRYOD9zbVZQsUWd4T0u5HWrz1cjzk9/09j4cp301hruKtGbisWSPpKr7
iut2M7nOkfoCTzgFxiBBlbf4Y+rhYmZHKmn3aCzKE3BCKGQAtFutt6XeJ5fBCV7L2kGD56ffk4xf
4y7eThOGZEP3zjoNbERX00slkhzK4T4HQ7ICOEN2FK4WL2W0J/rXrGTCHjLtBH/GXQs8Mm3aYMDt
SPxFIA/8tXQRX3nZ0ziye7sVglY1UHJoD/Ki36oVQ4ASkVBwEtW3CiVhrbEiGiDeORkhKcE0XqnM
/gQEcQjjtOfQhh657r6SYXrKULHtjIpE5Jo3fhsYkrMh+dN4M9ubklhUAp+mibguu+0AtGXw3IwK
dl0dbkVOckSKyW6Th/RCkuS7CvOzKdE0cQRzOda7itxD0jLgRAJDa0k6qezvgVAVbqzF7HqP8O1d
omaR80j/JCiOmaO+oYm6OwkuKc2x+g7gNms7vpkjhKo1/1i3y/zenC8NYaHydmQ35VUEDll+JDZY
K1f/gmS5CQN8XglrlCWbbaHlc2CNV1NjoOSoOcVXTnPRjUBXxvRPMr2C/Afci1Z4rKZzjuhymydl
v0sQMHoMm0nrGJ55R1GDQKNelkMPuti05+fIYIbknKXx0crNJzyoBknRYv8sbLQjQx3edfF3ML7U
vvOCfuZRFsTCQslbu+gs1m0YJitEHSiS0FJKTgsUvLybaHYrMjYbb+e8mZ6N/8N5Hove4II293BV
eY8G587IMxIKhPOq4X5Y0UDWGlot7kwQnbEQPEazd7AW3ZuI4pZSeEUF4PFkcTtsNGd1D7y1q3A9
avs2iKM79cPCG8IUG2rnPMb6Lhec1LzGRrcz1EgIzNe4ae3VZFc3bj48jugUdjALb1Opz06Ajsxn
JisYw5JpUJ8HbN7j5DxYH0ipPyTO5dbkwczcZxl7DzaBFvjzr+Ng3mcdFpR8OrUNb0uEddon8M8x
X/vO/QQRSILxgGvKIYUjNWnGpOz/ck7IRLIBm/Y3We2BnUKaK5Ji3XTWW7gcXn2DoMAGrYZVnTPb
m2nctV+qHhetwHPewwWnQzow/KPwNgmjK0KeFqqYvqwCaKa4qVwmyFXYfZZC36mYcFcfILrT9A8y
F1eILMg+NjCxREjtfSaWfDDI3KJIfygALIYyNiy5tPqKi/iQutmpwVtsZu537Df0qZqGBKbciuBx
7e1J3WReNq6bmmQGPeInMdW2rtyPzGpPjc0kNnCTbZrhv0075zMOy7smcbd8BJjUYC3Lm3YezqUB
/SbzkG4k4C8G5z4kE9YOw9+5NB7txbOGY+fRyN41Ggd3JpslMglxHGy0nQXpDZ31JfvuaAfJA0Sc
6FiV2XcXLhc7zt8nS79kJVaV0sFp3FZ852S4maA5V2nygIXigxLiw1xkzrLSO1dN772KiLkw2ciN
gjAJ8KJiPcO4W1GbL53KkaQqgjSdidasmdgnVOt0E+L3AEvQMlM9F2SVooK+L/yB7CzTeJuj4WzW
wSkOymubJRwoyr6rKiQGg42qptsmQ/Ka5I1Y/9au+nKd/DNUKqSAr+4Kg/QoWbC4eLhjQswfXn01
l8M2xPbq0dHLM0tdOXnxgBhyVZIvYpeoX6YBC1NshS9piirW7SG/zIO8SmbhMKZesGVVtPfqkkQK
UhxhkEqZZLs5kld5VX54on5HOn7RRUjyFs8pb8gLbge5NUheK6vrpPejvd2kazmAlpWE2DjpfGOE
5anM9byvXWfr9pB+2PKMLdxDHwDmoqIkLkajMF/01KOPxW75UsoJ7kdJ8wZME6dyKjqe4vLayZ8h
yJDhUd02cfcaa7SvyyM4TzW4asqjXeTxoNDLv8Hut6cj/hrK7obO7SVsQ5NTAoDhHECgm6qrnCyk
LrbfipE4s6qLKWsHtfcDkk1Ex8ZYJg+oF9iHTZoyNI/VgdPYQzcVhAmlX5x+Hwe/644SP4hTzuEG
gsCrqyCAh2+UBz1sZEqUkEb92fDFtkFHtUZsT8paYR8aQ9DWSyeHkqGOzgUR2pVUpHM65stY0Nud
e7lrVFJuUFqQPdohxMFQQ2dc5NmhbK7LymBAwP8AhhXpOKCrpl4/iiT0D+Ns3ChO5ceoyGhi+tFJ
JwOHRqPZOVNrrFWK6F5N7n5qC+tk5GiZ67mOmERIDmp+bO6LkJyuKYBKbPjI8SfwqzjAintjIpUG
oDq88OVf//XfwuKQ8l4yvtnIPCHKplQ2e1VHbJgsqn0e+5CJx1dfJNcMfvqdJ/FU1cF0rGSR4TiQ
7x59ZAsD9Uo6hJTyfXazRaHai5BOn1WsOdo8z3nT7jUVejOwh+mGBmTSPaix+ug7EFCJx+4zG8NR
WBqGePgrJUBCcM0fXU3feG5rjVwSFUGLN8Xopw4LE6W9N1g/uIF5aaiwizD8dFIBNsejhQ5VSQRY
5GMTCVbjsSz59QnnyNI8NxBt+gcZyq84sDG/EF49sQiHoPGdOTmbgo5VF9gvQXbTI0XAI3xdL78u
WSYwjmcB7Izfh8B/9gVEDL88CPw3az2l59n07gt1USkYBpQ1D2WEwx0j07FRgpamvOBhXDXS/wZp
KtkMIXm5+V26jA4Co6BtODZXwowGXBDOAnAvSSQ1u1Ov0T3WEcEy1YRkDaEbr7VzLLX4CUyX0xv8
FHTidRbTCfVCqIRStTxZjlzZE8Y7EFKXJtWvY9FSDo0ptkan+B2Sub3usm4f0d42XU7KTgTlkYeS
+YCDNzA2X5NJXgfRLyqo9MpsFi8CB06VwL9tjfShGJ5DB1uK9jmjxRHy2Arr99iRGjqSDewHKWdn
sgFWMGT2aWJaL1nAap11QOoyWizQoEhxTK7IIoCsosUNZ+xHzyxeWgi/xMpgMNAWCIrIgBXm2/tk
kcKlKDK5iSRoS/Mg6BzSpEKnSdsT4++cMyvB0qyM+jQb3s3oEmWIMoifsq8IFul2pu99zBgSi4FW
ZagZruiIn2oXxls3coYzHAhLZe6vM8+ztuEMfTivKFSdGmcxpJ+VQ8PKVd9ZWt82QUk+37S4i3I8
IzbRnEXXI91hMNXONJ+kzD56mnzsNhXJxDUds7yKj1GqlwLafnM9/K90K6M9f7u5NQs0S4ONvG0Z
PYXvNR0WjEsGtWt3xjiAaRBDZZRD06MYuQvBvACZo9nZm0aw1zfaWBA0Ra+2Qek21PyMPTw9+Me+
puOXQIJmXsYDEzhRBoOj2SCeA37XZP0duG1ilxZcqTtUV/TlryMXrkJP32bMkSMPtDWppdQx1Vho
OE3t4XGCHegT87pj7I6jlEVM2hKPTQIi2rwESjh7Yfb1Tk/Vca5TDBpZuY1tAZIvYnOIIsi6A/32
zMfSkGbjs1fiAzW7J6Zm3P9yBjZHRzZMWtDFFW11zq0FxlfvqiHAszQdsvTqMjl3kvlp3dC0V85o
XDU8xTDAgAV2yD05QLwGAeF87lJ/Vp17NesjOHEDR2wFWH8mRNGuUpawajqJdpkJNaax6i3S3geZ
NdS1ubuqetpqIuaxMAbSaZk3Fh0vGscsz30ucmxj0irDtS/WpQ0lArQ9vlle0Vb5yyt5yUd+RTbx
Cjt5466FEA4qOmjgIn3pPK5taHUelL0MDQ2v/aYYnxuPb1y7/Eo7w2A2RhBmW0Yynq9f3MC1kIIX
Z5+m5FVU3Zm0UHiiGHRzV7Zx1kJ5BImwDfndliIRpmYJtZYqSzLr2Xo+SvA00gfBwX1lGoVBHq0o
9wyLndglVQwZJshdfl/9YXqiuy/scKvT6QUcA7nlUkNNAGtfYL4EtcOIaAYgMEKm32oSSguDK+BG
n8ohHFH6/SlihkrjMLCDBoAFbXNPfdtdziWa0lu9OHX90H/OY+0f8CkR014rterQoG7suj705VVT
8iS7Ia4pXiTILOpaTB3LzVjaR2nj7KSscHnmhLK+x8j9MO1fPc7fcF/viN7Yum59O7ceQN8EY3kb
fqDd46cFIQRm/hhCltqMiiUzp+LxjEHfDMyYPfxTaay3bWy8BQ2hoL3VkE2XZEgKhCGJU/C/4kww
02HstUYZS60xU4tMVKyca/ekaZDfMpKYybZ9TJ1wOpElw2yDo48oe4rZqBp3hjL2uUoeOiM3d41/
awuDwtCcnvUIoKo16QqPzRPhHd7eG/DdRWULBigArzPmpJrl0XXcdm85eZet82vr5NbntM8hmF1R
6/FF2BwHevxqqzgg8yw9NJUbE++NK6FyGBtQqwwtet5KvwGPQNMdXmc9oGnRfw8+DX2V0oLXkfHY
0RSo7DxYRXbp0fxwnnTI8RDydbFFC/JhcHRvYjlBDkuIVE3TO0MoIDQudBs5q4qkP/rXlubMBzWO
5r8qf0xn+Oy0ScXikbvN2rPPygrWZ/6JoxxGt4u5xPA5GduyuecbpTxV+Ioa5eb7mBQvH1Z7ZqSH
woQt1ITObd0GKUGUPNsOCSRc5NWkgiueIxIZa7w2cTcMNwprFpFKG38EnRX3H9NUXdhhU6pgZ4Wp
JIGJWqIDIQg6rdozzjK6/kGqbs1ZfactWpAuTh9sMwjXcU3rNa5cCH01jRMMdP2l9NZJYXzRax/e
jejA9BUZuyFudMuYbR7LLynhg0rB0ahpb+rFmZNa5ryPoNpdkuUfLt23wgjk6c9/wqfypV06Dyrz
+Lat/wi4YDwUCMRXGRIIGkTZzjcCyIKNnjaqZh0OFYnLfUK+eWK+tCoGcG/bkuS3g09owEbMwUuU
xEBlGnraVVuQ/htykCmGmVpo1YxVfYTF/qilmvc2BqStBqY0ZiJidsx0DhZIveflwUXsY1HqfLy/
FpM4SjjWWA+VPSevjDDQpu1vtPLJROSCljN+VWU1N11ANHOWgKTk5xHAGx3jjXpIL0040eSnzYij
8BOiPkxSyVg+7a1nx6sl6o53VZfhPh4xWFegyxp5KZiIbbCwIydGOR8qY6cZsVo5GPQKaFmKaSv0
NNZwEsuaftwVRQ08LLwBSnYdeZxVOJahg1XwYg3Coypi6nB2KIqc8YclFxib9G8tp7mr+4w2jAeJ
Y2L+KdiXorzjJIA3M9S3aYhrPHEdshLKgtiZHPxbbfm/0tV4D7vnsUNpJhrKDTmhsG0n1mdn/haj
f2gc6Kzpr/R4QOci/6pHSBqm7Kj9DFT/5RRdDY56ajLEFB0Pl90+jll7FTQofPBpbtGZP1kZXAMZ
iC+hyXGWjgVaDuj5OrTl2SZ5IWf+AvvdO5KnMp1UOj5ZMxa+SBlM2wm/yqT4hhuw70m8xymS78bQ
J5M7zR8hRDA3lTj5kZEjp5su2mF64IrwLb5FgcKqQkjxvO3tbmPo5hrwWE46e3+cdHhRLQNiSS8i
s0akOpL/Jzaol6J0f5p5vBbgDahSN3EYX2FILlc8nQaCoHaXCXxa2VKdMUe5kNmApTtrMWxq51C7
3dGCmNQX44MxzdZ1jxbIVi7bQHKAS+FSvDs/duaAM4YVYVTdTJ8rYzPgutn1uqgRPTV+fNUxS6Pn
9mGLrjuj/2S196ed0XUBAbdEgIqYpyW5yyu4fOSuxFWzb4V19HTOVg4geZtb6j33Eqx1I3Yl2/iJ
3P4jE9lnB1GZp9/eDzX3RSTDGiZORiRhC66WJmSaFlvDII2ud/Dz2RVIEIGLjQ4DE1uXy6zRLCN8
YoU9pV36xP2/l58NfslNRL+ANi1N/zYgMm7gWOVGP2M73re2/FF59+JP7QNTCCikqRFx0TvmzrjL
6pDjgLAW9Q5zVAPPtSfAG5kxidt9Mdcc+U2mzjJ0rlRtfVrhAGapRCe2TLPKLkL4kvvAwkp11KN3
pZvT5Ex7yRtUot4rWLhDz3h1+uS3sXFiw7IeyV1G1hbinm9+Stm+BCqiG11Wl1rsrJCdkzU9h193
KIS+HgFK4J0dGJ5sez9BUmcKtYsoVGsl86272FxYfL6l/cNA0yfZObgekaQRoiG+8iK6wywcn2AI
nUZ3/mMov1YAwijci7MHKDAr62LfTa65RTbnUl1AbCy9vTWM0bntVL2L2voeH9jWdIltVZk4NRxK
o642MMqDHiiCumOFx0iW/sQQ1zAtdEenNPje4BSFRxeH8pZDmBdtiQHEAhEHV3Q21mNbLvtgYm1H
WT7Gqrl1emczAnXgYySbAR/txqdbvm7o+XkAc1c14/J1MsHQk052Tr36jlxJvLqjYmI1MsQYiT1B
ObWvOwNAibp0s2lBbdY7XBPg1TKKMkW2BPEpeFeiTVJC3ulGYqfj+TqBX70O47rcmqo7RST0hpGJ
UB3FkQWAkZRE4yXhsJiP+F10SwnQRXDgKPoBQHxHDPTqFLBCQH7RxpjsD6+rL8LsDkVAikhnUe/m
He4Q6mpjXeYVrO3htoucTyWuIodVcyR4h3HYb4DGoRIuxEod/Mip+6D5JWr/mQnKfiwjZiXZlcOh
NI4oI8bIvsh0vMQDkuqhR+1hHVWUFzuL9oBXeLejjRmO9lSzV7V5gisD2qyxX9oR3k1Nw9QtwKx0
pJsEpXdTzs5D6KT3gjVl58t+nzXzPlBEjbCTC7I/+ooBmQcyKU3pRmKBS7FI2PW4RBUs/+ZHFDsK
XUwLz9jsimNSgarW1k52HVUJzcagHJEAGPlZjM33En+UtcwqUjIk6/u87okaZSFEi/CK7v47Gd2f
XlfbENI5STFqbxoj87IJkGHNqd2LP2nJMrDHQEbzzLg41fwYu/I5lePBJMYLU2a9MTr7nAzGgpdF
o9OzIbotXtvzL1rqbW0qNoy2WetA7NyaHdYcPpGs3+bZp3AWwEF2pKl7hyXM5v5VL3MYbAhLEVid
rKegalAjBW9xj7SdSefZAJNAfAKgwKgYz27hP+C1osFd+E9mo899WF3+oPz/fw0rsE3hyz/f8Gv8
LwIANh/dx99+yi7pppuP4ueff7/+aKb8o/z++1//9fj9z7//9UN/5RVI9x+mkNL0PFqjphOYJA/8
lVcgA0IJaMgErmvCprRJMvifcQXBP6TN5i7JMHC8wBJkDPwVV+DIfyBQcCzpuRKsqTSd/5e4Aotv
o6p8iqpy+aguv9/08Nv5JiLJgEpP8OdfH/dJGbX//Lv1P0qzR+YcZzPsgX6ALkGOI48c9B9znU2E
aleE9W3IGyWPnMIb8MGAKzKTSCAgiOH3+w7ihY7Zkagu0+2/Xcq/shX+xkDstkrKbvl1/5GksHw4
6UjfRDFrYqDyyHP49w/X5UHcGbM3HYy2P9nAdxGGkcjudsNlIsxtJYrmeRJyLwq9twp6eMpDG/B/
/hDLXfjPK7SEOaA8ckk9sm3zPz6E25q6duPxMHV1sjc11VutQLZMiosiw0cOMasicm7Cxvv5TNlW
t66GH0RafcZHXBB5IrAeKkk3K+0EnVZGSsrM3/PuXRiKeKeWz2wgDFz/3z64+79/dMszScJwBIRZ
brD9v370vp8Q3k2yO7gOk8Cgf9EyR/jsOIecfOd1Sod17RfJlYwxF0dm425Mmrre/JaA911xkr0d
xoH+7XKt50wvKiuWT69bhgbikLmVv3GG4klb5iMcwuaUBBwAdPjGRYK9UHTA4/g1XQwuNdADOXgM
xcZ6ga/39YrtEvpu7ScH2pA0Hg4MVmFkjL29NR0OqVOVMuHPs3nnq3soNTYWOWupvVBLxykOa0nF
ipyQlRbQEppWv8yux6TZIvUdNkFIrxEf5671CbFuJnQpkVsesSQ+RJFxa4wRKOCKv5Mz8sJzTs8g
c31IefYha/jyUAr91Zird8mRl6DXGv9csU9JOESI69KkCIaTR6jmxnGXK7n87QZtpZfeqgBRQjf3
yZ6yDbGDok3UCtiUVhZhy3O2lmEGm7j1OL7mr1EpScFmF19z0oBYYke/iJPTI6Bz1FecnPd22L9H
g3itOFFhouVhgabAg5XANTFIjUWDrd6HpOLaZVfSU185yLmNk/r0Kwz2t9i98OMTKl64r7Vd4wQE
e0ywYLlGVTXvkvRZoL/aJNI4hMHEW1U5Z5kSltfO6rb2oEkZbU5/PPX2ZcDZL6QTs27fSex0Yv8i
BE6Qup323aAQVlNsuorEp4y4E3oD9o8nCf/tDOpD4cPyCwfymZYvYWjz1+BIAijyltjld7BNjyiV
8L7K4aX10ne35Khc+hg8s/eGME2nduQ6LILH3qEzXMfuWklA3g0KySla8LDcmqnhjKW9HY3GEdxJ
+kLf+P3PnxQWt0kPw250BWmh3POAfkRPljGO3dneoiAD8oNUPfKMhll4+yRM5PjTogiPsm2Na3en
S9JuwaCRqAkCuebaScVrXc/xr1TReUzzJ1v4K8/AXRX3FfYgJJO00pNd5gfb2QbJKbtLPhgTswMW
jyZBXkjQ+A0hETgGcIsMy+mlE1TXeWkenbREhFlZLMuKUKrlG0QJaoyqnB7EQNByFPCkopPjxaRh
lC33fdYCEjb9wGY447x4HDiJrqn6yCbj1lWZR4J9uSfRYVg1RpvdD0RVhThUjFgey2HoKf6bXen0
5grnNmrn0ab3DZMFlpVO+D+QfM2UHVZgXy0PhpbRNpgFZPSo0OsM+wXgoPkt1egFbdMu12OsL3PC
0aQd+fuEL00zHTXpkjVX44wJDM6hc/6cupZ7sgckWxYEp3oCpxsV1VPTeGtWjp+ox2YDitY5psPw
XE5uu1acrxgAE1KIVXG7OEuYJfH0JrTyN2VSPHUFkl4mt2qL0JvzPWMC2krcUh+26Z9lvDLBcbeF
ne1MgQOxG6pz4NHMSDSPErcZKRGt8GXxY05GXlRowxh8Fqb/1TPIX+XCPzd0Y+OG+h5XiRsArLFY
2UimxEKy3BvYPWgRA2bds0mYnb+vnHRft3RGVM9LMiQpIKeIXxB7ip6Msq5NS3yiIifKNJ/src+7
00+0VlIkYpv0opl8AE9k+xUZr/afO0JD20RdE2/nEQHeGN83I6/XVLK0Cz71mKfFOjn4KH4BQ/Ht
ynCmt023agTtCxMi2xdFuIlL7hEog99K/XlMPZ7jjouiqoJBOU2D6mke4m9Bv2Mesne41Gr75xdR
pfA9x5PbOzYCgwYeI75xpnQXJjlkpy+PCXuDTZB1dD/bcAnKmVdDtwhMgg8wOiSzRK9/HpF5YDXL
zei3XebveWwy6aDjbGlG4Ml9zKRuJVX5HoC+WviDv7bJBqRaNo8+HRfSCs57beUX10U/oVEztMQI
MMbi+joe6Pdmk1XBJcy0Xgt7rFaFuQmWvcIoEL1Y9lfkmABvsW9gIFG3TghBqsR8z3fgguJD4g87
Ji+DeGkX2mA3hijAeb7Cic07ibJfI8QhYcTldnLGjGZ2+9mRarYKbLDQun/48xSBbByQqcwfTpxd
GgjKMmSXMG1uZ7084Egg87WYi/Nko9cCAANOr5pWfj8jtGt4thsAIWuind5p4mKbjbJdo703iLO/
gc2iUixLdNXMm6LwLATgjP1BQvMZ+DNVqFMW1V/lYmmqU9ofFtjXE5pMv2ApniFzEgLCktst/yPN
8aJMnuF2mmzGKgOvdymc8h02ybTSKJ1THT4imsY6gCUd+g9BhWHAkmyihGSR58YHut51C+guith3
0jrdkHl8sQQQjiRN8e/xd7Sqn1qubegzBpI9atba5V9h5Z4rtj6PIzuIZ2dtjsvUO5CbPzu2JVjs
UJH/pHG7A7w6bGjvAO0hdVzA/NN8+432i/c/dQA47UXixTbJPWEUhSokK28oklEPS5LSnfGlq9lU
0oyZ4NRmv5nq3xDK3hYufbWqO0/o0xHNUQWl2W85PtroqPG7hO/GyMM1SbWUzmdd4Stkq2UbBJcS
jQB1FQuZPRfH0pzWRDhwDbhmDvYrnTSHP1+Eg39WG9M6N9iFZpNCGib2V7XGkYZKaVk554FrSjTH
nohJTe+Ui/uvEsRaRrZkuZYB65hqeSw6H/yWWlKNU4SV4d6zHdJ8ec0JCXzQJAEG3mnkhc4iceMw
w0sU1hdhymWazAleB/VBAOxv2w6LUsOD1IfGFkr7OnSz68a5IT/jm0OJ5u3kVenDLtuTM/vfhJ3X
dtxIlkW/CGvBm9f0jmRSTFJivmCJlAhvAi4AfP3sgLq7elXP9DxUlcQik2mAiBv3nrMPCmYmdb09
fo9yRadRy6oRs8Xi2oBxUynXB6sd9O9hbT66LVNYK55Zz3gv2p6I1RotCzq4EFmPR/J0QX1lOTyF
dDzFCpuw3LKmpM+ZMsvsQFRsERpxF3vTLzx5PR0wFlJaRsWaQoy+IVLkwM6KVQatPcP2thlCVequ
deaVK9PIx21ka294Pr48n60VeS5gT1wfFBsQBSe0RgG4a7bgqTR/dM3Bm8ht1b3ouY3bbE2lPKE4
ZpEe7SXf9EaDYEbVwYssK+JO+ukI3JDyzPFo9evVrptsLPi8n7Dp+MzQP3KtRU+VC3ECpDpc+bb4
bPv+mylw74mE29zyeF9T5NCUG/DqH83+vVULe5oa58SvvLU9YuDu5VvWW+5K9Rhzbp3ZFpgoxv7M
LYjE1OxoKSUME/P4i+k1B5UBfWHGAFeXcgtE49o3+T1Ny2utfRDlBBcoDJ6qdNlHK9o9sX7wfC4R
N7vnZHxtyop9SGu6U5HSYU4rmqdFb5+nBGglRPNdZHCttsTtoueiRMyq+3L5BYONB1XbFKBN3Vn8
LGZ6a6P/4KlFdannqrG4LmUQZp1cEvi8LMapwZRE1SDLIp4yxSScW38m44sfywzqnqy5Axbdqo+y
79vXoEGUiKbMRwvk3+oiuY5le0+xVrjmfvBg1sSvFhE40UyZEUTszoWOGzZss8+l9vXcjpxfdF2+
pUGfoQavbUEQSN2DV07yL73mulcFN+CPd5wLbNoDJaSrh6eEjmliZPcYTzMH4+JZhPZapi3hySdA
aFcCKSHQTOx/PiftNG0VKbmDiUmJOqvlf86yQyRcWq6FqjaAM48eysOBJaBphkPcOvesYCO1J/cl
D7LnMuW9HpL87rW4i5D5WkQb2C0aEOnfyBa+Ad9ijezcM93S+7I7Is3h+nf7R5D7J0EJzoGCbO/U
udp2fsdNzNbhzb8oUDaequLzIryZES9ZvfZRkY2j4TqouiGg1UvMOzdVlX7xCXEMYd9zbIBaiKvu
htoCgqy60PmgCBCXBo3zqIr/KHF+miWWdBaJuXLPZW5esz2Uit/Lte+5MtknYQIOWn1HDpqSWnk9
9FQxZd++FKJ58Eq1v2QzRUvyQ9ULtDluuc+he0iohy032xTqvfElXVLNHFfOOHxU3T0TbJjLxzzH
z1k/kfGZRvOucWLwsz4EJdIcYtYe0Zd3s+W5Nma6T6za27dJUO3q9lNHEz4xRcg15jwckTb0VFjQ
XuTMardcx2ofFioMaeJpFTg9i4wsDQnVyXgGm4uINKVEmsz+N6Xm3UYasGshE2K6++osRkvDQAxp
o865EoVtEiF+5LQEamL8BqPUPsrugqgseajr7MzImUKw8nfCnbWDBtnbSpzXToewFwSPHuq83OX+
qowWtZ2b/yodbyDimMnnU6azxIgBDrLLCC+Ww94+MnqkMFanlKQC/0jiygwA3Om2I8nxjI4wDjMq
dYMg2yxFpeoBGC3H9coBomgb0Z9DZ0XuYxEHlHkUhEadvGVO+MOrpktv1cPG1ygtTDd8BeAzkgat
QYrN2CRh1TEJhO8mbGtdCXPa14lB0HvQE3iB0EQYWnBAmvRU5sHXEEIRyiSg4szJdsGHWYluH6rs
2z4Kd+OgJ4T8lRc260vkU4m1c06QrUTTrrQlIWKdVaKo7UBIfwKX8CkpwpvnIf0dELfoLuIgv+he
uBmrkxMo2olX0y4e8yrcVBUORAJklJJj9gBBQXXldRAwm1lpc5LXErCnmk0QS4kz5NFNaoh5//pX
TeGJs3yEvShNxht1BE2LpYEvSoZHheeQKl7GO1sMr5b61cuTCJF/VQemjhX+H77Yh8yLKyKktubY
1Kd8SJ4EU8GdjvrwtKD+SVrsVpHl9ZtsVmP6XpE8ln/pBs6T3I8Pf33pz7f4C/HEzP1/fKO20EV0
M+EEHArSbMZ/f5jlp//65r8ebFBolFH9a/na8tflT399LVge+a8v/vU9/+fX/vao+GzoVNGp+cfL
K5YXOThEnGOt/+fvXp5e6+E/6TqFh/vXMwv1HKrFVNE11Jr2vDw4nj27+Pc3JfhVBckIGFFMJwN5
VWwhaCWwrsCHbTRoTZl4RHwgyCHbM0h3cs3V3yM8aH3ti11oAOYKwpbpIbI50ZX9SY+xEnrdjvdS
nsI+qhkqAdMkfMQ99Z6N7Mf1O/fE83aIn+OLy7+EyNE0RylkwsjSTnTBcNbA4djCCUBckKfYVdSf
WE5BiMJbM8fOAL3XXrs6tHcVyMWT1tTmKaYhcwqn4dmcgmGnuZww20Z8Iglf1SEHjmM0BOuWodwa
FdgWNZPYGnlRrSSEYe5bXqDOUaQAkgrttTxUhFmHsTXv3RIbRWIT2MTo+jXX3OBXP20RIJ6ahrjZ
KPXbdRSiWzLrYusw5tnaaUIEC0f5Y+DMUA5V4r3AYEEygqpBtBpp28ru4kenBdoZl5h9eCNBGvhI
dTNiQVDUrOgn3tIMJT3swZXRlo/wSNt12QSPoV5tcfvCOTjJHCWyFfYpC5qPMd+YSZ/wNaLo4ofM
lZekTTJc7e5nG2ZXMm6w4/hGv+6GmSMN7lIzi0oGfDN1eBg9jToE/z66zmSBbbSqPyA8f+n9LDvL
HFMLkOtyZ1n+b3OyP/2STDdNaB59p4JUqn5YtaL7ZHo5jKQbjSK3qRBreHzd1Un7x7ZGC18xh8H4
xHHFZeEVDoDA3vaPjAkeyk4C/q04lFpyxNT/Kzem4VuLXmhr2SGC4sLbipin7HJB+Ll3qMhMO46O
tNYdhuQmtyrAnh50foMKcIo8huyJAU7AwPiZBvvObcExwIeht+OVG7OJv42FC0mxz+yz7jQ+SVkq
9tPu0cspr7L0X5wOHHNQEI8YD2zQA3M+4lBWid/W6zmw0rWMbGW9nx4HQN4HEmjajRTGTvQpojGM
go4fvSNpC7Z2O5xhNZKTMVjTkei9TVujgqV7CxRxuBNiFNKBAVURvJgExCHpM8+mHAz6tvJSd2Sc
drUPKLkUh9rySTB0OWTWYfeLZ8B5xQgDYHXk2GaEGw2gM0SCNIyWhr/Spj1Bjqcs0JFIx03H00i3
RZId5yjpbpiuqkeIu5eh25RhTYWfVT/pxyFgRUo26Li5Anw21sCgvm/rT46GYKzMO1RA5pFUYqUA
DdhD6OIYQw8xbfhVItnSTiUOPDLOse5jjaV3zQUEjbRBhCpEsjOVIB8vlCfxPDqYpTCoGnffQW9J
dOqTLkOokijBjBbRYWfJN7eLr7QRXt3Q36OiVdB0ca3c4KEwPFictEQaALOc+J9aTU43rdU/OLjS
UnHTc69V3424h63h9de6HellGXKd2zVhowmWYKA3H7lMD4YM0CkR9gFEwH30OqgPmUS1S3qcswGM
wEnlg9bQRzynD4NhnbUcEyBeEvfRVkaxJmJOYuC8Qcqy99vwouWof9yE3I5Re8aj/9Pokey0bcRl
C9DJNR7LEa1gh/CHxqycifzC/0FdfmiE933CmvBkAohV3TkEoO1RVOI30ZXbQZ15Z3O6YIa7VMU8
bkPAt+RFIDchp+raWHVzwK2E2CO+dXXxgMI5Rbqveo+B8SSH4WFKZX+aWbgRCjbE383cqLmiQGOQ
buHvhTV5A4Tbb3skR0AjSHbgCcROuw8zXb+UeRo/mHI6pqOWoCbOrrLLatZOA6K8GzdngkBs50VL
OJ2l7rAL4/Cqd6iqexyq225y3xzbeR1LBJWcXgBaYu+o4c7INxwBVyq5TTC4uJMdhywIH891+xNu
k1OkN1HZe5a6WyLlepjp/REh7THcW2M5/d4N9HuFc+hc6xQM1UlBaaxBIzCCgiSroow0EvFSIz0j
amEVTgfyx3YFo4I05IxYMOuLE3Nt1ngcfHeD9eaqhxxxEP2sfWd8Bkj2adnDNgmrxwmFgd/jQKSK
Jx1pLYwc+VCyFn6OnIZaxe4/03ikNyEIbusKmDHC+bBVL0Ojw0hrnUmJtumyLVOyx7klnruqb2hs
78RaPzHbQirZHcOh+AiYEDrqkjaidHcZfC2+dJW11doQoDFWhaG4dHXFbvluIJkdPe2a1M2Tb1sP
schuk8aygZzqIR1A0JgfsUkZbIrmUOrGm4zMZw/mRdTx0VsRhg3XEahvKMvbOHkcySPN0og5QH+w
hw5jglwXTYV02vxhjPXVyKOLCZMXs1ixQtk74tQl3tvuwL0Xz56eX5poOHkdW2y6jlKIDbMB/DWL
aVPZ6UwEjPfNUhkDA/dlPiu/OAmJTfOm6da5oB9R2vab+mjUQ2HaPghWNp/OmNk8pP4Pm7ALTuzk
6zbDe+i7nyBabu3GDnrW5NF7zfk4+rF+n7iH5Ew6ufEKKP4DUuwh8PGP5g4TLzy0Ru4dkcSeag3o
otGjESSjzbXlAz34lW0bO7ylPFB3JFpunAZSxWmd5r4AxR9t7DH6ST/l2/QN8zVnRoU7ouNJREy0
yodoj/7nm1YwoWBZ6gjzERxVz/AlEbTyxk85KxuJca1f/Czn6NRVMOnHQ942RycVdy1FE2LF2k+l
z+5SOku2X9ib2TCQP075g6U5++ahG80LqkD2wBThNBKYb6Mz/aYn9p1SZSPq+rNJzn7KZViyXa3p
Hxynysi2NiTmojigm6cv2p7nGd2/a6CqDUBGkV5w96QTc8KWBwLorW2JlWCdG97VnkpMRhwlaYqS
XOqJlO6Ic3ZprxlBcyLGDvH5uUt9GL/5I3V1tJlcwCFOglVgFL9roKpu1wbrxojcjU4AR6E553HS
D2kNGQ0WrpoyEdrpjx9QkD7cll2/tLkIcQOSI0ZTub4Uxgi8iXkajqq4AvvRyi/I60ByDHPdOhhY
QhgCq8yJ3qXGtSaJsg9jyoMRsLjUhmhT+M680Xsg9VA+AXO54khQ46uFFheJiLknspvjRVzWG/KZ
aac3+ZstLe+MswYjr/aNDvczNm2kYmCtHRfSLbkufPIT0szU+DZRJKnOSwYl0KChzHEwRsU69RKP
sn5O0akC2U4/DSN8wzqS7Lt6eO9L4urpL42oW/t7xQA1xuxhJARpzu/6WEri8djT62m42LKAyMCO
bdt7raq+DybXiEyL731A4zSzXGdX4u4jbYKf6oFNIDYCSdu/T3EM/h6zhAcRbj0jfFiXifYagbnd
FLl41YbpwSXnpCBJBaMEoIgZu0wn+3NqOnsJFqeYzCe4u6jmoPgzwku2jEGSlT0PX0FAX2XjMOta
VX58Aw1wlchtbHpyFhqemfqaWg8zM0yGgrMw2YrPKbGCMrQPiMDfh/7JIMTFNz7EzOSVfyZ0EdTr
8GEBoBNt5joDjKMCT24tdwYGMGa8dMUENufCQc2K1Bm4zFb9mM/ebf7j/yUj8ZmU9w1yfnY5hs8F
CXKs3/wKl4dXj4Y8CvGDsR/in82gbf75o2ZcsxohFlHfEjC7GiFLKEi1ExzUQ8BxWYEDWk9w/Sce
jkpe/dW0wKwnr/N8VY8bgRQ2+a/6ZnTPSFjJ3wiNjJWQZ0V2xducAabJbn61aZAG1/TOAnBlBhtS
HbsboOg7S0u3y5/V/+OfOiAIlCvHAnezfJ0i1RD9tklpWOgfEhU9yA4rXv5bM97lVIEcZ99AvwkQ
XQb8vPqW2vDIGW+wRLubgN+VlsEDmroDXnesL6ZNXkC/NujYDZ3+pZ4YOWQ4f3iENJHPdWrSmxt2
HT9hwCngr0MR0MIpuXH2Nfo59R3q99VxfSL0ZqOeq9OKHB1xeLeS4KB+ed3021q9AAbXVjYemSWP
gOrVw6nnpX6tpl4OPIDltfMYwtlHnLbUT8e+/tQwyTYKOiZ8a4OJT7096uWpt/CfLzXgWZkj1Rx9
MzFzmMANljBYg161Zf3eiZSrja+1TMAmD3QNf1bfUzHv190PnWMLsQwnbLu7Nvvz7Umk78krW4c8
XEaShm8CTqSPRYdCxN5OfSnif1etf1DfUneJ8l3iWAduYuSf6qF0ECYF+n2XpvvUNB+yKq/qIdX3
EMiXz0/qO9RzKqvf8eM/nxSGM1SOAO8qB3Gdt+NXPMgBXhOH57Q1ll+nHs6V/YGHsZpsxRHlWzAf
ZFxQvaRbt6ygJv7QK4ZYflmiT6Sx2ETzCUtSAw0HxmQPgGMwmXREVvLlUWxb3FWpBFsway6pNZGO
gT+frssAH8/qF9vtTRu5XAuHVIe4uEWpGZz1Qj/0TMxNCVzETSHSdfSi9ZJL0Y+7B6J0xz1yhK+a
wJVxZJo9VzqJIjABXOmIg9MgsxfpRUQ/Uxp6bDbmM6eFj2IYCwbu3tMig7AFF+pQPLJJ0ixTQxFb
3OyqHRlDeGRKt2TjJTa0yHI+xGSpHTGTvFRDeQtn8MYmVDhBjUO7IT+11fCs/kFPa25rJRNTUjDY
bSQptvNu2BkeotOZTWRNSPiXHqqoLe9TCzqxbpzpexeSYN2R7bDREzrfMxWbY9Hqtxrv1ZrTd6sE
HeGKZp1zYJBI6UHZTE73kkXKPeTQZHdNpk3WxJ5hg0zR9KM3ls5xUhtWkyoXD4AakNvUnvDnb0u7
27fppmtE0G60TVMUF03NK3GI8W4XDEwUjRO44WHS7OQQNFW8psfK5U1TeII52qGJxylTPUQ5ha2r
RmZ6h4KiLbNPu0nabRVxejQlz7/8XfkVw1oLxJWHFhlVJ0MXgwZuYxx0cIZ7M9Hx3YZb0dXfy9oo
L9LOUjTIyaqxbKy3DFo64s/Wdq+/1Dk9bYZp97AiNWIWpb9SQ4oqCpODsDjrLMNJaudDqVJjy5hG
t4mub9WFMM5CaFQBPO1UsbaIXt9bblXuzHE463VuH+tGx2pHMwLSl7WWapjpmNVlaeHnx6LiaS7K
qwqpGBQYif5v2CUj+A3wrcneUGNoaSjPUfUShRSpy4Xue/G4QZiN4xo/hE2C5K7gJDN5hMCQLpxt
ygKjFmwDmorqkq81Mp/goZGHIS7uBEFl0vhU+wEUJGh55iH+AeuffPColhirOE+6dwoq7W0Ox88E
tOc2Iet4+dXoe9HeZIBpSRiN14MdlUeyG9B/iTVyBkQkI1FbvzgKqnOlh46RmxWZm5KDleVDOicS
37F/LpBu0/ty3/LRh18vaZz2OVyXgLplTp5CLBj7BIrB2ksBD+tUVCjCbpZSZkjW6DTZdaNGCi5K
hn3piFtR0mqOJVgwcwpPlm3mGzkc857PNvlOBq0PUjd4ceFv70ojxsQ3flJxVtspnWD5ldW5a4lZ
Gs0fusFwIpb5hXMgSPFxznZQ1a9WXH0y745XKG8C3POqTyyuZNVjiki//PwhCCiNhIIZTIi+l3sh
7Lm2NcK70LogEXdZAwxU3+bAIcLQOyI/jkZEn3CMUW/h91i5StL3Z5yqBoqLSqqoeD4UeTDckrsr
rQeDet/LkYh0kvKIAJ4UCRlmMrahINaxEVMa2S5cIUZQ5zQnxASxthoXLUODJmcuR/lxzyiYsL4w
MVB/0+3q6sywG1AQMuxhcMMN3NfmY9dbb8DJHtJS2wNXumdDdRlcsWU72OnkA9H56zPyAJgIVLBS
uopMhOuoQwNvYNITfkf3wKIqU79EMonGnfA9rysSvpyXLEYHpFRebB1UjwzL5q6kO8QNXLhcZlgp
diFpOWp+tghz5oF1mF96dix0E/SKH6IpZE7LGc2OM0iIF84edJHUOXeM6L9ZkNpgSN5No7haNddC
GcTvmlTOY4baZp8StCwhypojtjdSf52QDb8jhg63AydQffweR+17rNpADlCITRI7zcpXGhlEKDcD
euGq5BU2I3FSfWxhoY4jtuwIYWUQJb8QiFkMVcHjRbTItIj4aSpwImAbeZB9Tn6TAEVaaDCCHPNi
Z8O3mdE3rUMuEJd0dGTqfEg2wE/W0WZbiQrHemW91G0gTgzZSCnuxxUIkQBOlJMfiUxC9+7cU9f8
rPuW1CdmyBZobHo7HdxBPoLA5nxB4KDn/RkziiI+xaQlIKoboJVm1L9RBodl8JVOS42Z+obTg937
O4+ZVMFwronat2wM9qnDO9d4zLS97qtM/dsf8ZRsf5b1lyafE8D2dn/OcqWLVSO/PHEfZtMgGYDL
vFVKzywmPDCBgBrXkFH1tkE0EpV3NbFz1ZB9ZHgDpCn5UkNBfHBvrSlfMiOgWcN5Y5i4emkEJ+uk
dp+5br6VYD51zaZwVbOzHpVIXQU/GhgZcmQBgn3Cqw+w+jlGHW3wKO3/uy7YQnD+N0Gz4QL0MZFW
ez7g2r+pghuTGw0NbHcIazQUU78MRZn8Ap0qsbM4LzPi0EPR0ka08ZalM6lF6lZPe94kiDB/pIF6
x8I3srErrZJIuBqqproS1gjnLqIsIvzouPyNUHR1ued33hNxiiN3b8ad+zAtYXQqeb3n/DYwjgzU
AE/04sQB9NuMP+r/EUQ7/ykn//OyQRUYvPZAvTH/pnVHxgWUJhXdgWPaIWfhGGcyuD3EoxpbMxGZ
D1n9VU2jvzENx1kJ34DEaCjNRZVyQ3CSQxVAuVKhv5uUzCdGCbBlsvRFEfJTtKoAm4MPXwwITvxd
7/DuLbsoDTYYiNp5yNnWzLh4GZqQGwEJcqglX6psitV1mikp8mjxefzR2iuBQ1nSCgrFdKXKepcN
1Yta4QrX5EgUD0dfF8khi8/1b5FAsNJy+/9506zgf7laeKGm5fpOwHD3b2+a7/mZN2gWAUOJhQCu
Dm8zM0pPlUTLLHdsXojRQuWgVD+LPIKpy7GyaceprYUDy8WrApxnjvY6lNpjJMzdIo5ZZE3zzOLh
uVPFMS4/Z13LOwdPcx3r8TNt0vc/ajYbk7LJHHfmiKTEDZFMDnPWPHfDyKYaH5sKWBxNaXUH/veb
xfvPa8ZyWDRwYfgoGf/DgkDeUQa9KGoPut6SL5hvwKFHaw9CNb3ciPnWAIJYiel1k5Cq1k/Oi0hP
s/gok0KJwJWaPJzCJ6cmIk54Wxa/wwxpLSmGI4ypnLMcBcMopucRpUGlNpXILu6TzztTBsGtxBMH
lIB2CxoI1h/tHBaSGREZLYt0yEkJtxYcK/Jaj1aFVMj/6jRGOPCidEThkY8Hj0S8dJ4WHVIqbXFy
2vro+gJtodrb7NgI9g5270oJsfxogD2YMwayaB+RM53tgwb1Z3bXyWBMouk1Q5owe62LH4DdlXEV
XDYwl+jJ+cTNNNig46YBZh8FSqzNf/9ETN37zwXMs0xMK5buB5br6X+zhTi9ZtX5JJtDWhWskBSr
+85Px41po9kp5aM7u4AcO4+tVJAc4ZIw0wzxF3ty3SNsNrvodVKaOrg+SIVFeY4DgPZO5K61ih/S
kvJ7gwsKGzlFybIotcbRBuLQDiLdgkb/CYgfFn10R3u2k21yM4P8C341ag/thcYHG2pjMkNBVZY1
rr5uK+8Bos19Lgj/nETI5+G+C6XjtEN6Q9oQJ9t4yreFp71iFZ2xV/cEuXnjtpuhPopOUdQxFzal
cy4N6RARPuJctYpDw5gk5qEv4E1PYTA0fKU0jqE0N0khnlp6dQdrzDMKr9aANdfqqMnRzm5qqNsO
jPktSxvmjequNPiecGl2suApZdgiZ7M6FOiO9UsJYpucGkkVaW6Tf0GEw4DK2uTYbA2Lkmr5/yaF
nNVozwSHfZUFdMzUIoWh/bUUlFFRXwG803Qoe6CC6s5Qwq3Gc25z2FzUuRiK6w+PoPOgCl9ZKe/q
aMop2sJpSG8ozrsfMnB+hHq9yRzwKM0QYh0JGjjo5UXMVFyBRo0wQ2OJ5updCYOo+Nc2yWg7NIxf
9jBCSCnOph67HBLR0CcWVfgc/JrK6A2c8GFRqnbxzyrqPzRTPRaRUHiI116JJcIpipHjJgSZjCtl
jpnY6X211TJOookoL43r3TINBa9SdamKs81JnlzOlojKL34eH30A8qH+R9/Wq3NHOXDT6UXPObIR
hwQNqU8TwYtpdSgBHbCScJXpdA9Lnq7ZFvOO2RPae7u+9QZ6ftEOa18dhalkty3CyF3bW4RJVj9C
tQp5M0WK3om3RJg/lhsczkW8ASX+HKcDCoA6wgAjzCtuchLFoN0xV1FybfD7fvPdj+TVsQCBmJx7
4KGke4czua81lHIFS74RcCwyPP3bKKpvdVJdJ+Wb6BgldxyPg5bNXw9BLSd2eNNonm9Cw1g3lgj+
HLs7jcbJYNAKmCnvDSV/rDR+MB2PcSIvPaDt5qhpy2Ubx2fyZdk9mBnlln+uXRT+aWcl54Y32Z6x
eEZl+UMW81b4GNkyyeCayfhrn1XGGaQliNoKjkwGX9CUx2ny5aEyAxo9XgGicB7IxdM9WhZ99q0q
B/YTPXD29hxfHc6WR4282E0d6gwAfXmR0/zhZJP5ks30krPhosV4wWZMLB1BorFgOWpILPQ6Ok4J
ek+dVIDGq0lL7Eoasl1i78q4BWtjWsOWE7q/yTBW9H2+B53mMP7vi00VjKpLSsrZbDO461BYnxBp
lgevJbtNqZM6bD0T3GM+iS2o/vCEquxELK3YZVp5IorJ3TSjbq1GbX4w6ZqTjaghZCnLY9FN5mkO
yHopSS/GAnPVeqPm4aCbFTMUZ3vWEXT9qCcBm8gBTCad9ms0+aoDgAyvAMGESNKsk+e1//gTY0Mj
Cwuwe/rzbEAKRr52qHVLJUtaNzeo5lPQvUmRkNwxI0WRk3DA6Ks/AoHJ+y7ZV3E2olcU2hlWyBnJ
w3gQ4ayRy5h6p2b+Wv7Sqq8sf8JRxxC0sZHZllO6ZR8HK2/5DzPi9YNte8E57Od075fW90QE2WWM
sPNac7EBYgI/g5HKOWqrh57zzwFC4WPkeekhT3Ms7XmP3DwXBQGpJTCFIanXtBGdczyYV0R0Dh50
nuXyLCwPpEFptV8VsGHMwGWD+CFhpOJPxjrkGLqupOXsC3/Ym9EUH10gxNits0sepsHaSfh1epWc
S13vDgR0cFMxPNxaBjreFoXg2S/eBPZvy3SiY+Y17rlWRUgIPBb4STvuMZs92xFBlZJUFc+gpZJR
dzJoGd8I6NjNybQZTfOXJUmfS3sTNplK5gFP8SkQp++KserPcT32KxQy0a4iC448HuPo2SXDHLqE
Z2naZFVEjA1Zi1/CyCfObUgw2enIWUJMR4WLCV8h1uGLyenZwT9bttwucWBcTSiePh0T9INamx7G
l6icjZOfnGaeQD9HJY0hSHeInIZ9a5B42RNZqRcup2QhSMR2NK+lk2GtBpz4yTqdjGuJwumEwD49
phWw6jXOBXqERtadOBaS9ZicfFZqNp7U2yyPESHlPUhsGWvTg+SZJ/FjgkKcYoUWKIcx0sEpzcrW
OC0K4KzFiVJVHcos+IlNG9FWJyhksXBVmPpXTTZ8RS56HQRrl2XVIjhMktud/cpj99Uu5teluihA
ZsGAsvfSZJwXde2PgbCcnc+4DyV3fieJZpXNY7fRlZ/BqWi0p0QxrsLtIo3OR1ieMYaqyal2ssk+
pig6L/Ls0sxd8CPobkea+JWJaU262iP6qN3yLBfBtGoREfl+HckCceuTERuPhi0QmVCvz33A+Ku9
LXVSM7F9yKjYxylyqzwMgLn0f6p5g4b32innZ7V9LhpyzC+o+hvWfl4Fya7ptzmk+1u02V0qaTC5
gCqqCEiOKO5KD6vU54TLfPkYmxgljpsWS0CCCTIEebZ0zWU0bdj1KaVdHqlW1CZyEtqQ6rLDhGhl
zOFqsc5EfiKwZVz1Pb+nQ/qcCURnQKg5WvGVxSQzR7W+ui/a/iHm5O4lOy+nR1Bkcm/08jZ3yUCa
HfTfxIofmlxWOx16gPJsLQLhscFG0OicRQd09ltP4CxDSPll1RGakpY+Z2FxvhXjrHiHxcnocL6m
lfKgBuZh1MRjowe3yJmZVZpXTrd4Q1x5c1DuFnnyNYuce5URVK/dSDyhi+3iHWimO/A9cKK62JqT
uArPPpSTi9HEOSwHaE+pjfvWe0It8SQL0kyHFhVX5zXHfOmmKT9goIEJhz6X078poglLBGTmvjqR
Er2Zc+slVw3NWrlrtJR+jC4CsG09RYt1cUx0U5z0AUW8q/8CZ/A3k0cGJoNQmI2wiQSB4nSNIZ1a
GQMZXFRR+HuIJXWxuiLm2KIXSRm5Ss36kSJarpZmyxhyPvEGMgWCDnhg8wNr2jFivoKvOJMbPZU4
iXjS7bHokavYI9VTGVEXuRgGLAU2zovi3mraroVosfyCyIEqrNTKVjkCYXHamzLt2KwPrLbiu6o9
l/5BaFOJCCfaqPq8Fc1Lxugakwy1b0HTJk051scEDiWNVq996X3LJ+tRaN1D4qGCDhuUzm0TkJqZ
IKplfusGvHWBXmOcIZPcdEFk8NT03rlJJ4/X0fidiCBza3q8HZ3k44mcBNLuxDcadJ/XxIP9ormF
nl8qE1hRqU/I/U2WVrUd3CS4dMqKmigrUqiD09Fs5nTLEVHjIQIvJnYr+qVFDxWec7rVr7oVftXa
TPAu+skK+w5RYxU1uZyvktAXzp1pxPTI69b2QBwG81ZWH6wuY75NtOiDACHsvFSpbNhbd/LusxT3
QzUF7wAMvwwTs4C6bzsjfnZJ0hq6+ncWZkdDNUAKOr/4evVjNjW/BjqnlnqOI/Vv7fXpJg1m4J5a
gHKIKDiQ1lV4mpv6WFgmcjHX1jloHKTGrROEtrPRNADwA0G9KSHMe3hhKS6W9GvpiPgoHUguatce
jUDCc1RGLcunFsPdGIwXP/N/+mPwSA9qq+olaLRbffAJb1WtqsU6VEX30rFxSEJEo6kHo4ij15+1
LOKDJun4HozZTz+Kf5cxSX+9X+Ok7klr8cJyNxq7KeYkj0gcfWGLb2JiGgroGbPWvq56DjjKcwdI
M10Pwtsp04o6j6sjiTNxvKYm45dk8PHRz0zVxFFB+etT62cCCwraElfEcj6qY3ZtEhUwz4Cv9obg
thinFgeGoS4qMWlEsSJNwk69NOCWvrWpqmavxZTSSdw3ABXQlUZYfin8CtVntiXwVIsbFTxUcuhH
A5t9Fv8ZACz+HB2fI5nbtPy9ASmtOnXYpr9O2p3Uj43rUPdS2QMMtvE+P7sBPNVuX1QmYBO0J8ek
NRBjuT5TnCQ/kX9asrW89rbLh+GcU9KBDdt0AMh6+S51Xc5jCP8x6WqPw+x+62qAi45ylWndQNfb
+iQ1C1ccZ1DZNeCQG4TnnNfwk7lkE9PKsMddHSNp1RNSsqEmmx2f4uKIJQ6CnagMtthpx5xgZqPk
oF9ITnvLU7BTVlwZineyrPCnc3Nro/3UjgTYqGU/LTgsChvX/v8wd17LjSPbtv2V+wPogE0AESdO
xKUnRXnKviBKJQneuwS+/o5EdZ/u3vu4/XZfFCoZFkUCmSvXmnNMlwat3lIcpCqILpjujMlAgIHr
op/94mhVugvEFSMRZo3TYhAdw4Pt9ByNiHR6rLXidhlwLodck8C3ynLPPaHhvk/3vcnLN6vTdmE5
37QjN+riug1c5pUOCWk766P35QWKj9x0Nga1WBb2MdFHfIvis8QGseuIY6+IGGWgRiO/mnTrWAYf
dhnRe9BNnL7BYcF0TL02XZv2cxY6+jonTmq3dHyc0Mbz13rFmd70yfXxHkiW0GYav8tUQ//pptx0
JYHn2V0SoxLyqJpKZTFcPMuL8ySa6yMr2sW367dl5DZN7HVeN73NvnFO9Pl+IG9ihRSexpifKpUC
9Fs/AcusWmI+l1wY9R9uMN9KdNtj6V66Wj7bWbElW+oyBsN1Uzp7T51fe1oVqMbwbCmuQxBq5TZX
Li81bhY1Zlme/DLG1XR4DSMZMOD8Ulo+cYngnPCQlv1u2fmSqrlre6bHTDN3yoG43F2pNe3sur3y
ChPpUvpkh/wpZVIf/R4NXdCtMlXe1R3L83LL5Woisww11KCoHz5cYZR0wMFFZtNzZnN277i4rOQu
dvTPoue+1LRoNwhWTj+HdqA6x56L1lWHd7Q8MS8NPzTF4lQ+/18jaaMZV0iihPJE9bN2DjTncZn0
Lu8hUgtm9QlN54ZhPlCxY+8ym2jdC4MmdhZVI5U6K1PvYZdDf32U8KZgHkffmq59Dfbw2gXjPe0w
Bg4pkPzoEAtuj4oGxnI1aA2pZct9sfQQNAYsjHx4QPqT+0l3H1TNjGgz3SyTi2WA1Tk/iAt/XLxE
PtbmFfHDK2dO2g0E7IlG4vwcSQ1JQxDtCupheo88V5umIahXZ82okYdPaUHVGUQLPQpwD3B/0EgE
Y6DaGXImXIgLsuo5O6taurfgKXAGPWpNced7ytvLwmtkLL4tNVMcaigeUHtTCMmDpXY8D8knVu7s
TtVjVik3Oega5ReEDaF6X6rSMig9l1cZZN3LSN3pSRo+i8XLeHJnkfAsScrpW41dLIXYz9E36K8m
O/xWs744Qp8y1zfVkOyXx3LUVHeumKQmTX3h4P9daFiipeaePN759WIsztU6zqpP226ftfF+6QFJ
VCdLvxluH4JTZhJq6oL+TKx1qj1w19UORuR3PXbzTo0wkZox8/J4W/LmDnvza8vhdq59UIE0miZ6
GSjqzes0i16Xe6g2jHFH6jOGFbfchuW09TocJopRoyxxQgK6y7zwbjHSesqAr9y8rvaZ0aTAxeTv
8ZZQZqg70xuydxpH+sw5eFkpegbaxiS3KYWSTEz1YjwvI445B0pQiccpeiLXaCrFStrsPYF7gy/n
veBIvYJ2h4+UIW9dZN+WW7zH+XgXk6Ij9NBY5t+2u6sttMeLf1LzWFbMip0zh/Q/KZhATgDzrpJ7
Gz9AaXNuUBfrFFPbd6o7pcoWZmQxYNdut7gKVT0XKxSClWN/VQ7ERTbiACnN7ISWcc1QG/kUbk3t
YLnlWuAK2oJlo22ccNWqG4uxz8mR9r0ZMi/TQcjtbMzOY2VD9y6/F8EAEntmpuQjjxbw/fem0aAA
c1CL554CJRTveGEO6iVjpXvV/WmnjjOx8tbabX4XERG0VsNvteolVb9F7V9wOAqt1SizT9WDHHtq
yMXBzf7xHMLSgeTAde2lWIN1vD6qTocJu/hE58A5joLY+uVPiAap6Grzqi6JlnSix2WCUahrU3rB
ZeFapNis2SNR/3bhAf7se1rp/Tp1zHfCORmKc1/FJf10L5wfpMbgrDZ5uRdgEMeQysSvGraaQAyM
p8XGbc4RgjhEo36YMlFz4uXw1/O2+BX+WOh6g4aRmMtiKVZwQt0VUPcAp36rV1T9b5HVcCJTjo7W
VDEbLFK5bW6YnpFm46Tngg7y7BREv6o2v87B1NgUTf7ZZ/G1qpzmlBKN2naXgTfH3se1w1jlWTdo
wwR4REnhHFfm/FL3GHAhROOxYaV0TNuA3zFfLWtGq3zpSYKgKcU/ucLHchU0ckdbfMvT5aDHMP2X
LZ7KRvYuR2ePXi5xsIDtaZMS+zmtqTZSLBWcdkNF2YXOVisignI45E33pTPw0MCYrM2BhQT2u1It
6YF77A2ffgonMFsZbiHkkVCBklyA9kKNMfwUSbJXl/uyJqZJzH/XJ7tlHiJ0XP+Zy0iJEmwpM/XI
Q8rv/PRKLBB9fk7sKCKTqAhOzDRBdWtio3rgC7LAi50d56ibBVVgKFN8NNHlLR3MUjk15HL/RJaL
gYM27yrPcmvbzKAa2R5tl3loFc43ckwDMgEaVHzu01S3FTLup6WZsPQxtHYCCjiYjwsco8km1LYQ
/yzlBxpSllHPjzhDW+6JSIp7K+LKmdlshOmFu/Yy22zdaYozK/d67Brfkw0AKdWwntaO8xgxAV8V
2nyQHddAUbCx6z4IwDI99ArzkrslMVfkrjKm/OGNX4tLPahT5CU+r3lPr4bE+rVTxecIp67nDWwF
M74ufwRSqoQBHScixU5eZwM3URnQhoxYh6ygZruGOuoQsW2QHhUVGzV91126j4Pa6sbquWNJVp2V
vKQfY1SHmpOR6yP6Qzz8vRygSTx8tKz+eRjhIJu8P2maxfuFsRQwLtGY2o6KUznKiOM54tuRA4Yr
0q+0Ko9TplMCEmVju0rqqxr1qMvepjj/YUYsEUznhvU4E0zgItkyXcQZGiaduN7aFUKuMRNXcaBP
SOrs+1wpPjKg23VjzsxrYmIA0GA1Mzq4XImnqpDi3eGupDlLkm1GbjTo4Wym+1bTJd3ofrBZJBed
8Dh5OuGZLAEkAT7rcTB/uRS2aHNwvRQEhEPook7S5/w1r3FjOA0UoMbl8SSROtyhCLtSQUoWMoJI
oKWbwK6vWrKI1pAfX6VDnDMzrdYYfiRAOvuYp+w275bJQNZBkrtWO7maiS3knVgwAKlV7KBma9+a
rW+XBgpvdU1V8rLAVeK0vtbK4VHtmzUadBr3/RWEKmzk6gifMB1yDW7zNsx+lv3LsoQu61mRvIMj
BttQoaW0XzI/3kPKHym1YEXKprl2mb3uOOa/a5GzNfLqPqq/BhIPq5q5ukc+Bbp6SrYYVd1auhgw
gY22thInsdAsqBCK8WoFzY/+67s63ZFncfBi4lMR6liFoMkT7uuZwO5I4QFa+jXol3c2zG1NC/a5
kX4sUI5cY4XLVWsaDwFR6bQsw8C7+B0VWGBRgXks56r75QIFWDQd4xydRi9+RXFIc0+uljZnxahn
jZ9w7w9ufFjAUIvSa6xXFnGU9PO4O9TwLxWIaL0w/ULyRGVEsMfKrtOvBSzkCHYUv7Q27MAvfWJ/
JW32pABGatsk1RaTRtl8Ekl7jYjycxnXofYjbKV6mYHUc9rtiJSkKxGTzUCvIPkeOtSWLZPdSN18
TVdesGgelwGw4TKxo0GzIqz1DhbgbYDcb4spg6U2RPPeBY/q+CQl5b1KGGAkSTNvcBXBiuowVxK/
3s6hwvrmmuykr6U5bAplJ5YD7SlCZAR4s9LhfTdalPAk56GxVnCdIUR1yXwOU1G/GxC/rZeLlMHo
sHYGsc5bo1SD+Ic+Qj2rXn0ubnQ9DCDzrjrTJjwrrRLuhcNS+y1nt1K7icndnj1mmpCPHTwjLv4v
wqBbhNkWgCYkuvFe2um+S8SLYbIkozb9iJSkNjKard+ajEipQ6zGe/A4057ioXrpDK/eMN5Z+6K7
QWuGEF6hxNQpTSokEn4/G4zym1JKD3kGOkCj+ana62V7aW0018vxplOksWWM2vfmp2NDHe+dz8yR
OAoVTkKdbFR3NGYHLFp4DJYkclKdPjO+7Sr7rJKC2EhDksG7nXr9Oirhug8W5zPbqU/QOllGC/eH
uiGSHGmaia9GVdGLAC4lxpcFO36rbxOysra5+kMjVQF0/a12EE1ebAPpQQkx2vuF35XObNeEmaKb
9zgBmrD7GLeSQFHT7LYi7uVA2xUTxmmTkdW6Uundprio7vhcup+F1vxQRCt1ZmTw8YSn5VBn9Z1i
ipSxc55petBEpmaU0JYb/xFs6SsuQnyYrOQsd6wrd/msXxb2Yaaevq+dpa7p2zrFQ9wqGh0kkZzA
GGS6QMf16sfSZTEkK0fUzhxEm6eSPj/G0xgZYGxt1Es4zWnFUx4ePHVPliV56qaLCIajlpUVz0Qd
qLHAIqFUB8/lzp0VXU+dwZbeEz2Kk0X1QszTT0v1T9Wr7FXzdV55J7diXDeLn8SCYpNBoqvn35Ni
HoExN2N5r94ei3jBXcR4k+WeYYDgOuTdAFBfMLMBJi973lO7fsDCx4bOGE9926REAyrNwVZVVupl
Xipi1U5fztfS5aZfaEXqp4nxozxRbdflBNiBV8B5nF5NaqFQOzieo7SDvNfLBJFElQBl05Rvk862
RYhWznmYU8M7vuQ3p2Xh1RpBwQ2nhldiVqW2p9r3sC5vhcSvplSec4/iuqm9h2UnGVD5gDvSKeWZ
7ycVlQiX6JsAWJjP+ckmIVH9EUN/Tbr7m1prlr3fCeYbC+HRFp2oPe0Uiq1HjrMyibYN4GCsHD2+
MirYhnFRvXbl42Q5l4UgpYpeYc3vWeFf4cBT+EGL6KYwfOlu9DZ6qzTrs7q3d6ldOpum4g1VVcWy
2WgebtBp2iGJhAlNqaoGCuZNCyxhZQ/DMSnGIzapWyT6z+3oyxXu+ksxPkQ5k2QsEZfaNC0GiQlL
V/q+1LdaYWsEP63i1nkqm3r81Y0zDJoBjoOz0SSqe5ER/Usg4sP2Yftv6jd+ltXU4K7u/v3f/vav
/VepML/tf/tD14+7yz/+wN8etP335du/44P/9o/tghK+77+a6eGr7bNfT+D3n/zffvN39PBlqgAS
/yD5vtjEbdfEP7u/UYkVTvgvUqvNP6KMb77G/3P6atqv6T/5tT9gxtZvvm4KKA62ZTk+Qso/YcbO
bw6ZuYo0axqe+sbvLGPb+M0SaHU90/FN17VsEMN/sIy932AOc6vxHd02dEP8Syxj01W04r/TjB2O
N57hex7fNLx/YPWadVOQbeY0FBVEH0YEfs1KiRL61L5J05DHFcbsSY3VbZklXLhNoTLGeX5qc7q2
aVBzvO0eoKHqG3D9HBvbEVLdiFEpbTJWB4+TF/6PZNfKisqkF+92LoOrINZvmlI6O2OaLeDj4mjo
LVGvPvYf65WA7+bKbzGxIUWicEcVuDG6Id/ZPbHAljklKz+2psf6R2AkHw1ApfuWrM+t3bo3HLvH
c9mkzybCapIt/PoqawfKZEZ664x0yF00avYeZe6dV3TdDf2Xi1pcJ2do940MyajHqqvp+rPvmBp5
QgzQIzl9xxDIB8WrQIdlVjIkq88+dXZbk+EZtPtQ5rdD7AeXvrB/amPyXlt+SQqAN9whVd9UdVce
u2zASoNstp/SE30WFZ4Jge+a3jbbqZVcJw0mA7aVduO1JSIZWea7qQyZUdrFJZmx1NUw2jD90MOy
63njh0m+b8Lxaeqb/FCMmD/HYm+OPHIlMsWF48pfmjdlqZ8GLXwNK2zV6iDZCBPTlHspQdrT7Y/P
eQTXkOVGK6J4L6pmB6XMBayGLLsq526rGr8OBiWs5pxFih7BETUO6zY5rZxfIeH5fJkXEeUg2u2M
MKMN3M53O+ZQrRO400/JoRttPmHUg2Cq69ceTewywYDqyhxHOA9Oju1VZom3jjjjPT7YcuzKB1xb
vG75YCH3GjrCPPAs5xyhlm7jCC4XmClJDV6CGsdPeBTkGe2mc9q7rpsOMFWtVeMzxmwBCyhvy2Zu
nnVN8qZEx6njeVoWCEfp27BJ5uciqlhD5wzehEuuy+Qi18UiPMbBtTG74kyI23kcDXyMkwkblWim
lWVAgaEJcTJTCaWNWN0JexsN5Ce8rg9+Q4ZsMlUWrsDTpAC31mB023nk1qi46GLDouaMY/omv9B7
vXMqo/nZlFxqjZ3tuYblzsxM/IDMsGbv1OVJtw0ZJlgRqePS94jQYRNkoD4VNBptMEcbE/vFxmW6
grtEu53i9LWYb0uqoKusjsli6bIby5klqHyXHhgbeerXzOjHmGt+GD8EEdiJMTz22otjkIHNmzqf
7F7jTRXEITeJd5YdL1I6R699m5Cyjh2ewS1BK7ZVQgNBYholZvlcu+nODVuxl/FYHGTJW0BSp3Mk
QP4x5FI4e0gTGQx65GIkzb3JsSFvjGFPdMx92ajQaDMgb9ZGN+Hm3XydZSkMVtJpOCdU+wBrgI9G
BbAj49ygtPZ+LdZjxcWTb9la5VozjfnQ5NVZo/MbDZwyM0v66wmSy7brMYGSNGvN2YZZ3DvW33vi
B9Nt3GSPKswKI6NBeNDdRJT8uvKK9tHDuOlODTnUDOi3QY8O2+Mt3eht/yVKogMSD+HhCPlA5Ww4
iMqEvw8YW8xyvGQhVOhYMttC4NGu/dhnWWyxNXPyw9Va3UvYJSss2agK8uwjHuhY51PyCWUC9ktY
X9KWMWbgZN161nl7k4aWGu9Cv3Hp86ARldrOsdYDyIyD/R16ZbwLRt5nokEPkzROs0tEDt3s7Dx1
rQUNOkJY4w6PGRm4qwy0NWlHDAez0nvWiNzisGPM90Avx1H7SvX0KZyZxBracLRybGBR2+rbwt2j
r/jyyuJQBYhtTV3belH8ocmcll+UHWB4mEehTlxmmX40rUY+LMq4gXJZdwl5XYayTsUN1JjpbQkx
fm1HAfepzMuNg0EljeVV1ii6kvohVNoEaRTFIVQuHMDEQGocg9hCEtOQWtrb5DDQk3o3LROCUtTT
+59qWiZhfvF6avXRms6+xaVQoEE9FoHfscaBoG7cmkrR8PF5QuMZx0DFvlfBroc2vipjKm0OAZB4
4vAr0QhU7SnQy/gzjIbrsKqprjV92GgGzAxv6vB8AMgdRYzQAyVTN9D6S8OeZUtjcAvw8ibVicoT
hePsROx9AxI3z6I0h/1ciLe20sWZ0trcoWMHeWgF+g0axr1l5+22yQkgn0RmnIMY8UZvDdkuN7v6
zoSTSHy6dgib6p5hbHWLCSGGqgIvos1paZltt/Fn9172+nAc+ebZC+sTFuH0vmkrl+F6o9zQHA2Q
DtwP6NGgEdVXjorSJaH2U2rWKdTM4Hoio2pPus/3bCbOOcj5I9BWJdhA6/a6bovmNKcsTQS07AsT
e6gTxxbyUpR5pXzT6Ybv0tlRl8Ehjzp9Lck7y6H5rJm5g2Ok6egn7Q1KvG4LQUtD/c1a554YBnLf
l+ImEr2SOnAaAbyxNNkT9XAyHx5l82PQmxzMGTl03kCRPSsZTt9IeNNljEu5SxHLXfdEg+4pzfiD
gRIgcyHuqMvpJ+raSA4WN+NMCNNQdcjgx2ArS4yZYJe2ROPMUEsYridyXgtpvGVgKPcigx1Itv3O
b57NFnrV6KP0mDh9lQ1Ljc7DchVDC47lTV/ocPtF8NOzOXoUxA0gM0B6AT+dXrftAj11HDqoCQ3E
IX7oNAaIVv/oSjIbRIaNDUMdYgDnx2x6F7ahYUOSBAheb4w3fS/lFto4/kGIzRsguf2GUGSg2K3x
zcZsG8Z0k3AQ2zUKaJkYh0kdvWJc00iLmzfL6rgwWG3ToDq3RsqA11My48n4yIOUWHDfPCN2W7Yy
Kyq6EwfOlYbMZ+2MtQviEMGJkWUbVzf3hSWCkxGBmh87VCHMJSBiaqDz39oYxVaRoBHp8H7iJr6x
JlK5R3/iD+PFBY1D3hFJA9Mmq+yXSqOlP2olgUGe4xyld9vMXXNdGg4aExM+HCwhFjlqE0j4LAxb
km37bVYdSZQRdqNtIhSr7IXIIEXoEiIvyrM2Cd7QfgRSImoSjDx/PLIpQmAp4/IWaXRAj3UCwOJ1
P73ZfhQVOWeGk+yaNvEecvzd3YTJ2Yyh2BnxeDVWEXB851yyN2PZTB6w2BHvAR/v0OiZtQ+7Xawz
r82R1t2BRyUWMp1ZUUOA40SQA3ccL41n+ee0tj6B08yPeAYm6M2PvTwlbThclg8kaz5NckpuRrcF
JyTJ22PDhSgXwj0QujnvwjnQ91XDTDwGAu0IHolpVnGvOvdOyXinFI7BGhjzQtSFdQyqzoFUrbNp
O8GFLbG8sYMAKO0Q1dvIkS5KLtM9pjYtfi9BalnMnXu0AtO57ur5DT+3v0USpW1bLBIPai7t57lz
0Z3JuQQpepCCds+vL/kRxv9RL67QPDAj6+xLGnJztHU5HMqo0DftWJv7SdOmrZX15q6POqLaNG5f
A83vDmC2pA63f5JlSo42bg1hdmAm6p9t5TvwF8ziutAJoA8rEd/4OeQ7GiWDO59TWKC0g7ld03g9
0pPvQzq/A04eaMWeW85bjfdtda69yHswDFTwthiesixDrmI109qqjB0Mg3tkI7duDwNCm7VTNRIX
juYuPLSOmNbz2F0IrVn7dds+C4m+tkmPovCH7dgHTD578s8DyOAZ4heYJCMNTq2ODmxx8W4cM5Ix
S+NlVPSGaEQPYXICCPryVaTQlzSLrQQJ9aEz9808IZprJC2hel/6BF/Ve8mudTT84omEW7kng4uX
IDo4vcBuyytkUC6Qu232Nxw47osQUzlxgYwIBn3D7BsBJcIo22M4VpHcHcWevUtsOkDd4F5yyfxv
jBvkwl1Z7x2kzg3T5FNtGh8ZC8Umt/E+5FZL6qywr3rum67wJLP9udphVbY9XhGDycA8J69xTwZU
o6ytLKz1NoyJmpXCw4zdw9MdoTzT2P1M3lvIT/fUIi6AG33vpc3ZQQnvQBNyXSfZdKpCGTTiyk33
UoBSuK3nAv2b80FxDklj9uk7yx443Qjpp7LuWW6uGkI51ikEmbXwumLlq2xzTlOSMBjqHtM6DBqE
jZwWp++m33k0kjQquAVEnQKGMfemMx09apOV5zscjsEVOoyMdZ3TZN5Kc9OinSd5YKfl472MdQBI
MA4lsX5xZE0r+zV07GsrjEmsE6LcdBg0sIjPm4YqDltJ8uhExqtX8Y4gsiXMmTgUywtB/QzhdTFL
ysUhewxKHBNN8O4JDiuxbB+HIgD5N3WfIfvuPMJ+6HIIfoNrvno1B9S0Io9tlkyp2ihKD/Hgvk/V
wClWmv2xI/t569gh7qKu3/hZPiLDSslYFJwi9MzTCU8knz5vQwb6ZtKf45k8mFFzj623y6DSPdTU
JmyDJhAEYJUYo78hs+7Mdh72aEcYYGclVJZPF+LTvsvKkoR2Ux4SYQ8Hl2e8MQSjvUAFd+cdwSxr
bFScdiKOt6Xrbkd/zNd+HzylIUGdcEuPcnZcTlCjf9WocTvBdFSU2nQZZm+P9jNjpOnCJxlyhAM+
mV9hdRZG3t1CA3zzaJ+h/zBvAK24B8y8t1OWaUeo7deBjoCA4E53g4APXpzv5rfjLG5ryaHPN8of
lAc/U5euP7PYyBcHV5bzgdnkle62lzAl4ZASrtmMRBOtsrTHae0Y3PLQ0h0cnPuRmwuvIstFzHxw
VeQ521yDZzypjW2Swi3W28zcaCGY9KKK072R5j0kUaWtczsXa7V5DSQgPTtAV9y+u7Kj/tqqvVOc
MNwpTBHdFGY/ArTM0V6hJOR8PRN7PfZyQ2sJiF1ASe3VGsYdqry0uybd7TpiP4JUgsYnjozrQHMt
WuKCmTjtW/xyYEW1inu0RwJjEyhLgfVVJNXHrMn0yAIs1iZ3LPpTqrCxg4XTJwNzX1+/OPVPr2H0
G8x9caB9uREzhhWt4snpRbEvW9Hsh75fkw4D3ImWcDjrb2bBLF7SjkaHa5m7FIXxCusEO3NgW1fo
Ee9CYu/WdZO9wTuuJlGutaYsdwKdsvcw9dDXbJ2xLyx9RS2SpGUTAtHTe8cB0XarzqbOnsPmJIdt
VZPsM7VXQDCDNVWYodMmxJQGmyYexm5TA1lzs9bfz34UUqcALC9b4xohvXF/005yz8H1mZ3rG5+6
Mvf597UFQi6BqZ+03NxBiA3JGulTSa84tKVvgXTA1qTp9mPe0JV2bUryWY+MtSlfAF3o+76Te8Og
g9Z0BQXD/GWb+GdiEb8HFOCFVvh7ypEfQ1fiK7DY2O/xcLw7A2QwD7YEudoqd7tlHmXN9s+Bc3if
9M3WEhXDsujDNnJjZXpS2/QaJZqntMxWG+/mjtKQo98WT2i+G/pbx+0fu6a8EpkEXEkptElQmiAb
dO4wXCiVnx3CQkye45azTE9pAHoqRbqT5nDb0EK7evOW3pKA7qyDsok2meg7LMg/CR8u9m34blg8
gE+dv1fhkcZYEYVjzXduoezfqpk+cHoVpuBwEEKr8OqCYwntrG0z+duCScOOEyUKVWTRG4tsC0R0
Goil5GOOODKbOq0YdDtXhej8dd4HeH/NmDYaDuzJIe6KGf3LcopLanR5mnUDNJ1YgnDqNw4Blzav
83KUgLPJo1IxRvVT1+hyJ0vX344h2Qrz/ahsKVrZa+s2Y9QBDS0Hlo1xmEAqqolmb3cC8BSlTQUH
YA+O5IrjmbMLOm7fmqpQ9dD0uUFoTKsmd4vqUOqZgsRG47atR8JJc4HPubM/EoWb70b9hNsY06MJ
wsvLj272qBnOa0P2+BqtAaS1Gp62MME8UIlPQxOtpR4Sv5yLR79LSaAdB5PJTW0cQtBFk+eGV/ii
74KpZtuOanQtbV5t4oqodg5OQIanYh8G4c8x66NT0GaPdj9lV2aS3HfQf/shMs/4e9Ckc/De0iWB
MSppuvgkNTzkVvzSk7lBa326ydrqqo2ld0WAPUqKkilFb/SnACbsOsrBDdmVfIxnbztyjYDuKJA3
QBz0DOfqXx9d/FeTif8PBw+Grlv/3dzh/2Y/Pn7kP/46dPj1K7/PHDz7N8/3bF2g3fxjtPB7gKLn
/Ub3z7RcwzMZMSD4/Y+pg0XsIqMA1/d0mM1MLJh9/DF10H8zTdvyfUcI4eiWb/xLU4d/IgQ4goA9
noZOF0a31HP4K1WCNi0OKcvWDl3e+TtWJgzQM8KJeCwPVbhDr8HCWYeMG5EyIkp34zVO0/R/sMUb
/9nTcJnIYCawoCKb//A0ZqNtJuRF2qGuSjBLmelddQHq6lb/9BEawsIyGa9V2rZPKUE6XUPva0rr
8Je37u7XqOVvkY3/FDnowMczLOBFlo/axuGt/+urwQ6UtP5A71dv7AqCqJ1tJ0Mzj1qwtgb3OI7l
ayqCO7QUr8i48KJisquM3MQeCL0H291wM8ZFvf0fnpZt/xM0wHEtXxgOjC1wFq6uXr+/wD9I2nZq
Egbx3g/cljmu7b2d1LdGGXlnqPsQGKQtNyWKHGymyPdcWowbFKs2tZ/aIIZBKCm5LfZw27EDlf6Z
qXtzdt19Ssj2uTVBpmH5vxtL0yYw6I8PWUV6VuSMTE0mb9oWY4mAwUdCMtfxRK7D9BLUeXUlkQqu
rFiDLTahGBGl/qXVnjjZ9074gIWpX/ty3E+Cel+bR+0YGsW3H3hybautg0Tabdu1B7fOroF+t5yf
LcBXDfWRnrefgwTwOzPK4s8urvVkfvTKJthp009UMGurTcod/Sk3PAXUDHuP5IhNOg1XIVYfbwsA
GrmsIFipxtvmJp/+lN7ho4goOuhX+ojiVxaL9lVhjpcgHJKd1/di20K0Q3GUmGZxJpFQ7Aw/6WHg
klzvMdKK0+TYIHgTQ4vUg1S5neluyiA7epGBAZenlSIFqPX8qFXo963I/+rUG1JEEj/1S845dS87
ipM5pEMqkpAggBoOWWufyMOEr9t5e+jgwb6e4q8CVAdhKmLLAevbLea70g/vagYyic2kXw71ffJY
ZPXH6OYNLGfsu0lJbC5Kntu0nYCeIJWSA2nioTNRs1QdUrHhHOb2vtUiWif9jALOtndWY94BMji4
BfppsGePhiXA3RjJceijZB8O6PkrcKzEVT15dPJX2gSMUpNhdqpk/SEM5BTuHXOZ99CdtV3lWMzu
ouDFl4BHKmCuiM30+052N26afRk2HLIOMyJ2khn2liVHbJd4Hgv3zageYyMHYllM8W2if4D0ACWK
MM6bEdVT4OAF1/dWOn7JMkXwxrGZkaKxL1BMrxLCLnau1zORLyTtRQN7ZNhbd3YOlDdrIq6KKdqj
TKOIysXPKVSH4gQqU4l9BCmsvU6NiaaTkukYghFr2wO9h4Xc7aw4dKnDKuea497ZoWoFm9CSTGbg
aoJRd8JO5eAWt/uT5vDBRu+DnEJ9ilHwrx/yLnI2dRJXaJ/4hubUH1OczYxqsAZXMroVYevsmpBs
7OVLQ9igJlj+vXzo+uLJ8E0S5P/jR5bPUvX7y2/8+Y3la3/+c/msceRMwqdz6NuYjDWTLD4qOPsl
DCKxXb5G1CEZGOq7tjnjU5qyFzMqjHnbqSyOMbbR4fz5g8aYULugYNws314+lL4RzevlUy4ZH6lW
r8Ei18jAXX7x1xd/fVx+KgZMDETPsn/9UqP+oz8fbhbYg0Hdqqf0l2cy6Xp0CCZj27UAZOzaSH49
wz+fmxdqnmJfqKewfHVanvzy8O7y1eVT0Ok8XZYQhQuPaTxlCFAS/6snbBsNGJenFhofYzpZK9Pm
5gmxia+bsL7qotCDjB/ctfRIxhEoIi3tTSObkfyv4RLb7Wfe3xI5lzwLYZ6LXJyKsRju3Xp+tq3+
uyNNowIlv/YdgJ9BFXXbbOpzJmEA87gv9KPGwo4HM/RusqY5BHr4YGvC3DoxfbzBTR4SC9CVsAgH
1H2iRDvE+56/H4r+PctIU4ObthJtY+NnzxgB0JXbG559ExVTcC6Kd0P3rmWlgI14FzhspiP2puqL
phPaI4Fdz+JcDcBMrmMnUXAj49EvkFmVA0ZZ/LEot7OjTQrJxbTKfaC1P1t32s6xjZ6voK+bYwxn
ea7vaVhy/A6whVWRjajHgsSc+whedZcWbszRD+UzLWsTBEwXM6ke9XaL9UknxC3H/gdXuokn8NBx
brL8zrcAvL9q7t+3ur8VZJZuYs2ad91n6obiLGJB9p4oEsSYEuV0pzYthagX9rxFn0hset/vaoTr
erfLUf6v/ArUQFrKp0mAYrWwKu4GDe8/GxwyT+fOncPDCPxwY9rMWeL+sxnzL3uePxh0PDmoyh5I
FK0PJlk/fspWB+ipIvEHq54VtkSM9Ul5ZX9T72Fh6dBTdHWxGiDnrOt0+NFKJeprOFpbLrYvIdhH
9f/H3nksOY6za/peZs9/6M1iNvKilK6qOjMrN4yy9N7z6ucBVF2sk9N9ImZ/FokAQCNSSRHA972m
0S9R2vMyVv2p5RfWWOl26MKSpbTGSMpakjgZqIdBCDf0CK4/uio2LDpUGKLrETSGwc9r7WI19XdN
SCDPocuqm4BK9Bp7OtxDJ4nODkHwHHFjBwXNF7v/UgyxftHQINigIDGdSER91HqDWAFAMUOLQTBr
9lc9r3/YE6rLVVzX6CIDJlC8rNuV1UWzp7vMNRcEmZf7RTGizQIVBQRHQXa7IcFMlslTeQL02ji0
jnHWEgt0p37FNfTIFOOkLqq548F+sPVoPqgh800TvbGTjtCWrl/qHgMSlCgc4J6p8lgymzkP04/F
4fGCHAsCLSD83o1vMQQy3CpZkoXRUxbn3/iJnwfLfopTcpjA965Lk+9Sp0C3CGREVDYEN+9L8IKm
tXen7kOO8wqwCv1LM1Qn0iw5av4uaWM3ejVQ1LCB2QEKx6DBqx4S7Bb4T5QXktagHoItSXyX/K8O
AqwJH9UIs0Jr+TDYxoc5H17HwMCw2Z2mS0RIHcFyB2MplPC1M5rmCBxMJZplAJrtcPrQaGZ+sGvE
4pXF+Olh4LsJ9ctUGmScnNzbDxWGFLn6NtUkriKv+mYWxCNGp+4A74LEJQa4a9P44+gJYahhMHb9
sXDubKN6mJIWYQsLkmM/kT8IewLBZzUnn5S7j65TP7a2FiPAgiL1nH7GA+1ONZ3nJuXV5AGVGRS/
dgcEtMb5cUJcaxPO7lPQtHtLGz6V8L15PCKT1yQ0fFdBVjNwebtEkbGNUBGYcNKFPY+rilXqp8oZ
XhJ1wJQN/iMZUPSoI3L0KSacBbmr2oivNooFTrhD5jE+AQS62t0UbixFGFbAEViG/tIsH/QlIs2m
jwTfg+qtMqDw9ab2nAhP59E0PjnLxY1Z8cZBdKeq2ac5gcQ+qV9m0l1K8JcS2X5qNvcWU9ooQRTW
ww4gSOYr1PfvxZi/lBWJOhWF3cvco2FiY92OdI+X4VmWyTzilN9ntW3sY0RdtnJLMdN326xlNnMp
IVKCHwSGB+opG/RXuVdQIUFZ4USwnRn+7xUmMUcoDGgR6S4IT6gbB/I+xf1SePNVnxAlibCm0Str
3+lKvs/A3EIyBn2CNCypxKbi16gDHHZqlHNVSAqwjDHDdNWfzmnAF+pqhFAgo7j40JjBGUFb587o
dOduFMzNckF/FMzKJq5IdYqI3Q5wyHSnKZ9ix+EOxZWYQGD2dhsg3247fH2DmhJFSjdjQ4S66sme
qvHPsFuKBzRrKaYmESDLL2NELlNPwWpY5YwYljsFd70zG3dwIbDzMu4IDXPXHdYmmHDr3oiUMe4M
SgUggsQGS6TgmnSTe87V8hG4Dt7ehXlXAPJFEqYHN5DGe9VAI1OxH1LHmPylCx/QKjIY9DrjXkOD
2Qmy7O6rmsDe0JfyrJb2WS+H3h+t5s4ctfY+nNQnK9PRZc7b/FrN+S5ylZZjiRlhbpUcqzxPDqBI
AAJhm7OdWw3uYT0gTG4N57lx9kC+SvJA9qU3a+/c1RV5n3YscHHcjDhg3bdJhKXCXH+FbeZjgoT6
cjKmvjctH4J+nO/NycV80an9ME9/RjbX6KVHo8VjzwWJsiVzX96PVnqHo62YglsvxOgI27bqSdPr
Xdk5n1EFxJ8L8VTWfvNwrzfqeUjVE+PS7Edu8ZClWnAumAtvTatACWepUffylH2tzTOSKGV98RD8
wbBhvM9E4enjDzIM5iEn2Azx5jnzZoRbT8kIORoLH3I+TjpD6QoA8xnxVy+cxlMcuOnVaVCSydTq
HOgLvIbp0fK+2vGOx2L0ZTGIGgp2Ar4mqm2vLdpWbjLC3mWQYkUX1T7QHL4QUUsiG1z42padZtUA
GZPVSG5nIf9r/3/sbE1vlxoIuRR9OW47HCR8u51rX9ZiHU+8f23KXRpxhKytx8rD1qasrafC15p3
VUbAT55ZnoD3t6V07jlQVAw2VFw2ZG0t/rXPRQCWSeM/HFfz4o/tEskytMVue8jdHD2pIYWLI2SR
13l7q93OtX5UrHt/72lGlzwYkEREmlB1ktv+f2zHVsvT0APlpKlrk39Yzy/P1/f9W+PCH2aqBM6k
FJ+Z1hYvalnNhvYME+GvbCF0rwfJA8JFZEoNI3uxrfzYgYp/GJUWWng6t+Q7quychG23LcBWwKdy
A1wvsw5cD/TSJHyKJ9DuzcJT3We4fdmglxqzzO/m3iGt2+XtoXaD7M7N2+agAJ1CLJXmADEYx01o
HDCVpsNYjeZVa43nRLXM42KwlM6sAKW2bLSqHcJWJ2CoGmpqrnF1cDBZ1OajM0NQN5NTPzTZNYni
7FpFxIBVgzEM8iS56RbV00Z9SJCT6ZgWzegGcnmbUNWjw+ydnG4BbTD4f7EQX64DxD4kkKi5mHke
lBLkhmxqoq8wcM5j8nBuUU+97RYuGjKd9twcUg0YWWEc64orWazPMY5id0mMxcwysyZoUwyS8FhG
8ADtcbULEbWzdX+AlnbtRKERu2iT0DondS3YymiUZfemotzprFT8sKiNix4+ZgxsfEeckOU8w8tS
TlfeptMV/eFPsGYd3svs0YTKeE0VKChzGqLZl9nEgZwKnKmbEWGY4mdHb6q7BUFi5m74PXpm8S0C
83uAHo76Qluf3Mi8QBGxLsqA9G/NynBBVX5TeqBuSfJ/CeoJo+Ikfm08Oz4Ct1OvMnMqa7Iwxlm9
epa6bPUMYaDEQuCcCZXBv2BYUr2E+8JB1ewVgGHQftTIL1/qvLDRwtbI2rvObtacbx7L+atjNY2P
AMBeES1EkigIbOxCk2Ti2hc5hFYmRE2G8UNVMOtNlty8ygdL1mDghYcEBdBNr+kzE8fuSq7QPln5
Yly9sTOOaZK8LB7J0B0SF8T4r47YJLfbY2Vc3e7URDBzI51biXFFDvF6OFsVK8q5RHxTBUjjIEHG
VMsNrrqaw6sRtSyEAh0bMaaieXUXo3Lbxe0phiBbY16tFOSi6hfcAf0G37K9Xo+IJ6ZDerX1LL1C
h/3cgO40wQ3J3lCZG6BRORGe0k2uzu895e6ycNxLYvefQEuBAZuROjOGHKVVIDPMpvneI+ALZL35
Djvx0MsCpma5xQypYmytWAhayYXk0q9CicMBaJJo36qKAnqaVXuBqtnyLDf04pAy6fv/sqPcJM8m
t8umo8Yo66WGdvuYdcP6qbJvbXpdbezMninv2rd+aGW0iOX0L0biYo/VRHH6x6VXoc0SwPTA1fy+
vvUT18vD7YIrzwYiZ/BGra3cMvLAeWaiHtf91o9dL+Xd1cpd3l2G3FnuN3Txt6yv75okyI+hmQEE
BDOLu2P6Me2dq4vMFmoMXbczAbE/lgScT0ZlvJaZqdxDMSuAwRCeZJYeb1M3su48sKzgopb7AFyM
oU7fVCFRtaQev4bG6uEJZ5pfZjpAy355RGyMTH4IOKxbHsLkpXXUI+kuY6836Tedee7eRdmZlxQr
XbMEn2fw6zRD4rEVIrtibRm9ucUxLkEJoelKCmucwEfHunqEQsgTrGtHs3c/B8Ws3tl99oo1T30k
usFy1JjILLoO3qEWik9Oy3TQ8hLAI9ojANvwDmPfN+Dt7gueQVUXHUgmag+gUPMGsVqlGZ6Kgfds
18X9dmbxtF3codmnRfo5UoTVxQj/AQV6EvO98a03228pvKmziHTshwQ9mG5K7jtz+NwG7mNuqfZB
MQHKpu0l0V5Yp1mXDF1d8I/Wnvc5qmElxFXFHctL7Y5o3EXeR0HlBLc/8ybKXRIAUw3AD5U9fQF+
ZVc4EwMIqj3zKyZmII3UETdEK/0A/tcigg6woQsbFJJVeFLV2D5I+bii7EaiwSC5TWQ8FuifW73F
b6hu3zoVzJo5s7BYTOMQV69LYoUfYUIdXbgyBx6Su3Fk+C/N5HGodcTrmulBGYJ7XOMThCEr089O
C8RMlmDKpu/s5kn1un2TotXSD0pxCrJgvFjkMcf4Qens9phgTl56pn2dXFA6Zakj/pr31X33lgQ2
xtTDjK2eF/sd4ctzOWCX0xeobRH8sg6RoiVbrSrtB7NnuQSBBTN44e4yVNYHDee7oiFBPJT23aiM
QC/U4JhUueFnRTHtsiDC2iAef+gFbHwKY888e4ZoP/Z7YmeY7XjLcgxyHVZ60GNmjs3XmQlJuQ8i
MMYsifcqJltARxTtECGBipz+ojxVc4TQ4diDScPrbeixTEcLWEe4DM5n5KYPOEXg4MwTRaQNV5l4
hJIJVExIAx+iTLH2fTZ+ZdUH4sde9qlr6ec6d8+pZne3tNz/0Mz+jWZm4Cv039LMXuaSV1z4Z7r3
1zG/8r2aav5HZUJAhEi9EcZ+c8w0TWMTOV3DICMs2Wd/k8xI94K3sFGot+GQezqmBr/Svab6H88D
LKWqJEZVh5Xt/0+6V6RR/2CYqa4qMoigH9G95HMMkf/8I42oLXqbNl493hv1a0QeyOpRiDkAUrbM
R8KU/33a8r1Vw//zae/E91F0IWAw8mng1H+CnLOfUStiyRY8AdxriIa9lOklvDOO5ScSIeZrtY9/
hMf4zPKyB524dbfRdXzWroCnzuqGUXAkkqjsu3Jf3kAJ0CFhI/5T4tdW3zkFqC75d/5vxACYg/DP
e0e+I02kZVZmagiqkEeohHRrIQqPMYLhRkHFdQiRswKIjr5O8YnhbTpDLeBl19dW43fa2PiylsDC
24STiLfr0CFqEzUavWcGIIsBBs8hMNU3tD8nXwlHJCkBum6xFyq3sq8IRmycbeIiNZ5HuxSP5y0z
3uGwuHm1WRMirvQhLxYcwUwNpJQhvM9jtSRoGFsp1t6iPbRd6csmdhmPhQvugyk4nu4WGZ8Sg3so
8Ertr0Uflo0/O4kNgBnr4D4TPigU4KW0Y2WFp7Wr0YgNbRZHI+ADj2enEdzFOk3FuUc6zvd9le47
sRaLxUdazqifirraOsIw3lQG7KhsWcoOIGmVj1I0AzLW0NvRbYIjCfVDKRbw5oAfEFzjXzVP1GSz
ba5lp+lnSyzacyMiH9uKJbksME2rfTji1W5Ugcd7cs0rVteOXDWv7dJkCZNNwQshtFNXg5kfhByv
mPP4i6XeqWgkHGRXtyiCEK2jmxS48WccLFo/7NCWHRIgqqIlu2SxNrU6eYURQy4Q7iHcfO7fEgUx
ScgL8s7lf8VtwqvT5vFR3q+8S1kLBqPgIRRfAiFnoKBL8nG9Qz1VQA7JttONDcFJo/9eRUq7D+q2
Qfur4iFdb1bWNHRETvwc9rPSt4Qc0H6RtRgMOIH+5exOiGZ7jvUst2VxEJ5baHODTrzYVlplO8WY
nUQknjk3KmzkzcvnW9NwjcJnyBRPgmW5FY7w1OTToTNdOeFesJX9sov/OGhZj2c+9FK+olqfSr8O
MgyOtAjQtNsODlQjxfE7j/CUaXWoVUV1TFalJ3M2jqSDQDnP9T5eAAhOELn9WGsmf4QzmZbgGuDc
VreHeBDXLB/gYemfcivoDn88r1VCiHYjL6otS/fQBs2dvJpSXtLvwoqr0vcgLwC+5loDSdwoF+s0
iIVN4PKqyEueHNmUxSQ2rM13u+BUnW6adlagOfH/UmeeUEJ+ZLWtonGOKI8fyQA1vtwKprrx3zWL
YMbH3GvjnZkMFmkgQ2hZB7qGmSEntMnJ76usf11PL2sdqdRTnw23vZqo5VcHpWHbmHxfI5pW/iwK
WZN9czXx+i6QTiHUS9xTdi4a1Eir9oDKyM1/7NkBAxmU/JyITG4qEsqyNplJ1bzK6hyKlLKsyqJ2
rS/A7kHfyaTtukEeXa+d69nkPopLLiwr3GQnv/n099dvE8vlZ6ejL1JDLGGcJSU98p4KLXACUG1q
7zQu5maU1+7Agrzdr7xp3RiYG4cqpBJx46a98L6LZvHWu22PdBd+ovGC7U6xtxPjGszOHrgLrym5
r9xLtpm5/zqzbMoNsu92uj+OKZQefcIxu2ig6o8GfKUpET+yfzrN2qePhktko+m+O+hT7wwm+5F4
TN3RGvc4IH+RLQAHmFuK5zWLFnsn+0aQGb6srcX7vnwSmSjLENoa6iVXlJBvQBxXLOg4iZv/x2Pl
YeuWUh63tmXt/UeJK1z7wh6pU4+vYUZCp1H1nyVvs/0gBlwj0vbOVGUnpVBfzSC29okY9WQxilGv
hj7iZIo+VcdByKrV+Dangsu0XXCUhuxI3mk0m54XBYVrqR+Qr2gO2AtU/loA6/yzKTcUcf2jjYUb
ivgcNDvhn7QJQtNimCvGLlfBGes9ad++AejLwy8LXQzIa/OPPjHqNWlNBqXMwCokCPbsCxKXsHRQ
lurnWngeL4TZ6/yge+bZzXps4Jruja9jwKhKvaLmkR0RlBUWor6l5gPv9OGj+WCmaXr7TGjNBckz
gYWoTcLCUwq1Aenhch9bfD1Nk+5nq3ZORRx3e2Cy4S2GO+Tt+CucG2m8mGTRAF8hrhouOxfS7TTO
wQmVNvndWIZSlKeyqJZzq98T1C15i/At2WK8S532AW1lEmAtHhD5aP3sE6O+9Ai6YVz1pW4j6KhO
SPq8nU8eujkamREz/CtK+PG2YoY1iemJ5/SguIcq+ECCuz7IPvE4GLqZnWAkcMGtsnjnEeNsjSGk
rXEHjYL0yda854657jyHKXbnuB1pKVOk3D5aYXQGqKb7mmJot2Ix+wdQmOkJ/uXJTEv3HtaxiLR9
wjVggEWe+8NYfYg1Jjgl4DycJcZNExTOUwKTDLtREF+qhTyaLMTL1vfy6VfztkFoOaYZfEuU65FR
E8XtCZDV2E6ZBAs9vTjqGGQd5d6JHH2rtgv4kohIYgDUGjrEAPG4PQ/uGD50E7KG4PWYL+vMW+3e
ebBJTB8r1RoYUHPtZzvhm6OLqZosNDlKe/GvJtqB2nGx3WNRmt+rCbOCDNuO1FUGX9ZQUJrQAYxA
BZb8CDGZZG7BWpcHY22jwkF65tadelF724aN6WWwmuy4dskDb+fI+4GISWvj9tniVLFtxSBUiyLL
XGNB15hqbxL1CeIB52qzZ0akgu3nILGpSpljyJ1kbRIjl6ytG+R+t0OWKf6eJTrwEnGsg2PZEaoE
6sIFbwJRqBg+8PWJKg+7hiZeke+Ys3W+7HMAzJF7InQ8a9ZZdsmNwodSTO06v1TQRR1qLi/rsXVA
1noPf9U9E5d4nALbPPCkMKTr0TlrghHfbRRZt7e+rvkRumGz1ytm5rLLyjVlBxYYQUVx1LphbY4P
FTNcE7f7/QCta9y7ClmmjYa67FFzh/vsGCaHzrho3h6H9fGl+OFq+d2IiwGj47Hd2Z+ye5YdHxS0
6fVosxtyYpQb2MVdsqeiB5faZnq+m5sP7Xht4nuxSkIpPfTn4bnXvxD32ETpMXP3qY5Sx7OZPGjJ
MW+3uUII9sFJjp3ObwaDj4sL5lEJ+H1fiwT/+Gs/XVFahq+fB5dOObve1raeQoJm3i6Mz2l+TvH1
RYsy4L4OgKeu7tYkQARB6BvZ7Xqf/8Rgoenw3N46yltDCpT7/wg50kLTXJ0fEFzM0xe92QA2JMz4
F7S8+qumbEwUz/VPfbQn5YMwVY/m0saA1qscyCyYxtFRD3Z+xqcpjBFQ4q35AN89+atJHomGZXfq
odpcLb/6goHt/bTBHAfjge3iGz56HG/ztd2hQHUwvhCAG/blTnm0eBMh7PTmHQFDnPXv2hN0/nP6
qu6q53qH6sUJV7ToAQbcCdfLTfzo7G3wmY8sOpsN/Mhdfqedqq8xC8uOPPSmQ2YcOj3CAtCnxo19
BQ9S9UBkTnBnMMYOdl/bjfFQnK3D8skGjrNPn7Cw+zF/j56xCrzW14mV/7bZ56/CGpVl9l/wg617
/VP7au5+dKflcu7f8PpbNoQBj/GWC2Ye4pePvjGdHMg/GAnu1XAPWQirksXaGEAwIeq9dskpjj6M
IZkDtCGArpyCg4ffSJYfczISHqrQH0F6EfJXv5vlE7zh+TOENQS/bGO34PeCCXizxdYaeAc2ZhPU
E4IDk/DZScDGaPtKw6SjeWsuV+fJ47aKs70tPtqTD3nS28dnbcTq7sVY0NM6LmAt0LTj4firJx56
jU7eEzKOd+FheoOcgrvXFcBJ3u5S7xTGu2razR8z7EG9QzedOsgmwRnt3NL+AAil+GJANlsOnzsE
r/SnIj1V5OAP6jeg6Ug27CNGUvEXF5v5q/Md7MYAi9264KbgqFjfnZNxazzASUuf63l7sT5haKRc
tEO1K1+s7yQMMSTZwpLyrsGHUN05n4diOwfb7M3rIMmIjXhCmafhbf7kVVfsQoG+7ME2vWk/iDQS
mVC/YlqQ+cMXlacSc5dyy+znWIDfhhZ4FmYYyNpP25nsD05ZUK1eCjQRdvAHnWf76/CUP7qv9Xm6
y1HSBu5bXPn5IzJBhnX8ONgbVK767yQLf3j8fFCGtSEX7UgDZUiwmEeukNNnI4v+rXZn+HBc5y08
eA/3mmQT/1Dvxi/Kt+zR3JdbFmmf9Nfwe/qpBoJBBgwe2qbbBvfpS/1SXtQnogPhIdqj+Ftt7Pvy
BC9neQVoeP88f7A+ol/8mPwo6o0Tbg00uncqqkA7258O5R7YEy+a5q/uODzpJ/OCywO21M9Ejocv
rI7Tc7tD62uPNnG5dQ7Brtv0u/4TKGnehRqa8Ry9GbJdre06mKq8sllAPA1v+RlIku5xi4gAbtRr
uOOd+mJqPgLaH8tgx62jdgrUfqOz+kVub6MfcH1+8j5jLv487e3dckrf8qMFiGwbuw8ILoNvRKzm
mO1Cv0BDHpI8sjLllZ9bciBId0Jdx3rhObySKwDwtyckgTwrokfJcblPULVF6/44PX0LTqRt/eCE
UjY/1Czduo/dST0jYDI0ByH3zBvQQBh2o+/qj3yn5+4yoYmGMM0WLdI5PMXcw7DLEI7iZ/3ovZL3
nye06rYg9AJ7Y/Dko9R+75wC4Fk8h8eAsNcx3Kfb+ph8Hu/K5i/WXomCyRS2jwfrBZIUmJgq35Kj
3IXn+hocct9+NrnmI0To05RuH5x861zq6gC0jjFlazKqb0PCkQEUxv2P+SG9el/MR6RO7tDN+Fpo
W+t+EuTYdfhzi5qAjxwiDV4b+ZB1J4JHvmo6zTEygnvNZWLTiZVKULJeN8XaqB9H5H9au9/Huvtq
Jy5z65NpjzrSdlWPaUtY+oM4RNZCsSCRtdEy4ATeqp4aq/skGy4pYjjHWOyTydXNvx8NDo1ZDPa6
G6eDO1329jbtAFG7zs+oRLcX5IDX++R0fhVJowIMN7LBlzW5oUX3TkEigDgS+o3e2Jh+uCyHKE31
M0lyIDo4di+LyZtSVifAiZvWquodbJfWJLnJhHPElXsbIsnhR5VD7hgP0oT3LjGIRLYDh00OJN45
TWfkIj2m02oBYMNzCRXJWheJRcHaxmue1UekXmyEcXdV1iDip+WFr4rCiZnWytrap3nDeMyb/jFA
qiXWePht5JLw3hWRrLrQqh2QfOUYhA+hrao+pA7mIDbekEnUtMcbtltMqOG93WMrgo6CiC6sRSiW
gmtTH1FYhiH7IKNsk1iPyFpTubxy107TbuONEzfRXherQBu3F9VczJMMB3ciJChrtogGx6muopqC
+pCtfczwsjm4UPwYPoZ0i8BUhXdbBdtd1UiYGbyP++epnsfzGI8HxZqgnvwOIKluQfowhUlbFHEP
6hZSip8vAjzYNbzVvZrlus7Ms8e1bLLQ0ZFNdYyxTmSq5CEHhqyT6kf5NDJnW7RPVePWB3IAk08e
YPI9bTKORuyewkX8xxvTesnnyt0PGQTqbSLidWZqCFCcW+3ccmClIv5za7H2DYM6n3WA46OGe9TQ
wLgw+3LezfAZ1ba9d1j1GE5gnwYRiJMhOpEFQewVX9ZYRJLNVgRTbsHjNZis68ObhcDNRkWNGfGb
yfCLubuw9o14s0KP6IALkkclCVu2xsvQuhorNwoVV4hCJSfXNra2l2FV+Q+WxdokDx9zkywMVebk
8t+LbBRB5dnRWBjVKEZUsOcRzHQJ79Qi6HwrRAzZuqHKQm2Xw0SGMNQJ6QmNCJ2MsCYCJ3Zru+qU
3+hf/5OF+7csnGOLVNL/lnKWv9Qkf6lE3qNn+X/+17bMyubL9/LPLNztmN9JOP0/qomUlmch3mjo
LnS5X6RLTfX+o/LKcAzyopbhqXzS31k40nOC0sSRqgcJURA//yZd2mThNN1zbceyIGySPfr76n5l
l5DJ/NdsE5fxPg/nuK4j8nokCizTM9/RHdU8qtQA7RLEtEjBr1FHGc+TscFbnww7JreAo6z/87Yp
6BCwmGdMk8Sydz2fbMpCxhp1F7nncPQeu7SHBME7/CkanO5QiMBUKtNJbdvC2AghXMvOWLxWZVHN
uHRtbjs1RZIuW9kt92KF/muvte+259qWtbWYFFBvTT9+HuCWwf34+2PefepoJvAg1s2y9m6f25Wh
9YQQNlyz3boPijcvajJ4eyXrzjAZcWgUy+dChCsg9bHgRrmfH7HslYVjt/+lnYqghtyyIBihKVhY
yqNlVzaIV+AnWV93lE1ZrHvedhcf+8cH/NPmd31hIdIQqX0XsdrubeCz65lkDRrrnaPWNmIxTEEm
OcdYA6wy3Ls29SlgCgJm6Ve8tzeYSSwe1BT5la3/xXf/VNks5P/fDfVlN9sOeUi7Ykl5C/aLhy4x
IUaUkxPvkyjk/S4fQhzrWZlrFZENGWcRkXFZux0nH2lE/42D1mn38jn9I4eQa9qlNogpyJ2zEX2a
Pgav8cexsqqP5iNxrvEgW+vDL5u3k4oLhIYyacq9DPYCDrIZTH4Hf+NRG8599qVAyMOHvQXXLicU
xW+CQtp1yqbpuGDzFQNJJ42EmVNmUXOS1W7GLy6ssQqL8mLXuaTUUzGqyqJvMSdV+e/vMNmJTw5E
Wtkf/95DTQMQJo16bGRCScwMEpkMW9tGUyJ+bRef19CdLXNrIpJnyASbKORWFCpeFjG+u2IP6BTb
yivM02SJHxPIXEo3jgb8jJyTDETK2HAIfwamsJhW3apG/DRZMz+PGVTRH3HJXAapCR8x46qJP1v5
ox161qG21Dt5Y8Xi8RGy6lp9SAgsZ9peegFxct3R8weFVZuTJPYpMWfoXevlY//q7HShOW2LB7oS
XwfyOISPRVMW5u9amtd3JMHRLRfhy07mnPXFZOEI7LHycUND8WJun+S3kIiph6zJT1NxFjtNZAgT
kSqcxVwlEelDgD31fpI5RTBDox/GItNoiaRjlRIlyVIdz6OlJiYTV8pmTtoO9TlxSaa2MJeMEp5Q
bJmdrbwoGV01oT2iS6ufZNcadZW1AF8l5ltZIHJLaZY/V20RHm7NTFzznJQKgUEmRa2qI1tGIjYU
T19AbtYTSdqRbG0i0raLSOXKbbJmkt0lIJ6dJBZ7hXV7Mh+MD0vj1yJJrJEtdmXeWCLVDZlNXnHt
BblmTSSdLZmDl5loWQ1EEl7WXJGy9shdy3C/JqbOqcxsy6C/KyL/IY4EG1ukwC0vfFVBXZNvppC1
tekuKNfiWf1TdvV9+Jl1ir2Pyp5HwhHTbhcjw4MRLne9mI7LrihEjguoO4tK96USqfz1Zt9j2icB
BNAFJGC9Q3nbhcQOSEh+JQAFan6VhIH1LmVT3q/kHMBjOUwCpIABMpQHkcKRdy5vFzVNHkNLlrKj
BPdgCwCEzBH1AhTR6xga//G8yqejTFtvB4I73Rhymnz7BYufsdcrxzwytOPaZZr5fQ1O+qALDEdi
iKj77yLEVhiEDzAP+V8pBfSjBgOyJshMMWzfkmYSNSLbloCSlAJUguscI/6ar1IF/EQRQJRMQFLs
wfB2ld5VeN/yzNtww2ARkrFIcmJejUC3yD5gl29O2SUHvQftKgs7w3a8K7FFx0jV3BmLRQjmd3ZH
1hw3JLGA+eZ0bpyP2kjACosrIiwCkwPzhtA24x5rUlEME3FCT8y8Q1VMylM5HxcP+K1tivl6IWbu
EVN4BJX5qcl/vySHyAI1VTpZoGFmKdYCLJRYFui/k394hbJsKBElE+uINaMla2uzE2uQUqxGXGhz
zrxgySyKMNRerIH12iIWV3IxvK6N1z65VC7hdwEu/L1qlpvXpjzOSMLoqM/2RbZMRmiA/eLUt6rs
/eM8t6qroY+F28kJLhC6k2191cWyfhJ4A72drLPaPpW6jflS75goVKZC3C0MiV96BOMxHd7JyEsm
Utky8YA1G/E0U6QpblW5nZfKQyC8E9WsgSsqxpNRpMFgAXCVsio7ZVGJzbKmqC5rSV4+v9pyR9kc
nlBFj28nkbvKXrkdSQnOmeoLFpUtfN9bO5Z4g99ngiNRo4hq4XLHBAU0kthSyvmMrEZy9ik6E1GT
zVQSw9e23HFt3jbnct4s95QHZfIXs55T7r82b5vffVqyHgPyuDx2fXW7AnncH1d52/F2DqfGWRTz
Gp2sMYN+CaCWYVrAGmQ70E1CukEH80D0yaL/XZPNRQTG5M6yth4rm/1SR35mbWTDDAUsRlZVy8Ys
Su6smAI/Iau33vU860cxIqrbMMNdWG6Vn7d+vKytO/9xxvVc7y7x3SHrflPMm8KNT+vCXq7uF/ED
lrV3TWPOvS0DvLWRG3Qxtkk0z1qYFnTMwJq/yy61jxne16CN7HzX/O/7yhK1zLgnNSv3A/XHCWV1
Pe72Kf+4vR+sYFvbCCjfrliMsuu1y9ottiGr6z7y1hqgDSQDxbch2+s+Ft7O56E+edVoQAyst/Ib
lIX88kal41/uaGN+UFL7Y1UVIJ2zfgABLiZ5+TDcRWHuHFoxS5PIKFClTPlkey1unU2hQf2ugTO8
3wk6denfTilPItvy8FunbKtzNqFxSu7PdZQNdMxxW42IXPNUeH6XoV6gKhbmCA28S7dJwr1pNcay
ryvHQWlGIS0oIn+40CzjR21qd85ct6fBVBOABg3GeWICbYq55A2/uIhZpB5F3L/bNPFm1lSw3b2H
SAsEdV/Wojq3bjUTUUc4Me4pEqOPRON5claVFDbJF0NvtnOG0uaWfI/O1DmXM74/UHSxGLpDUchO
CbKTcLvS0T7okdccMhVSKmAA11enbj4OvWv5kyh6s6zOYBRvCiFo33W8bYV2CLw6PP20Y6MWqt+J
AlHhxW8bmC5k2b+aPUHmQayD1kL22UBodoZmQGhziYkqC5gs4m4KAwWZtEyBjiJAjUvjuvtcDscr
7hEXtOFcli+qnEnKb0LCM+UXI2uykBuyKkSfZwiKLQy10b8Vehad2sU9BPLdKBGvySLCDzKie6vK
XrWI72cz8Q4zqqw+Akoea42Y+w2b+fR+Z028reVhcousWREsOP4ZRChJ2f8uJPBzbcqa7ItrxNMV
b7IwZ6wHHxv3wbcTtA88A/l/2bdukLVJfFXe5JHyE7N5+f9do543LKJAJcr/+drsJLZ2bd9qgBaj
Ze4P6W21IE4oN8iDJbgRhZr7zja1wyKGXBkoZ24IW+53U5FDZiQXe60YfWsMUX4po8hdIYQjdwoK
cfvHThnYLwEMigaWqh5+6O1pmvtBROb54nWIfGBgQCCkdkx2rRqi7eg4JUqCVX+VRV8jf9n17slR
EVPehgJLJIteAoywZtkNao/Gg3iv1TAt/n5diXb+f9k7rya5dSQL/yJu0JvXLtfV5dupWy8MuaF3
oOev348ojUrquXdu7PtGKBBAIslqlSGAzJPnaOqwKrs2orjDHR9SaDD7uUhYhpc1CQP9NWwnk3z+
bVr2pM8VLzo7lr6aXrnD/j9K+3dRWiodwMj/fZQWZrw6+fJ7jPZ6xb9jtLr3P56jU7rlOgbBtpl5
7hqj1Rz9f0xTJciqW7qnUxTxK0TroMZjUghhOqZrGZZmEb39GaK1mKLkglnDQClKN8z/S4gWSrU/
QrTz36PpmmWSvHH5j7qyuOG3UgmkGMYsa1Xzx1Q3/xLDGOzDyYqOgJTSpSe06UtEHjjRmvh7lbc6
8gqacRFxHW8RE+o2BeULQ9gPlyDsplXbZiTBLat4EqKrL8g13vluWj7JJmgbONXSzNqEwVg+BVVp
HlrLPTvEQoC4dBQT1InKs2a+gi30yNOemtJpCuABL9MSViqoiecS7zotDrfGKbvi4IYIBNyNkQLO
oa+y5W1a9qSP7HWdg0J3fb2JNOe6/yqcrF2jQYAGW1hpb6mjHa1KtD+0ZNiNWtu+j2LIITG2bJB+
SfqAlAIFhFYTPZlqh+akg9Crg44CCZpCHDLdrw5m45f3fuG/3EzSLpubrXJTGDgtDzIrLlIiu973
7YXQmw0aoiqHHYUEw66GtxwNFXp809J7T2T/YUcjkLB4UcKNIb1lcx0XQ8KcvFHk9luRAjghYo/N
ul6V58M2twzkT0XdUZFS15eg50BkErpYZGjCUY3cWjPuqct2CXor/9n1oyzbcUJCihFinwRGJLc/
UPk1HGRv6otkBOJex7t5Vk40FaCV3EKFRY2V8E4konqPJl9f+l0HGtIL3LcyWQSZV757fhlshoLE
qdcOx3DIWK5Hp3zXtAguUmGSXY5b81Ujz+/0ZfU+6HZ+7xiCoNHs1kfqpShM49GJ7f63y6ugMyFr
44hZOq3lLOHsipCGrc7XoR8l5tH2lQo4iI06TK4q+p3pnmC3otCvLZG1HSqFwhfPPTla4Z2suWF1
3oWtZu5u9jZElNfRg4s0yaadJu9kpglZ4az/eY/QCyaiq+gS1XkM6+ncdOAZ9xMJfwjo+H59mJAu
N1sdZbD8hXWxKp3Y2cF3GW60uvokR6wXjbiT3Y/jkLyBuINZAKGeFLRs3sJ3fvNEgnmuRux0Z3cz
Rs1I2QXADYpqm0fZqGmzEUSqjlneos8Fdmkn8uhSwX31vYNpZITTDlwRgJy09IKXEYmQZVQ4+kkv
w4nqdi3b+XFf7pwoGDZW4bW7QC2V/iVE6o8Tip4px7BWKamvRoAVVFqerw3AUohxNJiWf5nmnuJW
CH8mgbe6TURka8/f9WEIf147O2Yx5LtxnprwIMJ3WzWVu4o177njP/QoG1Pnc27t0ITX4d+2yJ/2
XqwYhwwmm0dhpu1edZXrRX4UB1vqNcCczBSTXjvl+wS0+zyI4imC6/rWRQgTKkqPMHYgyE3LmX6e
jnUl7KDn94fVCIUvpRNqeHTR+OBkZR7iluceO6PwCCNceLQCDbvvEtWiZtPcXP3ayf85n0ExamQa
KMaw2SiNqT7WSDQ/OkvZvza9XoJYHpHgqhIQkrPT5PB0THyqj2bTEGQgpZzk7XZREwp4Bf+8Kee3
2bsIuhO0ZQYfY5ifXYgrJlVvD/7E6GpK2nodowuDCgq2VKvzs4cs5833ZrfGvF6DyEfLlN80sIEc
nJTZ+Yc+1tnBDVb2zQV8iFLpV7WxqyXVBcnBHVMcrJ+rwj87zHgVar/+oUCQ4ooPi6yncu7RkHPS
bMuE2/9DhSAM5FrRcFz4YQPpvm94Y/eDIbS9bnmdvXZSy95UWfOCbhS8IBllMivEVYtNOb+LLQDX
cdCtEzUC6qPWWZD4jOxcxTwpbQT7qOmGdPNh6iProGXxNjPFDOiK46/pZEEqpIpNOQVfEp1vaNpV
A9W5+VqOZNN3W3izs+frAI1sNZyicxP2yrPVQO2oel67l5NlFsz7fyG2cqhC7QYDuXfnxDPNTmoh
yjWhzVGmKoQOaKMGYRZ/19ToLUla7aWwIwNhn8RZjxqEriHCuGUfq+coNp2NYO9NkVGnHcxsKle2
r8L9mJflXVgPyWZMo3YZt3ryADk3QlBdZz4qLQ21pB2JF8ffjkM8D7v0mCGjJUfSzSUthq4LLz3W
jvl4dYN3HjBYqBvZuYDpZwMtnbLxmsh5sRz1ZIug++oHiQYXuDedp0pMu9YL4BFB5+2rjxqK1q60
rAYNmpZsf5rEPv62ifyLUk1d/7NSkypZx/E0yzEt17LJ8WsfvjROrKPVUYvge+8QQU7hiX2EumW6
GMDRYh30TdV5w92EDpPtjoj2+fCmG/GQPatl1uydnHKlPoiHHbSvfAMmE1JweFB37EXh5csUKjaL
zt/dJmRP2qSfHH6w3a79MPFXzjcbO0yU6QZnm0Z6vioj0zqUZqJsNcv1N0lndmekSaiCNRXzbXTa
J8/ozX+JHuB1bQTfWni7qaINDGvfhwmoY6c2HnpBmB4oGWPCMl5258zWa1da7caqN3oY7a/us6O0
Q+3E6Q2Azr6P7fi+0tV6W/pZefJioGBZYnhvqG6cRq3wf0RKvtGQQd9mnp0tNK9Xj6neTqs+7moY
aDOGTYYahexCdXSK0YylaA0/aRr9mY04i1nmIOJjabC+DlXi7RuD39pUZOGqLjpj5cdqcgEWn1zU
slGxsSuAxye5GJ2SXFyOeZskcipyy9ikn6mgrZC5CKLJoWx6t1Ie2nh8u5nMocvQJTe2Bm/5Uhek
ZXiVGLxrYrwk1G5kg23vZIPiQr/yU/Qm8nnrcJuQPWmroxZg6F9NtyKBoFcPleWH6xo9qAX8T8aX
Ke3F3vaCH2Y6aMfBba1XJ/UWAXoQz9oU9E/hCKg0tpTHEmDUvvSMYKFRkACBvYnYkKt/cqYMpoMu
SLd9EKpPLC7fpIMOyW5pWfWTZ0XVFrZd8OqKoXwSrbsxy1776vkkhg3I1U524pZ7Vh/IEucJYK15
sgkmHY0h0yDn4k/BIRnz8DDaOmqO0DZt+1oPjmyNw6fKb85REaqHyrTDJ62A/TJ2OP/LSdl0ijiP
QlMPcnTzgNGPy+erft1DehAC8K/3aGKUV3o901cV0IX8zkV3ntrQuRsXmgs80v2zO5yhXVA2TmuE
q8pqlVe/C6clxzgYS4gXvqoGpZGmy2ogZ20xLKHZU57CJFce+6xFvAavLp+qzT89tv5c6hyVhQ6o
D4zuSI7YnGuZ/+086YfJECnU+vxIdK87FzqkiX3s11/LJNwhqTKGd8lRizKB1lnQQW7n6C9U1CJr
Giv7MHWnbBFBBbuEr79Yy9XNTSAcrscwRbs8L7x13PTjeoJa+c5O8v4fKMglD/yNOcDkz0cyF8oA
29JcHroftWnHlELJiXzed6WPD5WXF6/DCI8vpTlvNTGebd4HszqaYb7FEHoAgqbsfz4wP1dFtp38
0nyjKji6jwrDXckhmkrfU6MWZ8NVlIsDi8j16jJ31mYThht5bwhbL7V6MKOWurrP0UDyL4CocAcz
6liiqUr3Om6cn73EqiCWskpkRRqUIVYoKBCrLoq4OwGtBeob2ig2WfwRZruFPKMTkGMn7i5KHefa
xAPxZKhPGfcxivBTqWvoh1I3KFc/1KxXyLS5b6YW1qhRFcPWK0rxxG/ou3QQ/LpJTiru4zSlzhb1
jWRdD179nloUrkBy/KWuIchJBh5xsM7oL5T0quuc6uqV2tm/D014IGHCVJ4yxwwOsRaFB9mTTQhK
5A72sXb9YSJCzf3hv3977T+lieXHz5nXUFl5DAeWinn+t2+vZgSj6g2x/R3IpbCPFmqKQWeLw5Cp
J/gXx0cKTmmQXqaoFCozax7KiVRBr1a3x6tbUFNNEQawstkzgFhTt2DrYVS4gEzxL4kIvZ3aZq8d
ND8XovT+ZdTKZGMFHqyAaeFQzoPS9yKxYxDy8xXScdb95oFt7eQV0m6Tp+Wu0pAHpivvKkfyCnlX
VC/0xe0u4SigVLcqiu/nF44AEFdBvTaMynoAapCYi2t3HsuebHr4jh4o3uJII7sIay1VYUCsnST5
+r9/Cpr+nx8DgS9T81Bs0NGgcz48RPQoT5OScs3vaVmLReRXySkT6aMHivnBKQNE0eaGmrTkFEcU
zhSlW66lTfrKnmgcY9UDwF58mBiqvtnCR/z2wT4OIjmW/dMHM3rTyUkP4n1TjOHudn/pVisxNNmp
oVxfXdquDSXVq7ptlOur3yZqhUp9GD/56fz6j8heXgfJIeB8c7PfXkzRYL7NNWUnJ6U9guAPckvq
DLM5RD/1ZAYmCR6+jj92pYMvUwcfu79dFhpFBbT+483mMeKaytIuFW+JuCWsuvDOHWSP+gYdENHB
itunaAiejEC4+6pAptrtqd9FeG+kVmSWcJAzNmHIvRyOxKfWqEtC5xqT3vaUsH+pdQ0muDp4JAI1
HJ0CtKOjoNeUZh4qPF2i7afAzZ8ha91JO4dpakgatwSjHmnvOpRjeife7FkVuNTQYpRef3FXDdqT
K4/Q3wJedftP4pn5+eGBw1VBo+usITzP/nx+xEWhzdI32XeCHnzCtj8gjNTq7iHpxbrxRbKToyLW
QxXalCxdEXFtFtL420wf3w9+Wh2kqRkpwliaOvWCGkJGoBa4n2yGKfCuvbpMsv0I814T+u0GxDz0
kkmLzDMqBLCuuBcESdj/kB/0nNy7SFPe5PWDaSVQ1eaue9HnppxsVLhjJVtKm/RLGkQGVIggN9LW
p8EuYz2G3xHtXYS7rJ3s3Rpps8MwX/OIRhR19nP0Cu7IDz634W/TyA2M94rHYTbyzY/3/9uXu92q
qlkSR3v5V66QUToPKe/RblIHZV84ubKXvSiqX7sE6bQP9mF2u9kga6aqrzDnrQlx5Nv1H/x6MygX
oret5YeJoqjQOpU3rIO8Xbr8tRQQ/TLKO9qEyO494mhha5k7P+mhhCTivpu8HYptol4r1HYTY6Rx
EZica54i6+p3u4Lo2wVZzXFzM90uk/cMzU3kPxHdVVHlzduVqjT9a6Nb78Yc+k4GNA6IM3yxuxg4
jxVWG5/I5RkZjJWw3eqzO7roTIyCE0ZbOfuwdqylYvr2u0egRh777RS9PCVU06cB+cl7p4qb+zwO
l31a+Sfdn+5L1ylflboOTmXavGd+Ub3GQVLuUXMaibkybKPQ2WaJgH5d+matvhHtFK+SebYXW8XZ
wz5cLcK87c/GEIvtqNoTBD5K9NQXhLSpOHK+q9577EKrjyAVKQklmh7dWbCui9FuE4kxr+jt9Fia
jnNnx0K5lzYrrqfziAy8vECaCPa36zys2mUQxLAXz3fyA+PilUV4kB6QGPIfJMS1CnwygbYXEyUe
BazS1yfeYEEQ5fhEgUat4ijPk1I2cvb2ZLxNJKwtlk5c+mbq5U1uD9TbK91s0hvJyZ+39++1rVy3
KaNiHW88qNXlun4dz4s7Bd7kNDT/cDPdln/tL3YD0u+2Ofhwu9u1vAVQEMqxqfXhP2wWjD8llXjk
UvvgWposV3DYu3945CoalDlQIhrfAkPZ2QLM7h2Sht19krkUVMqxF4Xhua7MmsrnpqDUa3ZyK7c8
DJNYOc2YIPMcGuF5UmELGamzWspLGmijFwIKQAhH+vhUmRlE9OzIl4Zixydpkw1izPYGjeHyTk5Y
86wj9GDTgYkc+38IJxrz7uePM4rF4cqe/+muRWbxQ1WFIdJaeHFSfzNFsNUB5e7T0ke9top/DALI
xtqq6nJ/7Qbep6ZUHNC1vvoNke1nFJXtVy001JU/WN6u9pwaMHNpQnxZID2dVOHOaTUb6W67O0yD
4T3bmb6m5s19y8F93neOacOyGnpvjdl+Kf3aPqdFkF4CL3gnrH/571vBOQf68f+qoYpNHQmqiJos
mPljQ+4lrj7oav7Njgf49aECfPQT/25KQvssRxDKofxM5AKwxogeXmYXlwANCEg+8c16Wzyk+sxs
7znmOqkoJgVU4O9QaPd3slca/alTJwJRs52Mpy1QV6ArGwvyFHsawZMElk9SAoXpSunErkkaddNB
v3MKI1QOIadIn92wChatV0LNKPJwEdauwutaUbAPbBoiqcpO9qRtMvV42zo+JPlMfnCTvm3SoYQq
pxUx3yuKumMwRtUL204LUuEoX09xpbw2IzQhqenXD3JoGtonRfGskxyp1MIOUwOGWjXO6HRe2IHG
V1DA3258tI9pZH6FHl9INkQqu3ld+xis9OFmGUphKV8jxSo3ba58pqIzv8jGt4aUBE185s/0COtE
mXqIVCiZRju/RFacX0QbZKfEQhpGqZCrbPzAPsOWBZA0Gskqf7F6xT/Je2nzXV2zJZWAdsHtNayI
zxQ15b28n7QrkXhBgGvZAJu8tCXUkknle7vWtzSYGpoJ8LmtP6ZxFi6ivuu/9I12n6WF+S837Td5
artf9B4JkwAg99MYTw3EaLm/UxOnWXVCuEh1FMdbOsicKv5UQ0t+TxEJ+3Gu3drLFBGMy+0h1aq/
vChqGzVdRFzgzBfI+yru0B7mV2lgiksp20t+fwVLqc6R1QMNq4rmMcuq9iAicYwStXmUJn4U46oK
jWQlh1rnFciXp8FQLKvRsfemL37kSVmceyPyLoPhPvX8qt6EDXNoO7De535rv1VIv3adFz8NWZie
RA81TDnbu2yIUEty0y2sXCM6nWm0JHKH8suYru2mVw63JlTtn0OBwLafdMTYn0K9M3bEsX82+iy7
mrYWRaB+UJtbSAqX0iZdxiYzdmEdaptEJVaA2nj7Sf8mnM74pDbVeMhAfN/JoaKUw1oYo722BTIv
sOSIu77Lg+PPa6heMR+1ILQ3YR9WsPdX5iLlv/Gttg+TWqqfIwq2evj69p1oiyd7JLyhxvnnarSQ
BIsU88Hpm/EF8MN9Rs7ls0H2Bb1s2DsKkJNvMTAE6Z+FiD1PcQml+ny5Z93NF7/nBs9QArnt4r8/
KDVNVz+uhPzqHIuKP8JvLrWAHw8fVtCXImtF8dWtOcMZpWuftLmpJpgQmkyN19LWt6UgmQhBnXBZ
J25+Ico5O4hp91VvNBDXwtzeUua6QazU+9QF/Sru9OlL7EEh0atusDcLf3wwxnwbKLo455bNgpTb
WyeMEM+dTQ2QtU1n1drdzSYnrMnmB5x2Bx+9pXMlPHgLsgKWbcRTybYbwC5IF/Q7LXRNEs/gSOQw
CEoQzrYY+921K622Xev+4jcH2S0pBk/jeEAxhxs1c3P1nq/2hJjuYj+xd52JWo+p+OWTOYTRfZ24
7BzGXH0MhA05CVo7Cyt2xnVcF+FeNj6O+7HMKypjzHx5s8meO8/+rQ0pt2Tn2883L+lKjmxcuCra
dWFZq6QgWwee40qFBSN1UHWxfYgf5+OZPx/e7LKBsk8DojKbRnQATwpaKMY8kia08dIHEhPwY6Ix
cNadnmWfg6hR1OM7gsbBvRnA1N+W9vgeRiEE93717KeJSdrPqBbSjQ/GusvdJDoi4WE8dsJ8lHbQ
MP1KjE6wlUOdM108Ze9W7N4BYLoD2Z3sYgupgW4Mw+dmbjqNBLzXPF0tYWYgDDsA/raFdUpyRKdC
q9npQyv4CGgUk88mDfv4YdJs8QRVlvogYg3W/Xk2nOAdLtWx3Cpoti7HOIiOwFQAog4poPI8adHF
gQCCI7r/ta+aRdSY/g/brj6Rkhaf+rqHQmO+aC4JWtiBHaMsHrVoSYmEo6HsOjmnxGujkIdfyK6B
2MemjBHLIYYNJbpumS5ZKKhUzCZRN2UAXthVsnuZ28k7Mo4WOKeNTPyoWd5vAcA8uKByPrGJSBfD
5CECGbrTEyHcYz6HLgI/h/+6UYalObnxA8p1zjk0G2+vWcpWjhANdc6yh/zVAjJr++imEVkJ+DES
dfSnO/nMdSGrum/06F0+dxE8gdhGTshxNg1Qz5T67sPzObKMRwS8rbuMckrWqMxfhV7RX5wiRjNA
6NFL6pHobZIsfDcL+7sDIv/bUIwPnZshguz1FyVBXb1FmYpXgwpbNm5lZ3sYrFeqg9DydQLhAP9Y
5NpbNBkks+WE0nr6sayo1cs9FXrBiQauw70cuk06wYc1j0Vt1/eVA3eH9JtN11k55ueB9sHcSD++
YkgOc6uhTk+RQDBTC2NzMcVQxslGY6MP7OvRLshAUT2RLns7ERs5FxRhcSi17kWOWj/vnioRf7WQ
z15oBkHP0rX8k2y8Kq6XLjCU1c3W2oly6n1vHVBSub/ZncSZT63dD15JOelqxZmTZ3kGDwmU49Io
ndW8Q3szzo8JRUVbgCDp22h4942VkfsiqHxu2/irNMeRmWySrGnR+MCr44t+F/MwO9m57z57jQKN
KPbGdaCoSyOqWzQ3fUsG1MBHpOTXrhZw0LUL7XOhlB6xVB4EOcUy5zLPgJQBYP3iJ6Thge8EF7BP
wBYMdMzHAZ5uc5ypGnwFnpW5SXT4NZC++/d4UCZI8/sqWHazLZPTQVy2u8TWm50GDwflqDpCPLGS
nx0PKdJaKNF3ag2doYFPn3T7As7D9lQA9iaz2rKGJanzOmTDRXrCfv8a9577YiHls1ZSP33wQvXD
vQLXTAiml2enn7Rdn6I1tJZdc0gg1ZHdwUTlvWyDrYoyLfwe31qHT6b20MVGZa96qTKtWdppH913
HBpfVB+QcM8KsmbbKl6K0eWNDGttJWe9rGfdh7N+KWcdV0DGY+fQic7OdcYjzYSv904O4evIkbhm
nyKHOR+Yk5r2Y0BxCqG5LvzheaCz/L4O7lSfYA0195DC5wHVuW7+NNW1srJ8zec73xUPihui3ofQ
e7vQ0sSBNaQMV71X6M9m3mh3VI+OX+pG3bXCUD4nurklphk825SXnidjRNdIhXkKUrd3366zgw75
8HOhRt3KatFRL3Iz35KCHXeFxQozZnvZaOT7rj05bDUng5CQ5uai+DYlDVZO8KsJxrWWxysVeOdO
NkS+m50ZxqS6GtcmoZW5ykYRZgtzbw9R2NwUXhZtu7z5cjPJ3qQIiEeiQrtXsgxFWdMYP2e6dwKI
kzw3TlTtpD2Y7bGqnJRkfBo6Yex6IDtLEST+IkTW/EhAuTjKnoqG0zHtxp+z4zyUNjnrpUBhenRp
3sw6hP1wVK2jYQ/1QZDyWihlXX3thLKYSjt7h85erGs9o3S4rPSn0gi+6BM7YOCi96HXiCNc+OIo
ezrxviWHbHtBrIzPSXGZljOuHZPOCyzB4xjbbUJePNYWursO8ulyQtqud7D06Mlhi7Yx9XrvsYyB
0I1OcT9j1isXYbp5ONYBmmPz0CdUD+Fxue/FgBLBJMZdU/YVESEnOVO62xOBVvnTOS7Dtji057px
4mWiRRbhlth4yV2rIiaZWXfiz6Ei7H7tj4T1si++W/AlrjLjGSmx6L0zTEgYchDFZpPa66FqzF2R
qvXOa8cIij21vADXMBZTZRMAj0L4gdFOPnWe+ZpHubo15pE0wWWfnlKnjRd2G4t1bpEK521hOguT
iiLF+Y0VlFGXdvio9d20aWxo74A0t+9hlgIns9tnjcqWfammxULPqu69gVT1bmij4UAV/fTU6ObB
y9z2Xc+LbD0gdHUvLwe/c6d0eXyplHgjE/cEKNwHmbeXjRPm3nUoJwqZ1r/5mAgwoBRSrTSlNZ90
M153add8Svl97jLgVgvfDJtPsdGX6z5UUGCdZ/nsoDWremcvZ1WIhXIjc5/NpvLPeQWuL0YEpFBR
nCaR7p9Jy8aHwiZ/PY+kSTZ5/j4OKKqaAAXPk+KVW9Siz2qSR8tKz4ottC/1q55Zs4SxcHZymOrD
l2bsraMc5b5+r6pV/ChHrrIKnKF9UjM7WsQVIjulbe/rsbf3c46umytPf46lMeoH/64Sdbq6OcqJ
D8PWKQywYRD+/rqfdPsr37+6Z1ORA6VcNWQfklqnVg+ie0NEzV1EYCVZpeybF5EZZys1+TTarf29
QcbCMBFCviOYdqqiVHmvPUssJsMIHvv529r16rgb05LIe9Fra21Uk3t/IM49aHkGmRvpeMFT5HNg
xSdKQstnaY/C6Kc919KTxT7pUe++NFkUnquBsFtZDuJrY80S3kPwavk1m/WcM1iNLPmrIP4gHRQ7
nZ/+5nCK4I/a21Nb8vsI6q+5hYgl2LTPmWKbKxG7xYMWpv2jPcTx9d5uHH8P9Kx8GoLa2Jqtk65r
vuPvVNUu5L0NgQr80EwlyUjTOZbGTJ42/1V9at6HBfRxpDZRC43BgktAuGwk/ltCxWXvNvHB78NQ
OldRCJObPcBZOQPMbzf4cL/ba+hs6EHmTeUystVkbcFLfV9XY/PuijXihsnn2jaAwKZ8TDE1/Z8J
8iw63xmJhRoTGA6UXKUbJNp7jyDKs2+n0UNuKDAaNqPYQYwgdpGKQM1t2M02CGJbNjhzV46vjr8u
udnKAiHlIhH+8q+cw0ZE98KKAJXBKRklBt8C3dOe2zr+FpZWfjDnkRhda5H0ECI3im/MuldUXyGn
mzkLGVDi7bGWlh35v4Wc3CFCzMUOr0Em1yPyFtfRp2sE6XbBdRwrwa6endWpVJf8pMMHpYMsJg1a
ZEN1pLJlb7YpZlz9yzSgtopGb2/YDseSuZHDW4OAnblrtB83ywcvONsQeGrgTpyPi6Uo6sdkxsaN
YImA8zXtgxzCZmyyuUy8pdfn+bMt3BzclfIO5bF7VxkTDKRFqh0ULVGXyMXl72kFM2/i29/HwXk1
7KB/zQPbWpmi1ndx5qiHNqpUGONHQJFlRnmfk4HQ9ilezw1bOdlm97MZqNC66zm1bGy00M9yolH6
5qS2azkYkaN3KHkX/Zqg3UPtQfaBuBAk2GryQ4M5LfTSf3VR+CNSXbJbSsKpgNLKQ0gy7kFMfbaZ
XOiUgSZSLcwC/TUdUjy4iD3SuSk9+02tzXjp5dZ4am2A5AbSUFok1qHvQe+sTM1XuAkk4jmqXDQD
sio62jOqT6MsZyym4mIqKbyMZq5/RcfhFDaJ/6I1kbmxVJP9a6KJF9P1H2sKNj8PjvUyqVnx6CRd
/qg6LhuFykg3cignFFHfQwTdIWePh+JkZO9JBDbGJ07L4B608ruW1J9E5lPs4tTIxyOHCbFwMp04
GsLEGQ35N7PYuVNSfc+6iiS1pyWX1FeqLX96vfFImD+HiNoha4VLPdobo9H6d0o57CXSrf5+8nQk
kFjulm03Ne9Wl93L1yUgzheVPepjaQl7VSMpckQs6GdTAO/aZUFHOcW/7Z47xASTYhD+Fcemxc35
5jP2pAuKkQreNrEuka/Gm3iowle2ejDYDmF2fx26tbtIQ/4Tcjhp8Syonk4PcmglSHZ1tertCKaF
r9Zcvl9piTjIWUpY3whIO0cepdErx+BjOTjt+XojEu1BFiSP8kKIvO58mNYvLbK913U7I4XVJ4p2
JxdtaWv7mKypsA83k7QDkusrosmNHWw58MXNIyWw4Qa45het6YCPVmNabYt0+gZweLpv1To7FRU/
lKowSL6OGuTWEHV8H0ky60gGsXcz6mNLJPlzlFv5Qp2q9tH354OgAtTW9vt85xG82JRa3lyIqqsL
FcDpMp0gVrX9ESxPBda69Kz4UTZem25VkFDH6yiqidPayhYq7+Tq4CrWtDHirl04EKsErf6gWMlw
kI2vUwuNfBvj0Xvr0JuZ6sB/LXwn3PU1RWVmMnmvkT56az13wrU+D73ed+Ab1LytnBVG+r3MTfco
L7XS7q5VCZcR+CgfjdS6Otluqe9LAzIPeU0R2Ih2ZnmwQlBy5ZtsTSY4lvZ9MXraeiwdmHV4OsHo
C28fp8Ko3qsx+p9LOVV4hXYn/Q35EUBQqC2DNIP6no3QSWtdmDCN7CJHhRU0pz/tqt6PFns/fPU0
7aWvEer11Q3M6m/3kHZpGqKx3xOqeilgRZeHIbJYyJS25NAdPYs+DVN6tWfqoK/sohBbb7b/6S/t
nSiKZxFw5LANf9d2LSjyuadnwMv1lFodJSFYPowKvMSzOsH1ezvvPC2T5MbUVztpch3XO8uvrPAf
GjJ826qsFEF6pf/0t9s7OaE31o+y1kL2RX/sJ2/bwzbpNWLPkmv9jaBJD5Wx2sHrGnsrZx6GUX8i
PspGKI31Q1CT6pF2I4FZWBUTa5tq588d+3zBeSPQDSSzs4giN5PqkkxV3hMdFm6/sy4GWtDHyBMc
BGa77bKR42heEtDyuhVyy/ZDr3r+A189At2/6jZqzUkXaTI298Fc2sF+Qzn7esW3nJGs/ShjVayn
Xh+W0oYgob6a4hYuo6pbAUbRzwKhwac4dcql5Ylqw9trPRE0V2ExR586KBXzSbr8umAAzslRGTZY
01Oz5wFu+El3oos+jxLBM/F/OTuv7sSVLg3/Iq2lHG4BYzLGNg59o9VRoZSz9OvnUdGnOdMz31zM
TS1VBGyQqvZ+Q57Gr7HSI6haO7vOngjbZc3gn1In9aEZpU+DhdkBOAeU8pNm3wU2ol9FcxxnOJ4s
9PngJSznw+8h5sumeD6ghXNhE9RagvgUJGhI4SmTrywmJRi9VZa32s7wh+OtKuOHpsC2s8CyVdaq
SeeG6qIJS57wkU2Q/yILIJ3vxmCX0Ao8/2USeK2weXceqrna+uxYzEL5YorGqZZBUeAtoY1Pcmwe
ed4ynlo0h+bVjGiOOzuxBZe0VF4MvdNfpu9Dr9rVUhlzdWEjf7DDGs9aeziwbs34LQOf80v14ap4
VvMRhEWwcjL7B/xwc6XHKcfrSDQkMUz7pGpxfakys7poOE3KpizrOI/PI/AEdU6yUw6bm1xf28Ht
KDacAIHQQQd2D46dY0oQadGLWqmoRY8BmjD6DPSQ3beRpTZNeE4b9fJfM+UgK0CKum+xNSKs9lzV
xiU1zfFjUjnqEz7q1rIKX+BLws0Lz/HpNkpriKm5DbDziIPiXLCn4cs4dQCH/7RlQRZuyZCW0Bgb
U0FpYlp0SPrFQ8y2tK+jvT/Y4V5WZTHlQUZaKcG7MS9mefV5oJYoYbiWlwIMjr2Ul3Jmsya/WWya
Gqn1JOzq56AM4d+aTvcDaBQXevcNeQvAAJVRnxvsxSHf83jCagxoYad8ITXR/dBjfecL7YJRt7pL
g7QNHlEdIYUeke13syo8EqtjQ9Xh2mn0av+gV5lx7WAwpImlPlmZalwHamKuyb4exo3sU+eRc19R
Ce3W9z/nyT5txkD/mWd6CWjyUITLWhT10hgyMmqj325BmfePPAaKl9zwkGef4Uy2EixMYoKx3Ty0
aWR+68FFLcY21Z+Uqcr3vSjzBw08DOZrP7RiMr61wfwvRxOMXG4kTsBMdQwj6dCMcGlrnJiqnh9N
VYfGLrIavqClw6NwXjuJ+zO2VNFbqBE20Xst32iNUA6AmBDvCkxrF8/aIHXS/b4a7Bwptj7cGHk6
A3/mIfdeeXWfFpqIJsKDiE9s1xdDadgfgaOPj4UQw+PgJf7HgONRmJnpVx5TGLZoqdjZ3J5f+TM9
2dz4FkGISHcZT92rj0cwHputuvZGpXtVYoF1XVhnS9nbqTV8RMIRRub4eIS6KJG3hni2oNe+wpMn
EIwI8v6+Uu2AV8/nhRm/gJ5W7StftIfU84xl0KECXshq7fDPn4vOtY0GRUUubwPnK6HEbxrfJDwi
/hknr8opuIC2g2pfVG/c9utf1RxzgNnwgy1vt+giL3ktbCcAQNsWh3qI1L0Z4fRQKMNJVM5w6Zx0
vAwJkrwWQAHZJAtrQN0mrNuzrBHBHi63XjkhrNghdKjo39eoPG7fSTns7mtEpjvuvbB6k00pt5KT
VvSAhGYqMAB1Z48GubNv5uJeTZXgPVIbjKklo1h2gOtXm7U5s4dlXRa18LHriculXODvVf9Vj6Pg
udRNF0K6lW40QMQrzVHUN1MHhmE3Wod2dqO9dVpZAr0ZLNyQtGQ7zsH1QAepFGZRvk6yML2G2Jji
t2trq9DOkmuclfrWRmV7OfZqcu0sER7szKgWt2oIS0n38quslQroXa9E3XnyBFrXMV4+8upeKJFL
ikTWY3JZ7m1kjRDoPm4alF+LVsPlon31PQsp8qDpr1Ed17tqcAU6tFRj20r2mY72YqmmwzUPkWLw
TRM+6NzrDIp76AbUQhLb6q995FpHJCW+Z3MtI9xxiuPxTfY1ZWKcvah4khNF4BtPYxDuZV9iRtal
dJS17MuLwgG/iNLAvIqX8cRrsp+yazBDcdW4GwVxNC5jscmc1HyV47KxXcQVEVH52k5vrkizu6uw
rdFowOb16vfjVlikKmEL5NcpbN7V3KtPss+NgQHr8SAOspOfebpMvSpG4oSZihPlK5MdNfLzVPOO
OEE2DOrajDXy/oW7z/wiOhb/vRhHJFV67SCbp7bC0ME2p9/DYg3+FBIOqzaI9Holx6A3wJgJwadN
oleX31U5UfbL2XEbq2s/NBEaL9BnKOxe3bEdIObEIxtIj5UYB6N1h6VCMn3V+IbHv2pu7BEtA3cq
B7kRSGp1IrjY69PxXkxDoB712EyQ6tS32lyTnbJdjMS/4YF71SOWbXiBzt2ZBot9cR9E/DxCCryd
NzTKr64A3UbKF6Rur4lVPtjJQRZhADC8u2EfZem2TXrrSsvsORqdWY/jzxh5icM4Run8sXNnHM7C
GbulHgWz61Bcv0UlT/fBswLiMVQrvXyehBo/yZrZJqvJ6MYXdi8cNfKDCEqkGqoyX/k6CfJoUoz5
jmVewlKM6zFKg1WM/WO8ZKuTrYwux+7L5Du3TB0y7YFK3uxW1yrvHKbudEhN3bzIddyCB3hmPE3z
enkcNSdr9IGc8xKyCcLVtBtF80s23dqnBM2SEF9G+SZkW+fiaeF2AWbHnZavNa832TVxjxRTUJ+D
Cbao6RvHZj5wVXMh23FEXYSaahzlULPsUVjjL3Vruw+Ts/6Mle2pO+JXovO9b4to/OL7CBpoufox
RE6zGVqvWcdw+2R74NvTh1tNzcZSS5yRTSxE2KiEeG3jr9KUpfnYIkz2PDpp/xxqm9BtzItsYYeC
B2lfKphwen6yjDNVJadk1VslcLpnJFPNJ43z/60XQBDkowiNfzk5TMXPDijxysbB/q0d8EnJUv1i
tImAWGhDXOFGoaWRew2/ysY6ctuXCvtKOSEbCFfkdrOXfTb7/bOnjO+yLyBce9R17IHaJtKf3c56
C6bqh+7n3WtcBuiu2etaaXD1Y7mr4vnK0Zz77AT1Zhe7w40c2uGU9YhYSc3Ngt508r3Dn3X0sZbr
xIL9ah9BHa41/WzMJ6NyPi0VmfGixb1xlLVAbYgFNUP/oOQclrzIr07zeNmZz+PV2vp7PPFbZMLm
Tt+YqpMzmph8hICWEj9GQXBwcc+yxKLoC/OZh5T5jFwBPtajl2+bKrSeM00PzmMRbWSnHBZqg7mq
A8Lx91lW/5JDVrvIOXphtI+TGC20LVlRjhq06tn19fgoa76Su7h68cLmPOKvF5bVII4Pooqutt1p
58qq6pUqQv8NuZRfHhJyP0PjNVeMBOY1zGPN1afPJsLufZgMwEc8ZtZlZU17kfuzOyKHoByE5CVy
xmbZO6715hfpJsg65B+G9KWeiyro4ZwoIGSyPElfMI2uT0hUHmRNjnDK2sHU02y2cpbXpfGhGr1v
julYWCE7OUdmUbYgtZx+Cxu4WOgiFKfOHfRt6nRnEBEDtn6yjHwvOGrqpxxxa4J6KU6yjoXKA8g4
da/NTbLdnjicZHE5rNS87c65gYdVnIjyc6qNalWqWKzUteG/99Wrm+rF59Sr/qbvmha7clESg0wg
xYip5haqqMvSK4rnfC5Mv8EfaQqLrWwzMIR/hiwZt27wDJ0vf/YJwoLuyLuF7JOjCoQeIGaUR6vv
jLMxF1Zm4WNiISor22qkSs+ISRhn/PEuHFx09Ej/aSqN1jxF2kWv2Rcs5PQCqDg/+HTJLxpKzY/J
FtZBForrEeqSlzgLcpmbAb4ynI6W90H10P4eTr7XYgf6TzUM2u1AZnZr+vF37hs/B8R6iHtO00Hz
w4hfcN69QPh1SOer/tfMxppNN5RfVuetMdbE5MK2jUXapNbLGArvYVIc+xAbtbaL0FOaYdXBBckF
NHsDcFrWyhhq5zNMUnetxdbwiKSh86mQvEMlyXp3Dd/Zxp2GPZcgyZ6HSFIkk29srEQx3r0gu0Ix
tJ70IYtfJ7KrsrkWYbxXwmxYympgzK5sXWr+n5MMlLGX1lSB3iI4XWjhNzu09FXRNAa/hhEPF4S1
qRQfnCs/TRVUTWda1nNZ+gfZjAtjtxmrqn7ACbL8yISNndrQ2ySYh+iNTMxt9qDrhBGdtH1K3HQ3
kIz5JBSDggc4oXVSjMGnMYZPfg8mT+E2eiaMj3PK3I7ajbbihzEHN4Pws5zWfWwVH2Gm2Ww0phgz
w8Hn6IKlFXjLg+oT8ug4MR47TY+WypzdrnpCQGNnxEeQs+KVx8teprkrhNRx5m6sR5kch9+27Mny
vDWg3vdjUWFQNyfTDdg/8N6q7Gyi5HEZR+tDLlvmIn1AAgko0/wq6Aa3fvlZJ+hROTbeWzKz3k3+
J5ntnthnXXNHnUo8clh0KpRoZYEO2NbjN6tT8a1CsfElFqGxKchN5o+h7oabDM7TYbLII4i28R7V
JjShNTRdc2o6KAz4Ze4Jrmoa3zzZlkfHBgXPfK5Z5mzBXRRiq9ijsq+KHB2tPvVeI2x3zpaXHGRN
GOb0OmuezF1u17f7PE+x4Rpi2ERQ9A55RZ4+auEv+pqp8u3Kw4/U9b4XnaX88P16SbIiChGFztdu
X43f0RlBxznqrTe0Y6IZYFQCzR26hz4aqpdJGUaktEokJ+ZqBzP5yVPD1ahpDeFtA7QmvsKccgzf
PxW6270EQKu4kT9HQ0+lTxG0NxA5kH1KWAzH0CwhadIZ1oIRQvshvFEcBJSCNa9LUksYzbLoOF9M
ZWqei1bVbiAwfSh/ZeqYoh9AUs1hg7uS4DCtG9YZh/53raqLjWFaYN4Gw/6sckKudf2VX/HwkITQ
ybm1/tL9EEVPF/sjtBwqY1UjvYnNBtKb2uDsZAF9A0CmvGQglzlODLtyLv7u/9fQ+3yjabvf82Wj
nH7rrhriBWWmX9yWuNFQiO6rowILcRAGX4iTW6ItAVA7PEeeEn7Vg9kNrDO916qE8Q0SRj0THtcQ
hmwECmxVvVeQK17gL5HsKmy2L0hOdY+hF7JjHhr/Itt62BBLvsvGusswooDBwPcwQX8H79jysQXy
/DFW9lcXhaWnCgrDS5YajyE3CE6rmIOLyQaJzH3PfmgHgkSgGNqDr9e9exwLYAxe2K8svBwI0pb+
cwNIYqOGer4Bd6M8hz2/oYJ909UQ+BJqRp2SW/Or96nAE1G3LXG05qqCz13p5tEVyR8gpp3zLJub
bPC2okjDlc9e4Z1nvA8o3+g2stf1rF/Qcr2T7JRNstrk/d6E8X8dhn7aeL1wH8y+1T6JiB3bzrde
9EwLjk5Yv4rBdRa52sUzyIEX17V43eaDhy0VVTB21QbTMwEZlSrEBGWn+GTCEbiKrijlBictJK6v
WJ9ZHr6r1mi91nWmr8GK5Q81f4BXw5+RtE4VLrtasV5dkhMns4ivSV9jEtf0w1qpjENrITqDNmv3
kiFQA8A3FvtxBomiJhVsp0QVoAfolePiBg9jNoAXWetHHT2IFMilW3oXQMIo62aN/RQCBeB7Ww/f
tRbPyy5Lv/hmHD6wt2d7o7vqqS0sfSlHFKjKKXn8vSFqtaxd8vH+BKrDqRx9NXnINtWts+iV6WSX
0cGv6uzDibUQtJjAg9Xw04/edJc9j6Fr69jdqS9Ccgj8IT66xPIf2Inqj0Y1VojCEx9B9CtY4GVu
/8i78CEp+ZpHOjQ3xzSUUwyyczcUPGb4/VuveoAHn1EWxcVMwniTGopy9Hrtd6Em5bOFJsf23o7y
7lNiDs12zHodBsIwfCpTfm7BOP/y0VWvbDX5nkVE9OwKsBOsS7HuWs6J6qD2e3vihVU9tZ+bQvex
IPSDb06Bm6pujb+MwN+NRGO+1HpeLdUx8A6WFQcLRVSYjkCvfouMLN4hzYNJwVytQtt+BLNClm6u
6gJFjjD1rTX4tOqNxG2+cjTH3Yxzr41VwsI2S4I7cy+bIXjLDf8JheDE2wTmFWMDcZErFS0chLzu
X4HpjK8jnoFyjm7o2cYvcvvcDsNXAF3tL2xwTbWpf5IMTheD0IqrDZ3moR7N7JhqBPctXFQeR+K8
FxW45HIMrfyrcKsNHL3mV1pa255AyxeMZqplFlXTRegRpG4lxaylCMejqYocgY9WvxpzqtaFrPrT
bpfs/5pf3AJ+pLZQ35okcQATeDnfODjxCeTbxwHlhifLAwGsx87aqvk7AuPvdkr2CmhUi7al01R7
1GpqYlqjE5MiMUW1l4XsuldtPQJU5aJb9q85WQKrQis9ZcPjIz9Vc1GDOVlpVd+tUJ7MT8SXgLDJ
bq12xb96Is507NgZI3thtVw9ThLNsM1dnsW3wsoDdkd9sy77BLzq3IHfH8CMrNY/Eczyt62sVnHs
okIIYHUeoloT9iLC70i+aNGejPjsojtfjoE2X05Z/Zj73enWU3Z+tO86vwzX8vJf40P3PBJguXhm
vY6IjrxPqpEdySkCKZurURPUG8Pg5qD5XfCutrqxImgybWQvT+oSH4O2P8pekuoodynqizWW5cu8
5NBoyptcMmqnZiGrcsme7NdKVgO2N7clZRV1iEfLxNdcql/XDdGqADoWImVqtLi33bWxrb7CflbW
74Wcd6/Kq3sbG5ZN7TVHMjwmYgLXpkghhBud+9QGjvvkwuVK7Hw63NvNYcDLJQEzIUdwvnWfkhmV
2BCJJUP1z1S94k+DJUO/kOOw8zNIynJ/Fo992LrHar7S3Pj3lWzjqPS7969x/1svoAT3tl6eBEcf
NVcxO9w0A3xClIhgyLoeFoJLeWmaE7sOeXkbIMeSzNMXodthoDtPlUUl58vLf00iXeLsCs1qVmPo
pBAFFOyTOoC6aVIFT1MaBHA2NLaVFTCdMvNIPv7pGIUTnKDPL+Wwe7sn0JjlfjE7I4rQXcjuxtSP
oIr7/X2cEuvRro7Gj8GynG3je+raqdVhpwtv2HWWmSGVNtcnNxl3kZr75sO93ywy+uVQ2Xgbf6vr
ZqCDCwQEiurTIlbPmZtNX4Pcrh7UJGt2YRT1L7rWfMh2vyoW1jgOtQ41n21eogfBJa015SlzUVDj
y96sqtpW2HaERr0h9Yj1RjAgOjuVjb0HZXkbLaewufTOoniVFXJ/zOotBaflAPXNeU1ZGAnYYiC8
3FXU0F90bj0HT2eWLHZxmUmQR3j8sjIFO3sBNTUYr76RNpcCF/dLUog3syjGDzQTUCdcl2GhXptr
hUnotfY7g2v857urxDr/vrYNhCfTYDpD03YxHM71dW8UOucrhKKALP2sjNY56FEyvEYVCM1Q5fQU
xf7wylY32LTswFeyV6nz5FhP3jfZmZSGxhZpDy4haZfRVK01IzgbYwei0Sy9oyzSliT3wvJHzH8V
/NJv9Xu/vHLKdqOaib5rcWNoHxsl8ldFRnTVi4tub3XEKha+r7R7WXfmRnn1V5ub6FDpiUyyETOQ
ENFN8D6uER2azgnOrdv/LiwHueAhnsr1Xx0QBtC5Kl11ce8gvhecUzOLj3xfln+1yzX9MH8Z0erY
ytpg69ix48IsCT2S4zNpfb61zByu1j+0H9lucUiDiiYJQpJIxJitwbh70+3KhT10X062yTX/jJVN
f62uh8FeszFUMIdJKLCZEeuw/HbjiTQuYCK0I2m6Ps+3nSvmS+ryKkMpdWEk0UEPC+4+jm+ckPAy
T6Y+BWgIjSutU4qTPfoIEWtRpq1iJc4A3c+9JvuHvvMW9cQXBawyn64ao/dR52uUmV36IKuZb+Ur
xFvKLbjh+N3Q4p/6DG2SncJ65lfiXBnjP5FgfCo1JXoHy+jt7A45QzkoGMqK21Wpg25gfX7WyRI8
ZL2Xg4fQP1akoy+ubZNP4zshm+vUqpCltaPbm9IxjVaULzfoQ5F9lsIWTxLSwB6lvtACgyd5uiMd
wKD/1ZJrn7HoxBNg4fqGl/jP69xep7Y+7mv02ND50JV3bTaCKSDQHO4r1R/tJQB6oGFzAbOxWWVT
wn0iK1roikobH1IIqwd51cjGacI9T+hYsd4Gyf6o1jGc+dcoeSlSMupInQHN/WsR2X2bFDuhOLS7
nBPRXnhtjbOF90qAV9mH5mBVR3kZ9VkAw4rGkR8kNw1IDaD9nA6MHURHvgeRTzQk9pV9RHRkkWen
wfvRuH68msOIxUImHWUm8n9PSsouAAHlXo5UjHCNfweWSt6AQAoE1VKf0aQV5/ObDNut/qe7Vnul
P/2pDhE61Qupzaahf1SvEjEs+9IS+0GLm+DxruTWGOPtBWKLLMvpT/W2AgpGA3I5aQ+pc+ov2qdt
WcZFFpWtt8fYDIHbh9y9urBWtpFT4UGetcYlqxPzIsoAxojiq8t7m8c9eFULh8TrvJTsyB0chUad
DOO9TVXtD09MzV6uJNu5r65q8OPQiJhpaHn8pDjV7fVkU+WaGenZ9lnOiR0It12jbyPOWJD3i+Fg
NNyvOt/r2KGWOPci2NHywn1MqVYWya55wOgHK6WIh10wTyzkIHnpByQetditH+67sbu5yb3tvjn7
j23/cUgt6mYBoKtdDx0Hnwl8Q9AG1dkHzoza8FzY/VMwWsOu5TFvAUyjrcydNyKw5lbWHFFV58zQ
yrPjlT8GC2vIe5McMeoGHuoo+m5GCyli0RXKEZXVaOGH3fie4De6HFq/ecbS2X5ICsU/ek2nbUyt
TnY6As6H2p2CRyNvqifFtPpVnEbpdZpKDs2d5b4l7dDtlVYFH0WCxAWmSRGkQ3rAlVrLIu+g+wGd
bWf+7pQjdH2MD6YeLlQOxmpixU/5nFiMo9g5uXb3IGuyULgL4MTR/OjGQMRLp4n6x8IraxgLvr2q
7cTc1QFk8yAKlUdznNzXTqk4tGb6vrHAFJLSfvKik2NZAvlHCsHT+NIg3Zu6TnOWtVt74O04CyoH
EhDTzLWrv/h2ZOF8wng1SZKLi/jygtS1tTGdQA0wkTeBJNRV+HhfXU0RAu0zEuf3trxOlIfJSNKV
XEYu2Jbt+EhanU80vylrLoZMNNsiDHPsH+e34KkGewNbezXraQyWNsoUx7DpHu/vubWN7CknfPrf
P10/YIxep4Dm57cth6PDfvt096Y/n/D+DmLTJSUSB/bm9pIZxw2AKmwf7q8ZOw4KPBkZuPurdpHi
P0CF+/0J5YJVlP3+hLe/Fn5CSP3On+62tm4F7Hf4dHK0XF9+whrhtPub7OdPmDa3/9/tz9Lj/1KJ
4fenk7NVx9opgQsqav5DyNl5mn2J9cra3Zd3SDsuhkqJV8DwyhdwRzPfVS2Ohd26z6TKXmrd8T4h
36Cxl/kALDW/fM+1bFnYSnrKdc988CasBBonP3Njsl4ynYhcOPncZaLZtSox9YOiGV9lpyxKwBiG
5Y238VUHab4hALqW+dA+DtuDW4gf9/GeRvyQZz4bTlddtYbCXq+cZdrTYVjVsas9Y3urP6N8dXCH
RjnGc20snX4XxvxpZaccZvtI1rPbDtHBZIjfhMhRuEgez2vIQm+K4SHtnOJfbb6o157t1Ofbq+A7
Sszf1xfyZeSsxoxwBbGLdCergzbWJ8DNt5qcNTTIGeEghhzpn/cb6j3oA819kk0xgg8bxCTy5f39
ohn+K1eTei9HJE0cHh29vr1T2YS2O3HQQYRk+/hAss34FEHX3v4kgP2LRzVOgfEbXwbvaPhZdqoV
DQLrGERneWUluLiDJio2supYCUrupQ4CITKbePXXaE+ow7aC7XhfQI6QBa+A5eTvV7g326LAvPHP
K9w7krL9/So5JBT049kPqR0ayWqYPgBlJrTNpmOtY1MMpT4QW7bziFlP3rAn6+ySbq/Kk+dhlTCo
YXMxQBesyOfYr0roBsvOyIYPq+7DhTYY47c4b46V2/m/vIlcTRYO7Ak7sspszYJF4urAp9Twu2Nq
PxsnUD7C1HNRCGuzqw6vZ5Wir3qBusTR1DDUE29Xe7TDztk7SuduvcyttoPCN9fIHWnDws5L87/z
4xoPQLWKdlHLUmPL3xhdupU9g+HNjKOMXPJC79LxcGt1DG8x8CB4AFGR8S9o+C9j0lU3xPsVLVm3
GtuTZZnN6WztkonafC7RH3qMapzIKi0iZuoFZ9UDDwK+WEGAskuWQk+b41Tb6nOs1lfZ7gbCWMVT
hdkyEDU4lcYqKxzlEzyrtvZ03yaRzPShP+Z6i+hub4Zbfhrag2zmhLjHg1h9jS/WFLrQwOwEM1LP
g2e5ZptIEJKMb7LvBzPZ13XRwFGeLycd1QrX0na9FuTEF8NV5HbFwzRm6dWzSZ+1A+YIrmMn10LB
VsHOwXfIatdCuYpz9ZesTUrjopDuHeVMNF+sZ1TSl2gj8yyeCzfbgCxpXmWlF8Ujyu3NRc5N4+lq
BpF6kjU+CUrEfhgf5NCkBwTYEqrfEj5QXlPOn1t+CoWK3WYdEaunMAYtWqpOZjxMUfS7bUrhc6Fw
XQMUtgj7yYHxoP/TPQ+026nY+WMO3vhPe2HNgYZOFdxIpzeB2wqw6jJ575RRR/6fJ7+sGgUxTyM2
g10ASOudPcCbapXxE3T16a21VnKQlnnJ2Sg6vses4OoxfCZbYycwT0lci3S+4oMSmHtHjZtj70zu
UfZO5L/BIQXXEXTVxTKaU9Uk6bupudF+aqKKcDyT8m7K1zYYi7WcZBUqTsxtxOEBh5U96v3+OpgZ
k7KIpS+PF+HDk8yWPbLRAEtIdBQpmCmoqpeYsNYoWv3SCqNCbTkSDzl/4bXsxHvWP5NnvNVkE8b1
wTJLRn5C83SPlPZeazCTM4aCBCRCqFelDWKOCaxEINjbxpALQDD/0qz6G8oOwH6imSZuOsWTMEvr
0fanmTM3oEuo8Mj2Wrt+aXTTWyDtXXytHehT2pxG11rMooAufbf9sliINFevRWiTajF1nUC26W16
FKK2njLNeJIiekBLNr/WCUczvpT9d+Jrq9tKZSa2Rd+ZX4UJU8GGGP7SNkS9miRKj4aak7kTQ7CJ
VMc/h46Rr1xNpO+RrfxIHcf6mQyX2zqYXl0UrFY+W6tvAF91ysVD9WHlTxMuTUNynbC1eo3wg3jt
apyghJM9y6a4NqcFrA2Q1XNn2ablOiec/iB7uTeKQ2f2QETn3gI95ddmf1+LfNwc1RLNQfY7Xpo+
tA5fMuUz89rudezSVYmA83truRrwi8hYyKpRWM7aDtsS6e6mfuckhpWTGKBPzIMNzKVJfHQvmp9W
z1Crbs2DnYb7LJ/R0fOoJOc3B31keBzV1tpjkYkLrqX0x1mfYqXWWAGa9jQcZZssgCIMx2QuJsyS
V1g6MWSegfE8BlCyR9Z1FYnWe7dsk73IwYGeyuy9Wifxsu0n/1TbgXNscmdYjsbkfiUEtwsGf3or
JgwccOgrH+FkRh+BOeEtkbhfFQjNqwzH6UPUafFTRvoGWq/ufM3i8V3DfCIgs7EI/awH19hHT/fC
afxjzUZnD5mxdHF298R2UuwQV13GJZHze3AQobpsqtlR2LCaFjahukVpNTW/f1nndLEuU/48mPGO
TzWCZrupB8oj2QF4/n2vJpSVJHOgoQakJ0TNCVYBBu3fVbuNTpIdMPc188j/xzy5imkNW1erorM6
QRVQahLxviW859DqvWe3Bj7i2hfZMqoEfZDJaVayT7bZbrMevGY6y1piCbGpe5TLQkzgsqXt10/I
9A7HeF4s93V3PeEiFemW/RzisYKEZsrBxGjsZz2f3EviAHOhT7bUtqU8+PDZV0leo9oYi/jBgABy
1EBlu1UVL+NYVG9anv2+km3QrNqXcSiWYCiiL17/y7Dz6sMp7GzrQHB7kM1+EO09pzVJ9nK3wjoG
KYO0j77Ek/odyn53CUWbn0ZjdBZyfJ0ZSEXkTn/yDDW9+Lr5U7ZbXuGzDyhtZGv4nXlueZDt3Fsb
tDPTdhtbafARmyTn57ej9ErymCDB9iirvDvrz7vre3d4yOd3gcLMvmyd3++uYyu17HV/XSOlEpd9
/rN0tDMR2fxjinNrZYtBPfqNV+7LHLHHvo/EdeqAKBCnyX/CBl+KZjDPraGnq9Y0fKQuA0xA5qt7
kbbK+Gh34uDZ7b/b5VhTNd8C0w2vXWdCvLH1D38o0SHLRHgstRZ6vOrnD3rqO++Dnpz9yNV+xEb+
DCoufTcCPlZf5co+Nqb+iDoFzFEzrD/Bym8D9t4/NL/4gjWXeVUrJVu7BcF3I2rUUx9M0Sya6X8R
SvAghyKHhKOTV9SvOezvdWe2wU6Fyn5GPWpY6trIj3jE77mtRh9U22Q6WyP2NhwwhBQLep+yqln0
05h8sYroW5HW/jciCaccgY6fpT49qNz2w4XXHRE9weC8tZG/gTGygPqxNvO0+umF6hNmau03o4t+
Tl1obRTb69cqziMvPuC9vHhBLiJ/6aqSA+joa2vZ1k1m9V+sndeS4ziThZ+IEfTmVt6WVL5rbhht
6b3n0+9HqLtZUzv9m9i9QQCJBKhSSSKRefKcC4VjuzTrspsHdIWcnmOdMAYKc0MWPPhp6FzywADF
PPWoxK9WTZwF69qGTmTtwzjGf8A5lipJaW6vnBuNInq4zdYudUmhXQfryIK8iHR3wz6/ltxsvKu3
JWJ/X8mUddgH9Sa2W2kRSrF0ce1OPcYDQLnIy8rPbfgC/tj6EpeNu4RsXDnzDzPPOkTLy3KaaIav
CXXIn0OzC9deyTnAHICo5HIHvVoUWl9GPacio/E/5V3UbgI7lPdSbsgPdugjGTV59K35pFGD+YzU
qreDH9QGvGeWz02iPAoHKImSBaR+QM6qqtyqUqDyFpAvAooJvK76ZIHJ3klxkm9KhGCsJvJfYPxX
97HudGu7l42/zKFZBVY6vLplr+9sFd0QYS/lL3UfxG8Ncm7bBvjRVnEC8684SYy/NJuIQh/L1rZo
uvhtiL+IuYga5w3Ham2HZMv4OmjVStgVg4NqWCUqMa/efyGgvBOXIL5jrQIp2GpmLC1Lw0fqjLPE
UfTyaTjbxITul//LpdMdnXqKRl99WNuDtD/AY4+iJRR/oilDcMpFkGvvbGnSZRdeRLglU4AW0W/n
eJpAn8CGZ9v49sGu1pTc+l59/mB3vSw9NyD+28gclhVVy8uu615Toyrvi6ly0YbD5/jbRNV7dY84
zc1Elq0kiERVrMSx1tcHZZWjqHfvZYa2rvUewpPWcTa5pudnh5PejqrY/ijX/D9Ji7t7z3TyY5L5
7a6C5fNsuDDq1FFOBkNCxS+CC/nqhxWcAG7pPSZKC0NsyMNoqMp3wACyS2lq8sZUWneRpobLwfr2
XsjDDo4ETqammV6ETfTc2DEOVAbdiZHmhB5URolfnCsSUkHcpZebLSwTJAQTOV75wyA/UgzuHeqx
BMDq6kPBWc9fAoDu7sWsEdfFygqQBxVDLbK7Uz5kX7IykR8rvWzuIFs8xZ4rvdRqGJDRNaKdGOq6
0i3SPHRvs0E3bnUnch/InnpPtdqshJc98vxS6jzHy1QrAvyCa2YwRvKEnRue/FKvXwK9XEaDBh2z
RaRw1NtmLYZNHX2jNn642kkb3aecPY06BiTq6No6N4sa3ksWJahVZWRMdnKGvqtlGtVDaRMF1uPg
3MiIH0a1EZxbbv5iTjReV5frRvXLtWkqYwwQurnqhilvPRAk+zRwk4toFL2IVnJhIminZenNFtRj
QrWS56MCagJnnJyFTfSo4Cx3ckOCc7a5ku+uYHtRFiAP83Hdxj25kYmDJ3Ga5BBS1LSNGV9ZB51d
2zT8QDnPjqq5P4L4wA3D/h4W7g+16eWXpJRGYEmVf6mzyt7BCB/AtWjqd51C/W6u5cWLEuYB+Y2i
/Q6W19A054dWhk/hU1oiji4DS7w1dWLBUNcm90WUIWn6d3s7TX6wEdtAcaVZxIb/ozC8Sr1zwDNT
kiGPax1gwTkbNQVsZPgdgvMBVpdhOIre3FiGkmyVqKGKGnk3Z2p8nkOoepy6oVY+tSoZ4lnoTdhV
iTp9Ybs5//YTs7NzXyrFOpZ1dydRjbZFbHUAbWQGr6oiSXAHysY+rLzg1Y+Sz4HpVBdu3MGrPmXB
4+rFc62e0HDyKJaMRaUeSBl2S+EUc4IF+UW1B1FY7ikDt42xo7LI6C3t2Qx1ZZVEQ3WJFTXeKXKR
gF/QzFMRxvHGL3vlwaJIbNlRTvLWjdYDQfYJyM/jF0krNL2Tp8DlMcTXtXJJuWP9oFfcQZJCkU8K
xLSH1Ja83VjI4yX302E1IGT60nWckvNP/OYkJ93ISQGEVbcgwCVHK+Ct8cmbyqSchlLIhRiLBkhe
CMKhGdFojH7NiD2Eu/C5rRFjVYKxtWvfhkpP7v2J+lrpu+zUpwVUbJjCyQQCwTiHXb0VJtF0utpc
iBUsxJrZLnrqxIl9s+Fxc/29P9Rg29uGckKcLomqi+2n2Un4y2MgbVxjrABiac7WILB1HIuwONRZ
5xCCb/yzXWnaBkxcdIUX315xcBkes8GoSRhrxXTPzRFn0ryV3VB3pke6coSxBRKDZGILUco62ghj
qKR2cevaHgzNLtG04SgPKhA0hfN05jXVY9vFIMF1l2B1IidbuekgRuxzfT8kZbFPp8hkCCPjZnTK
+JpLIpStek+6nCVLU66KT+gI+/CEElpsISalmjPlUXnYutMhagGwcN12BVRjbmZtLXtYGBPgoy2k
4MABHL23aWj5jbugXkI6hXHSvvx2ayzQhXZPxUzmaz/d3Mp0ES3DzWE3YRe7mZMbuJb3bjyFmOAE
xvgU1XW5lWKb5H40qI+BaZao3TeU9fhGsXRVigJaGAkOpROrj5aZqrvMM6jkn5xtxG0eU0p7Jlc9
T7KlAtZtJ1wVuY4PjQRcWwx1q0bw0inUXWeREoI2SH5MfJg1DceIXnKPU08zquanOuRhmH+/8jka
oZLwa+WblLY8c8UQbROrWNiEucKFV245ZiC6Cp5mXUVJcS9Jlb6sGkrNy7CFo6lJCB2SBPhMEfk5
8xviFqG988rM/kF+7tntw+ItT4x8aUmF/qCBktvU8KiezTDS9s2QaDskGNo7sSNUPymkXC6s2W3v
fy4znk65d02x49uORQJ6Z9pRb518OUwkhTqwqL044/zTKeiDjYxYcfATQtujsfMpUgwzvU9R2BmS
dQL/ECzdkpYn90GdZ89FUzxnnabeDW6bPvMqM8CNBhGZaXKUMqjubK08iFmrqUL4O412J2bJehSw
O7km+pysJQxrbCpi3X3V3IGhKcC/a/GbHcgnY1JdMS2OJ57rfEp1c6IbDZo7J6wAZraKy/G8piAs
KtpFpVn193HjelL+vYzjHoAIlFhy3r1R2uGcXKn82dRNNazjLNYWHyY+DM2y4rRFcaSwj0EGd4iD
hGAy6s7JrwlDQ77OoTU0OOEXQf+NJzIImfvuB8yHLwiK+5+cBJ5g6oq6Sxj3xq6iLodaFzu/JCSE
V9Bsm1tTH5wltzfe9qlpKDA4mooNj1yvIS8ujBmqqAhLDxGZacPl/jUGi0D39FNXVe6T63XTF0Wt
EWZkmLROuS4bA8mLyRmVAHM7ajp0G9PQbxx4nBFDvm1l5U5z50vNs1g6cip+gPBoaU2uZt10Sx59
gk3MeYK6SG+MVnnMwTPTpF57bRJ+fqoV54beXwBJ7lF+CCAdMFZ5NHTf5Vx5TMkyfnZbs1qolum8
oGA2LNHcTR7lRg7WEE8fncSCJ9Af4GwNx2zfg8SB+USRsmVdtgceNWzw7Mwqlh5vJcOOV1nkpo/J
1AxkFsg03AuL7Honxxr3MlNn3zeds6pkxohuN+XTsukmKyBCnbwS8+VARDhr4SuuGvccEpdfFnpv
L1Jffoosqq9MKBm2A+mnjemm5VIwCwnioHAqgK2zfJKOB9YqjxX6KrH6Yun8eXakXsRIJoQO8voJ
TdXqqsA5fCiztFx5qWW8DW32zUqM5D53KukOemiS3kbH9widhykaeU82ufqS+M03g/fsjZtLg/Yl
sIBQa4IljM1X1Oa7u4wipnVg2yCJHQvJTKWr9qVHubUL3+SAWhACQ/J44tvylzLyA4kOCIp3dett
TAeEJXxvwTeHf4xWSsouUkJpRwDwy1BCbJ7oEJAX8KH/rGWBITJVc+sVHVF3i9RJujWLvLn3zfwc
u4OKDJnG0b9Mvso1zC4Enf2rFRb3neSH+74PzCMk3jBCTo0RX7z8c1b4tbfwOupFs6D90akbWZO3
fVA4n/zM7da1JpdHmwPExeMlLsOGhywNBocNqtv6pRwbb9kRi6RaqAhhinb8aFE3kUXZp3zRlGb8
rEwSq5CnpAvXynM+UcMmk+1XH67dL7YdwKzSUXDGDSXcmiXMKK5sdK+OCVyr1P32q2cM29IrSNw1
2lOb6g5VetK9Z6a7WodsYbAgHRkidVnXiEx3iW9vIzjJj1lf9TvTlg7umKVrZXCOY1y1C5mgB4GY
pt+0gWZuMrf55FtpjcK7HSyqdAi+wMt0tY3C+p7z5YHKGQ1YaNA3jlTXB6hfDw71zXc4TGLmVCjc
pQO49AgYSO/54b1oIChTjlIEK/1kiiQJWrHENtbkdpRzZw3KWe7yT72dXwszJRqflU+Uj8cXiJ3l
50xSXmAptO7UMK/Og1FeuxAoT56E4TFwvodyk55kSCecsB/2ngUDCvD+TD9Jd25DpaJvJm8dqIwt
2HSomaahNJiXKbL1YKptd9eYNYXrEqA2XQqDVSk3/lF1mrNSNzac9RPicAIm+g49HhG+RbkPRmqA
vkDYRUMxFnh64SLGjl/9xUN/Cov28NyjpnQp4vC5VrLqjkAr36SxI8PXVe2LbKfhgiKLZFsG7Teb
TMg9MsHaue8tSht1P1jytJGd6N2LSUjju3t0EYArj9EXwvp4dIox7J0gyhe3caBa/WKo1BhQXdqu
894uXgotbNbIYOZbMTQ1k9uPo8Av643Uvzn5sOxqykCJsmnp8da1OLUeXZ1Kv+UEqjhGnv5AKlha
+h2yi75zSKvhWgyhcbETUK1dvdYd7RvnumIhh/WXTjfa61gnpJ0yaD7L4G0s+R6GkrocmrD60emP
nW3B8hP5zqkgzbSAhapd9RHFM02IFHkgNe4OaTwCTnydrwlMntd06pGGviZqXFDEiUlMthmFUl3H
b6UYyqqe3ElK+SUC1ZOhdPZURnLLPQhaKDG0Am88DzbBMu5zT2A+u4ekyZaUQZhPeSYniwCYAInz
/r2a3DgN40jjruubn/9JTE54iAmH28NeG7j6b806C6bsIYh/FG5uH/oC7ke7Qd+GqptkF+hUWFGf
SWVyCTcZR+5ho+VacRnt0qLYUm6I4XhXpy6yXcaj+jG1ycv5fP133ENIzmVQKUB4OF4gZc7WbhDI
D80YWagMdfJTHt+XJQ+gk1zvfduG4a7VUYQPPae+DMGUfHHi8k1107Nc8E2P4h61deBMRLm0pWlp
yVVrDH3XuKO8AyuNknmmxmvFsIq9YrIb4O7pltEVZKZ5LqVqea3KpfndzpNHZUAmqMpkGdkaad0Z
Yf6DU96dz2/hm9fyCjs/yqBoCppdOdR3Nl+lbaTa3bY37OEqW7a3ggNafZVJUKpmEv5IzTOZLKDj
fJmvZl9bb5YPz2nRKtUDCaZmU8R1BtalBBtNGItnruqaVXqzTCsr+lJk/dLPyvi77JeIIKRB/GwC
Ddy0UJ8cx1GDpcUAy+s7nUJOfzirtW4/2Y6j8JO9IcpVfA58g/JOWy4Ort5Z4Am774oX8UNpW0Dx
jcoECN+ER6iIwzWRm+Euccx80RrGl1DJvSdKEYedAnHqFtJT55kzOlSRqfcVGgsAhGkyPAyJ3lH2
U8qbMm2bV3hRD8IjMOuRqjXic2pXZdumr3ay5cV7OCHMvUL+4cT/MiL1V5sXqCecVQCR/7rpCboP
ajCcUsK+iz5w3CdD1wkHlf1hwp50GgzBRQ9asK/jcwBQj4qasl6XBjLVHu/lykTxc8/NRXppwtFf
2K1N+nuarRobxRlDf5JlmEZJPPBQVHMjLYFUaHrb7ZuG6PVoK+mbE1vfO5Cm18IJ9Wum+d8Qa08p
gHYWOTjqJXV8MCw4srlHRGrY9m2UPnjqFLnOmuqrCXlWEjTKd0453ws5sJ4LqJ/WihK92UOZr8h7
OtdkasAsw6RK7mjnmpIqwe9RKauxBLPku6VzFY6OYwLND0liz7Zc6k2iv/ywTLsIt5i40tW+7X3b
LDYR12kufdsRbJY8f21neXqWvAoBgjGG+KnV4hOoi78sAJPnQDPWmV89QkEdLNVRPY2Vc9QT4riW
YyvnHFH35Tj4ysqo637nxJW6R4dkuORTE+zSgZALKINgl3tOsNLNRn01B/j0y77/QTHc6Hec2KG1
ei6Jty+q2snWHQRJ/FzG3nggg7D0dclAKCrXdvIAiC0uTIVYjWft3EhKl3zk+b4q8SffUaGBsRGB
0eR8OI0Uqy4TjXR0aGr9qjMiIvTyYFFS1zTtIqqbR8iCkp2wzQ1VYb9cKlvt1p3VaQueRs46qYJX
u+oIw1h68DKxUa7axNCukeM7G5/ibDcxtmSkxhMFRunOM1C86dQCxp+gPnelljzCqMBzNSp7YK/0
fi9sSgL0BXZZ4KCSfeUoYH1XVMJQ4yRHZj94Gk/JqE18liVpOPh6Nh7AY/PuuGQwAor6Tw3YIx4E
o09SRdqhowh33ULAvEuK3r6XETSVLbXl0IPSPHWvxEoDzjh+0CxjLwlOYIbTfTASsLCBeawKa1RX
mu+4kLt0Dx7RcMcwSeGPoWSeaxCKLvVq91LmZfc8S0/VzshGjCZPTR7o3WcTIQDEDX0e8uK6fEbl
iyB6pD/x+THB6CxheE+vdjMpKTfPFsXIVyKfya0pyEuvChjC1sPkJSbConLv6vyrGCDtKq9JmEYr
yyrHKwxTzkJT6p4sizZebzbZMLdqbOvgX3ERE5wW9IsBRHKy5F0YLWUDAfdaaspT71jFqWnin70Y
qoV1RnB/Ir0GpCx8bl1+ifhcxXK7ibkTnkvDQVlbNvJtojguVZU0fAycfVNbxO/T8WyUJjeAJLyv
Cyni68/PIk+wFhq4MHQjbEIJSWlY98JW2xmBxgra0tBWOSZVLkk6orqg/rajnKarrBjuGuiArjLM
BkvN9b17n1e9JTQXky3sYM33xqsNmOjEl67qlBW8gjq3aVc/OrmabOtQf2v9Njr77TeC4OVd3Az5
xrFd2GICFIgqF9JN0YNTGZoc0Z2b2rrri34gdIr8SG/KJkITFnzVUvzmworyl4G8xcLQpfqF33tl
WYeu91jYJUptYeleTJkPRRBB2hNER7NBjVhtDG4t01A0HaQeVEE6WZ8txJTaE7dOu5XUxepVqx4C
Qc4kmzHyPLzBN+4mmXDcnqow0hcjRSWcetUp1IeAmyBYEk3hKzwW+GazUTxZuxE4lXWD/Gqvwi80
UTgJvw5dK/iizVOUwSOQh168aixFP9QB9foOYK4nxTerB47TC7lPsieYH9fAJKX76UHdbSrlVYud
4lQmgXsbGnmSLMOhCzcQuKCxkra9tEauVdrGwHQfKj37SukEGLG06w5814JFR6bq3sgi8HJOPG4N
xwVwVUovPtpWD92QLPWmrJ68YSifssS+5pAJ3+WeVD45Wmcs22Fo+IVlaNuKuyVFEa7c2r0zsrw7
t/ng3qXIy8PPGb56SVjuA9nPKdzwolczIjZJHDLYidmIOmow8qTKxKwrIVyVRtKjbOvyA/ePnTD3
VpueYj8D2cRBE4Dk6EPeQAbT0Kp4RT2E+WzEEQTeKtzhVFSZz0lF7Bugmbyyp6ExyMo2z7i9S5Fl
PCdUKQEJVeK1WKs6rbeF4btZ39Y2IIe522sw/OLME161yUbXgyeNraK2DyBtp/5LDFVEKtcw88sb
4Zx2YNJ1aEdvs7IXpYRu/Hx7W9v37grCH3krnDWKKValb7u32dismpVFmf1OOMtBB+ipndKw4rqj
Ly31uo624EZ3huW0l9YbrE0SjPnJjo4ZEbon1L5aRe6epkqap6TsX8jPOecMZoEdDA+w62t9d2nq
eE9Ju3O0NAk2FmGrlc/FSGXWzdRqXXSng1Rw5VwNoC5N9SPZkYPdoa8t/NMyiFecnwME21E3sdKO
R7yAPLEcxsjWkbtIlP5rmhvt5zz3VYTRNeNCXXq4C+CNqkmHXRsjem5kpMJMJ1UPxNTbZej03mtJ
6HijwXOwEbNKhexHXcSoi0yzmQ6kr8raqxfY2kvzuSoSb6f6GaTlHWG7MDHLVSUV5RbkMvct2xuH
g4NMhbEODetXN566upIU6vKdw7uunij5JpqqvTzjAXFb78Xkz6NoeVhJ0AC9aHza7t0YIaJpJBmd
fgm94UGMwjHN7grQeWIExso4aSj0LIKJXn0sIXmy+x6+82lXBDq1zcSutQpNSbsMrvyz0aW9JVFy
OJt54M8PsQuYcnKa7bEO56I/BObyw0TmhfKicJNhOzsLF+IRnHVMuOZ/X85tOTAapaI8I0ywob57
eLNH012NtdOdBiWVz7JKuKtRAQ6GnJH9AbKJYFIUEk0xyQqJXqwZEw8GwrCjhaKQsCm/e3E2JZlb
5Gk/TAhnMQtrL6If085iGZq/HjwKEFmsR0DUt10rYsvAnkhKNQuQzKtoGNNDVgU/G2oD0wOR7/Qg
evPE7DdPfPD7D1zm7YGbQXgv9p/XieHsM1/pP3D5sNW89o+v8o9Xm1/B7PJh+8qTfr38P15p3mZ2
+bDN7PLfvR9/3OZfX0ksE++H0g7oO/rBgzDNL2Me/vESf3SZJz685f/9VvOf8WGrf3qlH1z+6Wof
bP+Pr/SPW/3rV2p7fsnToZYh2jvwaBdMX0PR/Ivxu6mo8lmVkiO8rbqNGz3K3o9vC94t+8crCKPY
6rbLv/Ofrzq/arlDhWY9z7zf6d/t9++uz2GGo3enhzydz1e87frxfXhv/b9e93bF93+JuHo9jFej
6NrN/NfOr+qDbR5+fKF/XCIm3r30eQsxE0//8g82MfEf2P4Dl/9+K9spoc4ttc+DZATHRmonhkTA
Zsf4dyNmomEoDqp2FWZhEb1KLJh9TbcMj2K6JIG0d2Jk2bTOe8i0Rl96lUFtVW1I91kQQ6BW90+c
giGynUZxTiVhC75lmhdrxkA3D2Tff4h5YXfhidqMJYxYwiaaqoctw9QBgdWQ7Z+gi75A6hFfCluK
953tIPjcUedrm9GtgaEyPucpDKSTlxZFKMmJ2cCSgLN58ulmE9NqpH9Hjo6AiNVALSO2yv2eOudc
ldc3RxdWyVVlBDY8yQb1JdmIxA4ne3CYiKlu/AgtVxu+G4P6+a646AQNyNuHVPdMwyGwikuhxMVF
URpt6+kF0HWxutWqYecWIBverbZ6B2By2rxBLsiOYmFl5sgSGfX9vJfY2u+0iqCmd7ztFyRFcwrT
GFreX5cUbmnf9WeVB4ubmz5yRLPUnSOXPUXM6AV5k4D9TaweemRK1N8J1zcy9Vfj0G0N/m9HQLne
ya8mLXsheC+MYvk8XYATcSRHPyRdA6rCzguKTlOYPjJrnxeWfxs4SuCAhpnsOXBcCK4IXt1WCOO8
TLLGaEnSo16/W3PzrIZy3cVJevy4cFQGf9+E0v2HvcTQyMwzkW5jr1QGWvUxQmuj3Hl3QZN4d6IH
2MtDt7X0ti6QWfLazM4Twq9zxug8Ulk6uc4rbxtp7YNtRzFx00A/iGYkdHZAGVk/iB6CacM+kZKF
mEx+u4mhq+teSsEJKzKKoxGblRatIwMvQ23Mh3isKdS7VpKUO2FtEZNbg6nVlmLiNju5i143yoS8
Ve8kfGcPMk7mRsqh9ACv8dN3no0U/xGRIZWA7d8mtTHTd9Akfp7tJnhCFT6tNCPL48pbMTNfzEHD
EFRdB4XJ9Kp/v67bMKVUj1JDey1ehGF5Ku9ImcCwZbsH0RhZhmL9rZ2tXWRizagJIVo4+SYgWxC+
HlC+G+NOereBXuQEDOIulm4b3ha927Ds4XqVYGhYqTCjH/WpCcO8OYqh6M3NBxt1etDGchBbzhP/
1Qbzsts11N7ZZFDbpRx8yv6UcEREAVlNrr7sp9fQSDldhQhKiAnibREa1IjUZnCkw0trHygFGNOF
GIM9/Wm0DP8JoQV5I+ygx5zDvGL2LYWwpdhGrJ19Pgxzr6caw6n3oxy9SU1KJiM3YHLTw+gxAKC2
ty2CBjKfsNei1XbCgwIuhzO341+tCcaeZlTX5WZcAqmyoPCf4CTtBCdpBkA9+ZibpB6nrjDW04zo
zT5iSdVvrB75ptlVmP9pGAiIyrxTLI93blsP96NjXPU66Z4KDtyHXFfL9VDG6WdPN0gpAbAidDZA
8jaloOTI/VQYAFejAvq1sK7dhVQPewE2Fihk0dSV7S4Nw0nWs03AllOq6tYJ+K2lmLjBk13HDbea
zUf/HejZq9toD/Pil5tjQxV3FcCYi8CVe3AKxzlwctXTheiKBi52AwhBhab9zVpSpt0XqrHRZk/I
Tl1kOCcf8kbIxE6NWG4XdQDAkrBAblY9jKEphOry6NXI5gTVXZnD+yx6osmHhGrbVAfV4VY/J6Lf
vdgD5ACTs74VzrKmIQcd+XCi1lZ16dP4JXQdC/LhGMipFA/ohvyyhaSyLmLCn3p/sid9+hL/3iNq
nwhb5qfayaMz3P/RuSmtVeUQ+oTU66dJTI5FN4InqZR8DwntSR7toVsIn6oDQU3eE2X41ImoD5z2
Stq6CraiGzfGdztQs+07m7hU+COHF/wk+hIh077XEojudOeQTE1vKjBSzmPRQycYXRKz2n20S61z
+Cdbb/juQUL0CU33yee2q7CKsVgjmnag9GQpZopikHdklVvDVK667ucvNfFmXwbIbsa+/kzUozab
/MXzUhkF9Q5cv5y9KEjIX4zOfBQrwtyOz2XOQ2OuE601G35odEquj37qu0fRS7r8r8GzzY0YdUPh
Hr0KSDI3918u4e/ebOuAmaKG46I+Mc3OE7fFYh+x44fL1VTrrNI6mTjx/7Zudv65NpBRobCCjewH
2bYYde9ekktY6Asn/kT07s3odeUH4tqOoZP6tb3wMbai+s1pI1I6Yes/+KHNb6YRSkezNuPjh30a
SL+OflfCd8OH+KTIlbXvpJz4E7QDixrxnFOAvMRwbmAF3LQh0EuwCGb5GkaSs45h61pYBMpJmCbR
Gt6x5tRMDcm6981sEy6KrKyj0pb2s10smIfCTdjSXDN3Y+Sg1fa3LY18fH+Feb0Wko6ok+TqGgaF
UDHiDhas5FsxjOU8uXOS+A6AbZQvmxQ1C89HbcvXani+ehS4FC3oF5BqdSTO/9Zk6PWi92rA7b0Q
U2GnwGMturmXoAJbEFZ7Z3SLzFxrXQjKzamaTaBEylRy4D+KptEhkEDr/l6MvAICnNmjm9w6PAJr
/OXBUxP4RwV5b6VIqxVpR+9cCpKkoo55bHezfi2MUGf650EQIsWTkzD+2WdeM/tUE+2SmAhDzdvJ
YPVgEMq1Z7hCIlfJn9sKJbpfg18zhVRIm5TqKIphpt89zcvWIVQOS/EzOP8qZgPMuP40Mdtuv6PT
hD64BNKnn1XRzFvNE/OyeavZOUOwiXhtkvK7Xo+P1Pr3C5uM+2GM0ItRE8sj10pJUWy5TbGs4Crx
G/WhnyYhxrCXjQIyW/j2kmkcg2rSu820tiCtEhztUg0uYjbI+Y+kCTTmYmiRmb/Tvf6IcJD8WA7r
lvqYCiQdkIVJ7tzOtJXbmP4+RejilFiwcHEmyqOV6EIsPlQLOwPZSRlquamHtK8WhSb/dL3Nz0tF
rwsmDoaBs4oYEmWnmqkHhBdJ2YNNtfGdW2vK00DSc6lFlr4HNaU8+aVlw3bvuShO51CFyXq3NKfs
q4Hk697Qiq/FKNscVycbmEYPEFhT7scpDysa3VP0fVDXX8WomXK2wjegdOcffac95+WiJ/ZVMqnc
w9IVH/uoK6hf53lK4X246CWAGWFrFao1a8d1tmORSXc5dbrroW5Rm+u9fNlXiXIYRRNXAJyySU5w
IQzvpqb5DK6Pg5e0P3vC5Z23FgWf0kwud6B3yoMqQyz5W21QSA6KYRZkR9Ii/lGYaqFKWCWkzkw5
nSj4f+kTCufSpHJO6lWgx0gWvlvRK/nRMC3veNtAzMy7jCl016vfL2NoKxLloxcvjSD/Tio1fyQD
VTxKUvwXuf72pE8jRTb6HZBJpKwmj7xQi8csaFZQn49X4a8UI0LEPSVSYlIyzOperQndT8vFIteN
FQBHaH3fLmDHyTlJDWr7tTxfdoRKFmbkZEfhDIpg3KsDlULi+ihEyPvBJi0JcbXVaq9NVWpnSwIe
K4aWB6nyWFOVI4aFY1ULWY+sc+pJ8uvPNW2raGcpgWfcLRztdV7DQ2x4VVXU/nw4LQMr/pKAwblk
U0MKU7n4amKs+0m9dLaJiUTP0EmIUPkRQ9EIF18PHnvQiYfZJHrUjPYmwZl5H3KH9sFNofz9fbmb
p0qtuds7YF2nlyCa3tJhUE/9bedK9dHg7JnDNqDWR7Uvd2bnDTtbqWvoaTHFqqlRtSLGoiustzVi
uVmRRASKW1RrfwT/3NTZPyzIZGo+o0DaKQ1HCNHEreeCuprGlSypNyPlLj+nZ8cPtnFa0ZiN83Ox
mNa1WN0q4PI/bm3Ejp2g7fm3bXNKX3baAH8jvCDxKkJx5pPSOB13Wh2RTtPLPin2M6TI1gtEZ+W5
CpEMtPo4/ZS6Q762PcrLOWJD9FzKCyuTlZUzIfORgk6PxoTcFD1hGwGiAyueZkST/e6JITRpTDtG
DC1PN914s24v88x8gpe6uSp+0l5VxXBXXYfizWwz5cI7V7m7FaaOoktYZidKV22w+70wiiaEGGJr
AuiYeK6b69yYj2HtZlfQmRZHRYMizqwqHQD3XLAITfmcGKDZKDFdhdBr7nKy1S9NxTtUhQaSw5MS
M/W/VFe7TX3U/4e082hyWwnW7C9CBFDwW3qyadqrWxtEtwy89/j1c1DUFXX17ptZjBYVqCxDik0C
VVmZ55urfUMEKxnC3lG2Wk7w0Y/ueJZDiYC9pJUo72WbYxTb1rCSR9kWKs2CCJzkWXM196VHfhjC
i2spzyGkvHsCNuu73CMida6loA2uV62bIEKgdfVeNgymX927ldPuIGmxHpk73xraQNmrmtEieEE3
2Zc4Nn/T+gSm3PrK2RGRK+MguI6+tgUV4RiKrq0V3/c2bh/AIUj8/CIL1UQaamoQ0JVVBI1/NdRF
DZpGVf3NrXM2tyI50a+CuAA993uWeNDyix8Id923BQJBvxvkCLPHaxcpNjAmQ9lYkLb3vI61zzRU
Y2Y4pTpL7SHLhVawxFre6rdmhAsBXsr62DTlrjZIXg7iaZtz/g/lye/uPV3wfZuv9PgUoQF44Uz5
lyXy8n72+vAHkh3mhq5oKjIYCCbFW7z2lIQ8/ciFEwiAdt+7jX0/zgVZuagAV3jHEi2074PUtO9N
zbO3zRDbi5vN0BTtSIbTnTTJobIvGJtFk4mAGEVmk42a74fXl7nZbi/jdmQcd7Bp7tzA7vYkZpOc
nhTTF4sl9yo1WvyRc9WBRkXavvEwdEr9FBv21lfFRKxJ598lRJguQ1k17HidtH69k61hOXxE3nxU
T3TOS8m3V/aCrQL4ng0hohVMXdZatgHLEW5ldYpKoii1wD3JqlYR8alkXzI9aM88qZLrIPRZIA9D
aljLXoVuKouqIp5fVjMbYKdAcNso+dpaRY7SAjigfV3Y2Zabrv7EYQN3ckAC30ML/DZA/E8YgcPS
Rur78ldfA04AWiz0zRJU3lk+rkjedVeNOul33VzIK1mESFHd2WXglTDQaVEIt1p0etwA3KQaV/Wj
7jbRlz5u3Oi5yNrmS6G2P7Q23Dh2WT4UvSqeSUsnPLKqWSmGgf48EO2x8s3e28rW0GC/j2qJTgAG
nUeUv+9ijzCpeO5c4UO8JwX8IBvl+Kj8ljjshqQlKKJ3v1IgXM+9lQKw/wRYXjVNdZXwU3uUBclX
qhk89mZXPJLMOeFLUoFdTl6cLJ2E7WpmGIBRf/dvunyrB6Z5Frb44aUIkg29llz6nDsly0no+EQj
Xtq5kA1Dlll7f0hfGqv8xzQPyDKnOFVWtLz2by3/EAXTqVUzlRgW4PPy6lb8l21Mzf9Xv9uwKOL7
nyvNsDISPyZW2oO4MxpkDM85p6IOBMQgCnnVFZyTLGT9r2ZiQcNdEHpHab/OIIf81e9m+6NPAatj
w+/hh6aWgkUGL/zHK92GyKu/301m4BsaWNYt/teOcsbb3LKfHijmuuSuAqkbjYBl70CV5lsbFxtz
ZkvLOmiTkOBhAhpvtn7Q0TD6oz4PbKVRjrkVlWNHh6LolQcCB82nrs6+KbnZH2UNl6vYsDczVx3f
myeEQ3ZhnA/HrHU0VHLI1BitSKBvmomLtMmiy0wgl47I17JaKBOxu2U37fHZ8v1vq+CVaOiQDDWt
RSswzzaGO7anOK5d8lRC/6DM5FcmxXFNgFAwVT4x6H5wkVem4GmTay105H83oDKG99gzv0i7NaUR
GIq5i5b8rHsOkuQcae4EwCEGwW1OsVCQJTf0OrHsW40cGHjfEoRJ7tImye/sIXoIDTPdRr9N0l5a
VVAs/r4cyGjHygd9HS3b/+j0ezZp+9+nLDz3n9mbwt8S5OSstd7NTnUSdoAWyDQoyDFZhFYX/MgI
8ySJ6Cd/mTcdNtaXScublac5ySXPIQkC9xO70Sq1i8UabWV1bbEkdd/l8KGZjoFBePamCkglsmt7
WP1hlJey0H0C1LtG9wjXImab2G4xHW/NI4j7dtF6fEzoJn/cGkLwsCixoXmppvkjT1tux+BIZY1M
CeOuzqd3WZNFXxjzl6av1qIe80dpU0NAMNXk8OPG5CGazVFtuJZtxmwCfyK2k6K3y5stTRtnMXYE
q98mGuJPT0O7/Dor6WAH0uSihZxD2jIXtqyXDNFG2lgchctShM0OzsglL0YkPpBZeuxcazjBzTxF
c400+fJxhMK/AZo2rWRVFvjwfxAoH+GdpFtSm+7F48RbDpKmhmzrLWSDblkBhiZPeBiJJPOQZhwK
cUmIjjeKKTw3c03aRWAZd6wdDrLmqJNBlKIYy62N5NZCGq9FrYqLJ5AK01tIc9IW9Kp+NsZoUadV
tLZcpTyHhcnpLGjeXWJr+pn/t0PAs629dBYHKGpnBN/HQlumwFBI5u6MQ2aE+UdQkrjqQKUCdqQo
63gq7aMBoeTg1qqxtXGK3HfkQ65AsKhfzDz85ISr+mlHWxQ1/A33mWprkz1337rCWualj81qW3eR
szY/to17kK2WEkO8T0a+4miNWjuVWMh9gsTNSheVdSRt/gdIhYAECg1J79l0K242C5L7Lldb8s3p
Ie3KMBYdLOt/hpG7+f8z3X+9qrTN75B9l1j7RMpX8/FlMxftfPIqC5KNVhEBv8ebSfbwxahtWqHy
B537SpscL6skgj4S727uZe02L1kyGSyQbU661KElrHyWWU6fyy4hWdT+CsrevdScsI11Vu5yoYbn
rG/I/jV16wFvEMpTrgdcCR3SBbIY5tfBbJ/6mG+wMtRLs+eMk13+3ZWv+gdqVV6ObirWVWmQKjOT
VYVuUsiruZBdppnO2s5e63BKf06iGC/c0cBcD0H3SbLKoSSt8osP3GhLfnm3K0MvOtSN+mnyHdtl
jg1+J7fz14EEpK3rTONaVuuh6dYINWVbWfWmPlqpph7tZdUVM/wKoYu7kVvlqw/JinQj0Fulqion
9J+Ja87Ar5WqI14GLftVrWZ/q6y6seuBIut+tcpqel8Y69FXf3TT5EJ+tVRUhxKDWN8mi4mO7tnB
WBqKJfxnVqnSqSdZk0UapDPIQvyIej1L14O9FxaOftwGOukwqn69mhfrJMaUPYdAJJrJBgMph2sr
PzWDFKW5d1KZYl2IHvbs72a3NPViJWe8Tktm7WLMPGXdIBWz7JIuP5hxik4gcrGrifjzT9UEwiDc
r8rUm+tJC8JDWznZkx7rn4h4ptvC94nTaf38JAvHG5pj71xkZazLsl3dGnXF15ZmhcTS0Jb9DqDh
q5eVJBO6lVi4wlbOzSwYwmmAf8kSaEumpv9hL8rMNxa9A3wybFr8BnSToyDQdvupQ+mS44vovRUw
Ki3T+Wh6nwddXMCJ78jLaPumgxmRux9ggj60oqueDH2MDyyVtDWI5/4jZnmc6O6HgaeOk9pCJRZW
aI/G5PyQ49gH8Pgm7eRhIOOR84jW4LkbmlckmTo8GZqlfSWjFO1OQkT2cusoi5StUGAXPKbm3aQs
wpK0T7UpEQjPbAfScDHZp8K1VnIT6kSzXFvmLzWvUS91HKmXvPbeq9DX9rImC9kYxd6iJzfudLPr
QhjHttCnEqlKtXZfrUmfTpYXjotORVRwAjK3dsXgbGU1VcwXVJ2XqLGiiTFjawwtCvjURHCUV/EU
pPVCXvq+E9eLW5PqNGxaKo3IcIb80fHXJbJ/C6OxXGiO03CM5sLHC5OtKr1/s3Or3coG1Lc8pE/C
/ItlZGQcFlVQ87fuiR6Sl8GM3YlmUYv5gXO8FjPJ51q/dmo5ctPQ+gKINcdMy6joGp6bxvYzsNEY
hUut4CpGz3USu2bW7qkJl+epHum7JhXiRe28X62g76LD2KMMxzrBWZBL539OdrytIsP4CWF/X0ct
Tj4gDWwfvb1V2/m9dOQnopwWqp8Fd7Lqa0GwLlXQZE5sv9TDhD5SPH21PKfYJM2A89G1q7fZnpdi
/ErKLFhWvsIc7yxLIqQOuTqEb4YTAzN26+d2hAKZht0PaXbSPtgW+rAw053FHu0AuRtS83xl/Ls6
KkM/yxfSfL28dg8ItzJKHpy3MX/Nc+2tIS+QLW5z+q79YJMHsa0yuz8qft4jeI+UldlrlxYtcwMx
X2yyNVaH/iiLvMqelcG3t3EdWd5J2kCDEEMjimohRxBkEuKenmctsyneaZz/FIi/ovVNTlKR9Jv4
dzIXf0B7WshWM4ze81ptd1OjCbIa5hFh0HASVFghWXq/O8osMJA+1tFsPtjGxjFoy44FTcEipGo4
xNgqVWxtCnhm0K6Fpq58v/lZFLjylaREJ5C8FzIr/hF75/+K7Hvb/2qQAvBX20zI+KvByWySX2/T
yN5SJf4qHP/v+f9rmpvtKh//e0RmQlbht8u7Ced3E87y0LL37b2agXj0jUxfaEpdrvAx5PcojGX3
9nxFfAEJTNZFWmQxBajIVb1l/9HVTZqR/dDuOuT3DEM5ptzGvHYtR8qpDUftziO+LGky0i5A8cI0
cCOHQbSZItN3FxrP1VPh9GtNVuW4tEhyjjNVY6P6pI2T5te1x5CI0Ns7k69Ovq/NDX/qtrcGt2m7
uxqn4/VtGOosAqasEHK2H1LcTq2Lo1SYpfOQ1K5xIu7lINvU2ZT3NqAOfWR1NFdlQ1O0/brSXHcl
ItbhS3Zw3qKmfVaDtq99+KNeLOA9RzkLd4X2ATWbWzuxf80eqsvJduKdE7bmuTHzhOdryhGoVquE
6EA2OEeTYZ7lleNX+t5vmqdrPznE75PvmZdNu5R/Oo5vRtj8JHZNrYcLa55V9rtNNceFjnaRH64v
qcHKCMnKWvXzaWPftT4peEWxk1W0zhECNklFklUnBfVRtU8IBjh36EvY1+KvqmyQts6Nwk0xBhHk
QWL/9KhPFujbVA9ozFUPYcSZl1EIMr76seJjpiDP5E+b7MxTsFklPbQOWZX95NgmYu1h4GC+jv1r
vroOmm1Rk4utoXp+Z+Tdr8Jt7bueRQMp8JCWSKb6p2GWLC8RQgDHaUZ1Xm1gl8OcADNYaqW/kjP8
cSmnlb1liwdBhB8a0kiTingU4ptIYhYpmvBN5B5JmcbJ1puopRd9qq6udbJQneO11+j6ECys4POP
FlMOyufxUM/ZfpMnyDI8Yb1iVJ5yN5FVyPqKwowLBRlmTv0A+gjtEA9FeAzJc4U+rx+iNNn4+Dh3
kU1a1VSU5oEzW2vnG/2jovdkWUNFXuhT12zYQI1fY7wI5J+Ob8KHicA3pNlUSXe1Z1Y1Xe19Kv6w
y/4T4STX/kbSKidUFUGyDOCT+rI8V7O6bhKzPW6KMTxMs/ZubyMtoCGgt6lnsV2djcuOX1Swkq0+
aNajZ8U8oOaxZTZa96oS7tq5L9IHzsHxvVcQptNDbXX6oq6g9sCCW0Ds1j90rUUew+9CcOYGKa6i
FoskcuNzFxbJE4pLlxKa+DthVtnG8msFwJpbvLtkMuM/Kkj2Q6OdA39UE9MTKZrVCXQ1AkIlIkC9
U11NvhUAKOIkvzpplYIvLSU8W3aWfWSDrMqisMlj93wUefxgZr7cOsorZUY65/232/TSLCe52fog
/Nra78mQT5tKr31tU04WSYsK27UVQqTlkvtozTJqbjKjuDwOrc5dPHWjZIMDKV38j1HEUkUH3dVX
10nkfNdORtx90RS92kV6FJ5vhZUTRd2Py5sFPFJ4hmOJVsIUms+4JP29tN26yKu6cKalp2nK6tag
jQ7D8Jr6W7NLyTucX+xqlJd5RWQH9KaVnhh/vgvdxhXXFu2HU8X9wffG7uCq9q9C2mRVNtyqf3SJ
SiVZ/FH/PY0yecbSQ1YLQSMmvA3+X+ey535KUwQ7NJv3oD2mbTjYwaKaEVoNZH9QAE6xKhRXv8sC
F/SWRG3FQKNOMec7y9EMcfZ61aiicskYNeePMk7iTnYBPxBCVkKAyfcLczckts3qsVLe+17bkzkH
jVsNBg6/Znb5bC+n8oceQ+oIo0Cci8Y41EG76ZXuENVm/hmkTs1TUldewsgoV0Ot9PeWaoZbG7bG
nYP0xLJNxgJpOwH8vmk+0tqOXvRCse9zEokzcG8vHucxz7l/kE2yAP1ASLNaoxtIb9YVD3VtLNDc
/VaiFfwc64Lnp64sZc1EzOjZHviROXG7Gllrr2x9YSlh/OQHbfcUD2m0clKv2Sap1T2peR6duAO+
ykZZDL731WG1eJQ1cBz2tjbI3YxU3EJLJnPmyVw7+DXZVCftFkfwaWwbDvymnDXMDPHpIGQTczJX
IZ+s7UZsywQaUBgqPQ/hf5R4pDCOltSAnU3iS28NZV18IPNig1jGC6CkAadMQ3wvI62IMryUTRrf
yyCsua2ea7LNj6JLrSbqYmxYddhmU3BcGKsLYvWLRzs38kfW0iRLZFO2lVXZoOfkCUeRfZam2uyq
o2js52v/eZCvzHKpPpueZOyiZNkbzWfk+u2d7MJJhnNpJmt5G6CpzVLlJnmsNWMR2yyC4yLsTFDB
ibd3U+USVb7CZonAzzOSZd057WvO/9WEpBUPlOdWt8lZQKOo2nqepvMhevWyNAOOyOaHaSJi2MYR
sj9zTRayMZ973Lr9321jhwrfUJPcGyvr3HKgE7KndsCNrMcode6GISgvaJSUS1Ra02//7x4pcwz/
nqPVSjRJ9NzflXHSPNWj8ubxHo/5XKuyNthN/aAtFcWon/R8aJ7i5E0YSfwoLSYaIygZmv1GtoWj
a5+NAU6SXzcPSSQIay6NM3tTlLnTrvvseWQHphK9Nbarb2pXD/d5rFrnlpuB1TveXcVjriJdl8th
cpW1UxAAieq7Aw5zQmxpasTLCHrpWhWdJV7azrP/qN5aZef/Gpvh+9vBvE0n0Rxl4aqQD3jo5qAc
/7HJK7WFeIEr2OMUJJsDPMcUWV0VsuTqamznaNKotXeppU+HqYCOLaHsLQpIPJPs506blN3YtYTq
ZyJ8V0t9CfQz+CRwknCw0HkRdoREYkEMTtwBdtXDs9kr4hxDkCG5iZ/JMfWL9bXRihp7b/nql4CU
Bo56vNe85hbhWlO77RCwWeXupD+XgVHfcfzRLWRVAAe/D+sYkZ5KaZe6/kUTRfsk2yoAC7FSBmdZ
04qxWDrnKeRWfg8Dx7kbYyVeEgCAvMhojaeunPQlckvBp63bG1ZK5peuKaCKCAhZ1qgEr8UsCDZ3
kCPjWZikGiA6yZEsrcPPqTQ32WibX/q+L7ZdvA580N8TEcPV97BE53BsNOXV6vrPyqzii6yp4rVu
G/WFkLr2gcO1U5LkKH+3HieZIvGXsiqyPt0SCmytidN7S8mP35eVlU1E2SvTriDqWiS4htS5MIMB
5tTvqyGFlMFmoN/IBlloRWJd+9kAP+6Ahi1v45OaQxTkj9oaAoQXbOwMFa3BadkZV2N8dltVcMdM
tEdIzf0yLmqHD33yF7VdGeC49GFZOH5+Z7Vl6VwvU6/I7zTHxAVtFxAZlW+tDp0bh1uO1NBAGPjI
UyrXe2Rx2qZ/Et6sGZ4a0bfE85a4HtufadTdG8Co3qeRH4yhl8V948bFrustfIRaKs56VKqrQOPA
Hmb3hxw0OvsCCtEP2+zTRaBm1UvWIbRe2V63qHwUwDkf7CCK8purR6PaNbHVPuOTmLXGiG2XrVUe
+BzyGN9ko5377hMfjGySBXLnr+h3uydZ063aWepOT8TZPDXo4v+cSzaWyuT8e64QwRND19yTMQ+W
c0Xi2U9SYyXdbp3ZJqgbhc0vf90f9W5QnGXaQhyq57V1I2B/TPBgdrAizOdEi+xN2WXxupnX2l1U
gb5VuAN3c1Ud9OmM15pzX2qKVoinIX6QA+VktlnsUfDoeebRjkBQSbZW6t7JuVR9+O9X8l8KP+TR
o/vetfBFYxI6GsThpu3qdiFb3K781Syr1z5qWmt74jz2t8FRwc7Chx+00Ead22hFjNudsNA2I4yV
s8CE++ts8mbsuRpoY4gsE5fX3mlIcK2iRYcJRJ7qaO+mGhBm3LTepvfz8as+wZ76x9yWkHalWbX/
0/yv3nKSbPbp/au3NAdR9N3NYRsPqtPt2DmZ2xga/bMx+t86qxq/AQl5VAAQvRoiMkmuMlUyNyu2
P+00LWQPMIubvnPJ5vSCgoD29oseacNS5wT+xGoS8qqqNPlJ1lvixvuZC+X231haI9uVGz8zvzij
K+O896JC7ajEq23jT91WcHYOdt0qx65zxXrK+/oZsHkPV64evuWVPt94jJ84hrZQhxdt5k7PHYEt
xHaoxHjNn5pZEe7xH3Y01E6NUajPvgMLtjfNX/1DhKJu/W/2uX839/ds+sv55Qf67/631/WZ56/+
8v38u/9/zC/ffzW/f3vM1wMHKM+6a/4I9Lb/1kKBnuIEfRhnQSZdCPDfzHa4DMQ39NO/D5FhH4Dc
diw4TXMHPSjaeI43foXXBoqtUr7YAuZxOdsRLx6/QuRZGr/tGYl2V/vcf3KMbof3pFmkCK7c1UZc
VYskVay7stdtBDw6sZItspANt6q8qmqdIX8151F7aINh2N3so9abeMoC9QlZZ7hMaSzei65+cThV
/QlvN1VseGPt1O8GNGqWAxiWTVK4FWg/CvS0qqOsyitZKD3H5b7R1JBQeCQppGgVU3OSRVy4zSmc
C1n1zMFcgnhpVjdbZbT4sWXdV6Zooxv+tJDj5BDZMBZQZcnprMD72+p7N+lIvVX+S+6Y4bHrbe1q
HyMQJ0NiIaepokjC3sA4dz34lzhJD6XdoqKeEM21dTPUvWG3K0ccveTN2aQiT/rMv8umpyFke+Pm
bLfs8Ql1kOnJQbuAlNIO8cXZRtrNiLArC47QIs3PEvckt41PzeCCwCUsA/KxW5VLf3DIKEjEWbZa
4ZxnRZTYWtOD6akFxDXvhllMNktd1d23KBi/aHAJfybxvQ3J0F9YFvER05wnCFZ/3SasW0RO2EGn
tl8FGW79FuW54AwCat5i6j1SvpC4hp1qB0QGaIDd1LI4yNqAa+Qir8pL3ZXD9VrhGbsyRcJnNhAI
RA4/WUOpT+p5SWbiqcqKId9W3ciSGaDeksPJ4WSStpXBgoL0o3efXp0vh2I04N0WytpX0/AQa/30
WJsRyFnAcrtBNd210wT1xhlQjNUUf3ht4hn42GTBXkTt8Do6kbZgA5ihw0DrVMY8URDAM9JwQKWk
5Inxu0AE8leV/VF0UNwSHj0soDNpUN1LbbdL1iKcmkQat43YRxNnrpJnD/Suy1bRoPNf0u2ZrpkT
S4wLfm0VtXgrlFlDvI7dCwdu1Z1BdAnaUEpHvmQQbJi8WZQN2RGZ44gHWbC4v+iqBsrQh112tYMd
MJTiviZy+yFPSEwJxQR2+58hRlj2+A2Dt5tpAtK5U3Uc2rdpOCdF2IYn43VoDZhymUxtttI8hJAr
gnFO8ST0L6D4S19tvuSm8M8OMM+FNKuxQEHDsN40qJac9zsbJNiJm4pxKK4UMYcrq9m+iitXWbVR
xR4pz4zN1GnpxYn97FqkSJ0gDA0C2yIU5ZwTWblVdXTYzLodL6nfWWTfaPZXEM2bwvDzH3nfvOWV
NrwattqvFRHVRxTe+mPe5OWqF23z3JWpt+KIPNzVWji94l8gjMavSL7otfE1cNqvCrEmpAlSU32T
9U3aPxlZYzyrxE7x551eM5R57oPJfZSdyvkrQ86DtrBDSMsia7eKOsSb0oDfR+7L8KJ37lHhufth
OXAw9YHgnDBEdZKUTLh0Q998lCMpdLmdOA8DZLG7XiMOYCRS+6PE+aa7dvEF8n6y820/3NaN2bzP
R0ayAyq9MHDHrDtUnRBPIixfW/yuWx9fwK6awa+Nq2nPc8TRJq7s8IDoL0mQwKyWiH2Jz0H5WQpl
/E5AKXc/8sUfA9cOd3oR6jun9tSHxoftDXhs+k78EAAt5VvlOwlxN7W4921kq+vORnKWUIcsr6M7
dyZIy8IbJ/VI7E+6GefQipvteuUAmXYavlDXFnPuGGh8xLZuYLR/z8NnYyGEirxaWWTDwZ9sXIt/
X8q6LIRhDAeVNJL/2UltFJVjZ78fDmZUMgsBjAExQqASVILM9FDrzn4Vmg9FNXT3kfsRGTqy6kka
ZEd/9B5lm+025kNQdOquyohJ7UkpiJaxGRjrLrc0zrDmug9ldsmtOQf7RnfXgPFYONu0hPI3FkLb
TRVH0iSz26yDNU586on4bwQsu/a+rkPC/tX+LGsAb9v7wnLwMGexWEubLGaeAloF2hkhE6aStsYT
b6mmNIdrD/NNpP4BD8UES7Qjdysn1gLtmDn+sRT2A6f30SVRXURmAuch1Uv7IUvN5oCmdriQVd8e
xAU1RVx4nTN91Fp/GASRLoobT7tGMYwNiw71nQBE8KfKvh6UBzxP3cNgl/HBMYW78D3/p1HE85Jv
1rA2n6yStUnDudligKD8IuIoWdVeWfP6CUIARAme7JoFi22Tsq6mlXPXBmrNiW3eXbxZrgBE7PjU
tkQJjoaSvvk+ss22DajOsqALkOf9UHh1/ImKn7/oUgNhjx6kWuzUAjGIiNAMu0ufwcWihdVG9kOL
4289DoQfkjaubZqyJhuDwIOdlQn9rmPRu/c7PkZHne8RqtXsjKmPT6R/cyuyhviC1CKPRXYBD+Ms
ZlL6xfSEvJmKewRBtsF2TNgrg/aGfkJMxiE/ahuQbRPY5XdDHfdFNkP4PZOM4XZC4iANxoXVafbL
ZCGPG7YVm2q/IkNaxCu39qs3IpBQhtBz4MO6Xb0VyYK9kP82qlZ+BCWSLGWvxCbnW08cZEfmQSBf
Vk6SgUUVdXc2a6/iN21VSKGWyqsTuCRFungnctE9mb6yVMdjYJ67pAjRrBmyg0BC6ZteZN9N1Yze
VY3wxTBy0JXVLM5dk2QiUNYCdZH61VnK9Qig/bbllIW+UPu6uzhzGpnMpJUZt8RiduDwu0dnTseV
pj72obMknTi4TlI8TeQuHhCZ7hZlFXe7gZi4DfJI6iVuwhB+hXaWNSJlCUyZC8iFzTaGT8wT0jei
dan3YqEUqfUIjkUsxsHyvnZteUEFwvEXPGqtGWjLq57CLCZzpMzCTabnPCl7PVYIjkrQdBWRTWJG
Y59wU+nTyifhinVie7xWy84Tm8YEyORwLM2fIYo2Tqyp6kGNa3S2wIwuEuGVJ1mk8+FNxSc/XI1x
toNeYxxlo5oa0Efwka1LEzGPxCEqpDH86Jzo6cZSQN+PxIHxM86N+6hz9fsg78ozCYZQXf8x1fNV
A2HSG0b77mYfYsVYWnVXbLQw9uFEI9i5u07HHZHYndG8TiUnRnK0PdZV/1OrJ9j6Q5D/SM917zQ/
lNhsF4ZTjk9ONbn8T43+wM7WXfVN/skKwEJFgyPkTs0CTsJIsZPVW8O1yuFV7NbZ6S/7YLTqKoKr
vZLdbkWe48IwsntpMZy0cFbDqLVLYbjZevAOqvC7R1kEDh+tJzp1L6uQyjWIv5B4hrp7VPgWPoK5
zLa+46AuP4+SNmiaZK9rkXuQ/fqGxJd48jbXAXO3XATZpp68cSVH9ZXRPVaV+ookaX6UpsFBa7ar
o7McROxejtpIsCs4oThrPY64UUO5Uq96nLFg+bl7infFT/2NYen+Abey9qhN4F1lj8GuP/FuqU+1
6lT7yqz7jdegFazm0b7OC1NH5EV457Ih3791zSNUEhCuaAmsTGOGVCFNuAIDW+3xWzpvFg+XsLCN
1yDUomNPDNqy8CznTQ9qboVqFbHLzs1X00P+JHWCZZMTMa9pTryvU107Ep8WbqMo6i950xRraKPq
I956a2nUdfRalqEGXyaFS2+NXxUEIb7VXbQvYl3n2eaM29CbPPJKKNqAm7ObjYLdDd54ywOsn4zv
npk4y2Zyp7sy7uyXMLHWQTFhh7+y1Sa4qWamD++ZwCvdgXX18ESgQq5zBDIPH3PCwoJiKC5tMVUP
XtB/yOGFI6xVaoJlF5xex2F6wtms712XUPO2GLqzbtvZOkBt99ksNZMU1iz8qC3Uo+WWp+r3Yddb
P4EcvJhWnL+HeV4u1VoTj9kw+hs5Y8/W4zqjDbf1rKQ94lODlT+Xw2AS2q+FH2bQnUQs2EQxY0ZU
xXeNE6/x26w9o4vAebdCnb9Hb+lHPQ2Mp6AnDKNP7PdeJ5RFgT6wN6BIP6l+wi4SQMFUqBmCXtk1
is7PjPaOO0e7lFF0RLW2yzH79JwyRIDKc5aVVomd71LtuwRYUt+jmoy/hhjqxtiGChLhsnWI2aEF
hGQvZatektRuk1qItp95p7jCWcEs9j+TYM3DX/ssW61BtCtVj2ZYJ5dRMbI5VW14niPMilzsq9oa
X9jrFwdfRMFaBpb92x7OdhmI9m97wXrhv+yyvzIUFSeSqblTk8jfpK4WIEGvRy9BpyvbNoZ/YHtR
/NILpThYAvFL2ZpricK+Y+SJNLe6rkBNfUhOkzYf4jT1pwz3MJQuOfQ9mIJb9Ie0cd7Jcfzv6A9l
MJKDtMkAEdlQm5wL1ASH2jqgYxeFtpMz6RwjK5F4Lx3u7LWwkDwp3hsUr1+rGaCPExDC2dw1+WHG
mzYnqlF6CoyxNc7ySsxXAP0vgzIlB2m62fPMarb971GygQPxX0O9xvxjlAim79VUGzuhadGlTWN7
lZPuszILKOvSJgv//xB2HkuOI1mbfZXfej2wgXKIselZUDPIIBlabGCZlVHQWuPp58CZXZEV3ZZd
CxRcgRkk4HC/9xNQG3Z64eJqBYnnXFddywIX7h88L3PZTXHHX/jXENzBtm7ZOodrP3ktz4M02czE
lV8qFdWzVvYE3qEVdaisOjOvdhVCt4vErQMMN+dPiPkEeW15nevo+RPMorNXqacRdzJa986aNJh2
2lD9cI2PIo+G76LIjCVfQ3omtSxuAgzCNjp2u+dAiwUeabW9VlKXnaXWZc+W2sHOKfV2N8zFTFRI
L8dOdSNbEXPogDIF/XFUw+xZtOm7G/XWCU539mxGbOV5qm6agNtGTfjUelKLNzB8yBsFZnSKFDd9
gDl0lvXCyXMQGpCGJxyV3uy+WI2ulT1j+24eij78OdxLkRgLUVE/GVbyH4f7gFrerCm/DkeE3Tz4
tqsv7dQAjWGE3jJ2ifbExshewGmjl7p9dRE1emqqWrn4CYn01IleWiNwbgjxNHjaFPHLwK51o9o1
aCl+k4WrWPVWHz0c5owqOA0N7uwD+tC7esQiSfHHbtUEhXieQuvPIsGdokzuoCazxJ5JGPA1FpGV
nxzDHI7SaVf68c5V3O/YcYh/WfT+VVWVeBb2aeQBYa3afZWU9xHq1OoWTkDzSxHvmHaPVdR92ar5
KYgrGIaem64M00QBcT6kafueIJeyH7sS48CxidKzhuL4MrLtdiOLsp86N6SjThKxMrLrBaqhWrlG
AgqvM8bHwSOKEBn1Kw6EJRnyUaxAI80BBQS30eRObgdeas+iSRaxiJtX07DUG29wlKUc5ft6u0wF
NtGyVX0dkfd7JdASHtMEJzU43g2r9yhdjbVX3NShaq0IawabLuENjsZAZ8FjZAdmm9fTHKHuGkDu
EfwQUZKO7H8c1OnemGVyVqy9nUXTV7zf0ShbEn2MnpwmBpmFV+pHWoPU86wfETAEwsb29GBk2NAO
g+kfTAGfDamIcK3YcO5FleNXNBFuJpuOPqL43jMLkxr0kbbENmE7eIW9h7ttnerQLVfumOivlS7O
8oPMMNjFcCGxhuNFWqgTUIPci87yzKrLH4oS2CQC/1ZfVo2LgT3u4imhz92gsOHsVNEdO6vuj/Ks
zaKfZ3YvlIMaAhWnw2f1l664o/fX1rabdVWsgsBkTNosboN052JldU2b9fxAt6UevcrGYoaL5OFi
TJzkUSa/bMX8xlIpu5VN+AdkKx1/i61sZAmSXK9Vhq5ykw6kk4NY9y+Y2IkVRk1Am0LY7LLOm8+I
u68VVSddjEvhtb709HrXkb1dyB6fA5IQaSnXHkpQmv+6SJjyT3FCRH7mj5H1clTcOebKjbEjlw2/
XJ0PNM9hpBZ3bCXapzpzbsOxAwkylxwtfVLU0D3Jkl3nP7x01uQY0+7JxtEdr8liOoq5WIBnXpSm
0wOdYKSKaM1S993upq2n7inugnGZ4pO3l2OJeGMtGZnTTo4dVCbssQ/M7fXfoKEw4nW4JsixDkmu
TWuoyUa29rEngD7O/nolFpxVamGh2PXFs2dFu0nV7XfLVKxVAvgB8lBQPMIfvFzrUeVYxeznj+qQ
NfeOqX+T9fI64Vijzuk208XK4F53zeS8D62pMds21TkIY/dk6cIiDKGhIdikw6oesJUsnaC/wMLs
L8pMz694TU6qC+Tsr3qhi2BF4lKwQqOHbPCFhllFhgLLXOUXquIi7DqeM8xKDrIuNeNowYwpVuW+
iQB/a6zi16Wrj/uYxOZjn093TdXjE9QQCxztunu0bMiIOAQc+7l0rQpQM6nQnJWlCL4aXuZJf5DF
0YuytZ8E48aLwSA6bWttMsncUQOvXRTzKebxG7PqgnkJQ107s3s0cL3FqokCQDgzDleb4m3qTjdZ
YStvDVOqSFmRs7XeITLK3QUi8q1J3R0mavkTL4n6gELs7LBLPRpBf4y43qjag+izPFiNl6AstUPI
MvtgwJNxWiLkOpP2QvRDdZ8pmbsLxmjYDlEyPqb68Aehf+uPyGIeQS/hJS/MZOOAvLghmB5ekMBF
TsaKrT+c7N5Sh/Z7o2Pxa3tWcnI1QAF1DepVsVPzgDZCvfBY9zDNUZQHL+7NwxyYAe4/V/5y6spa
oy3TDflhNB/n9kZo8dKdt5os75cYEnhH4tems+ptNVyFimKv2rSxTzh4t+x5Ip6WoCh3nWHY4Gto
8EUNYLQTAyRFJuudrCSj5VybRRBANnGtbjGg1LVqNfROVMOa7vHOFdvZWAoLr7FJmY2HD8xdKmwa
ouned9lwIrJykiU5gOyhuhrmraqqFG3KwrZdlkldXWQXj3fYfso1a2GgBnwv5oOvI77hZ7G7l0Wj
85NToO5gPF+g3BPWr54F6gv+AuL8vco/+S3w4xi7pDB/UOGurNUUi4ECVZa97U3Bnt2Sf0rcED8k
Yi8PgV8qCx785r0rk59X1MmB/OuKNbpZW3fK1DVWofrO1GI0LarKe0WI+aOyjOoSwCTA7tF9ltWj
oRJeSSd368y9CtvYCj3UHtltT5i+64LfmvoOfdzVAJb7Bmeq+jVLV/L/YXLsB8tgywudzs4LuNjJ
8GsRd0tlQRLKWqbjhNFSb1bHSIFwuhnn0262ApKHWittvEPoUyCA0ixk5WcfA+XerShSdRlmhB2l
M7Cmj7usIVEV8UwuBBjNp9FOdPJAEzxgP/fXfdU4z40130H5C8Zi7snvwz+vJUCbu5rV3iow2/xl
LNOGqdXL9r6nhCvH87qNUoK71l2cutKON5XXd1tu2fw1Q/SknQO3JhSYVVzE2H8iRHsnfDteYG02
fWtBkvIGS5M7PY4T0qc+bMW/pBrlmRRcvKoyXlvYaLPK9Taf/bqoT5ehlRrLDG++vs36yzgfktIh
ju4XH22KBogsyXrDD2GRliNrUfSXr93cpCrPhXiVvT6rm5EFjtDzdPfZUBYEsCIbAKO8mvy8Wu00
8K5GFn8ren9tMjWcknrA56odw/sMLM9St0ChjhUAhj7Iy3dNa54xvQw/MoNsqN4y67raNmu1gi2g
6d/oTo2plCI+jDEwXt1yDIjgpMOj3sfDKitK89IhAbPR66i+bXUYJXpvzoTOvlt94uW7YGiXTuFC
0SNhRoalD+pb2VzDB8UZpv+o2SBuS8LBSPHkMTZx+d3UWvjoaMC4MqUg9h7rmL9hNMmvHTY3LXi8
V5h5sntEnGUfd3WwrOo+3zFLIbtYR+YqmCdceWiaqAiu5VhUWbUwapjk//if//3//u8fw//xP/IL
oRQ/z/4na9NLHmZN/c9/WM4//qe4Vu9//PMfpq2x2iQ/7Bqqq9tCM1Xa//h2HwI6/Oc/tP/lsDLu
PRxtvycaq5shY36SB+Egragr9d7Pq+FWEYbZr7RcG261PDrVbtbsP/vKerXQn7hRid07Hr+LKFWI
Z4P9iCdKsiOBnKxksdWEfqgw3+ErpxVkgnc2vOgoS33t2Y/Q3sEbXVsNVpZIXp5lQ64PUKvKHF0z
B6Eus0vWbWMUr74TOntnSpqVLKI1mC0rJ42Og1kUr+0KRHX6Ghskg5JJS5aykxp33colFLo3s/Ap
c7LT1AzVRTO9Yuf6ebfQjBz6uKzMSge6WuAdZYmQanWpNGVcZ7Ubr5wyrS653X37/e8iv/evv4uD
zKfjmJru2Lb+999lLFBDITTbfG9QzgFTl98VY9Xd9Ur+JE3hjQxMUTYJayMt5qNOfZa92E0kbKbZ
Efha9lHMnBl5EJ3W4ukTfwDNq+74yamP4vbmr15ijpT8VaX6lokqr9ouCz8anhN0KyaPdIEsgQ2G
jBI+B03S3meTA5mXPr7i1adImERFLr//Miz7325SW3N03TUcTdccQ51v4l9uUh3Q49SxVfw+VXWz
0cw23ZisDfeEMZOnqM/Pjhmp3zInJcHSipB4dhCdAzdRFrKhcMwntHW9B+jG0U2XuuM6Hkps9qrm
AfNRLCunJLjvmijZX4vBnDqQ+QOVgOy2VSKMZ4KkhYP5V4vMMYzoucc9VmWfGQd5piuGffs5Vo76
vOgvnRkvP1f2+Kz3BuCsSAdyvwPlOBTZ6B9smOb5tRwY2FjybW1lqzV3+eyHQF5wHeHKEZ/NSZRm
1hLTef+/zCK6Pk8Tf79dXcPWDKHb8+bZMay//0K1qtXomUPu7pSw3PSp6uIehP6P40KoJMzAvhRr
tFPkVd2xaFxI+l3evNq1Hh6MpMvuQhFld1qC+2fSu+Ze1l0PHcwPPygwJJ37yTrEbVNiF127lcV2
tLK7vtAdgqhJsxnlh3teQVI3L7s1lBAPGQxoyrFpZM1iqBR0mY2Y0xJEPSFSp17GtlYc3aSAB/PL
aYPg8C6avIun1qDdo4xvvE/EjmfTOk5DGW+H3gjPeZToa2Cj/V3EE7HCiDF+9DtCVOzSvWel6KGY
DZPylgTBd0UFfK7ozhG96ekRLtZ9ZWrNbgIYRZizjS86sc6LPIMr84MLoMz4V1XeIHIYNemz6U6D
cx1QlD7MzBRc6Of4poNW6BGGCxWexnwWfJusvIy/EVaBmGwjsuSrpb00RY/Pry6g/c5nsT0h1S5P
6yl0r5WyCNDcvGn+FDG5X38JVjuew4HJ2m0CIMzy4Mc70xmVPcnNGAVrpTaWmhNgAQCJ/ogEvndM
lKY7EG+GAE9J1lt+xRr6l1NAzWvU2Kebzz65y6JtJcuWbn2PTL/eenmzD9UieArUtlgJYu/HfDKd
k0t+eGnMwe42nQ0lE/HKKybfkD009xhykx/1WvKVlTVeYfoSmT94PhZ9DlTOGcg/di5x1hq4kWwE
fBud+wq+v/CmYmlW6bgY1Qj7q7mz0bikWbPwHYx3c5zcXj2Blvx5yDIMaNjr2lv2qZO+qLtUPUUa
sDxk2zeyn6V9qGMTnO0mdm7HDGv2wbOCd7eH9RGPgu1GV4uLPaDj5uZG+F51OcQjz0nAx5jKA2mm
k9l53hMxmW7hRjfkiMaT4lWqv+7wjiStCYzMLYuzocAbQJIW6+x0Kg+yLgPLidalVpyJVDz1BdoR
FTtQf80Wj8AO2M7diEixvy4EizYlAxchx8kh8swNIog0CX/N57UmB0H4hIdlnQQJX2wEtmxtTl6w
slkur7VG582NavwJlkN+EF5lnWtbt85jBJru928O0/g6LxmGrmqmq6mGqcHgNv8+Lw2VlzZ+b4tv
g+etjdlHQZsPRN5atv2cCcTtPLBp/6osnSFYVaTHf6mTvVvQYYc4V0zURubRsizPggFZeXVKST5N
BtKCTbsh+p2whbTiUxUw7clDN2QRfhnyHFkFVUWIh16y7FcurCK/O8gxsv7aBQjRE3pWPoo6taYu
cpHBZzMwuv799ySXE3+bvw3LNlxHWI6r6aYjl4m/vGFFGeFurFjFN8WMsqVNVGiblwXeogCZ3jqB
gh26ds+547QH4snoF8z1ToRSolqI6ZxMinfxhfmjL6wRn1r2Lywn6huhD+pLVBYLWR94RrgjGlps
ZFHLsAgFwfFI1M44msFQXS9bagUL8kZNT5MI0k2iaz3GC0m40R3fYe6N7ZceeaN4BsV+qU/9pVm0
+bs/xs66xxhon6C7+BKq+RVgHKFVeq3Hzbx9SYgnS6Dvl/4Z9RIw7IZKhI7DIayc/GHOS66KLDQ3
sqiMTX6GlbqLiXcVCC/rMLyDLt9HbV48YJBNhqWpP8ZR0da//7Wcf1sP8a61SYQJfi+hk8b4+11d
lbXhkMUMvnVBixO0lr9MVu3dRWlpn/q86heNaPu3oQ3AD/iuBVvZ0Z7QyNlgid2/iW5Itk6rh1th
ps26DkC6GOBLDtp8cMisHWRRnsm6QOjkamz7JtLj7MJ6B0kXlcemxAv5glggdrEDk0tfqsXR08b+
WGCW8dSM4hxU0XRGlCh/cnXxQb6juZWlYA5SNkVQH2QxbcN+Wbl2v6/mkaXPVs2fDHsrW0Nw42sj
reqN7+rpTTBDzsBAtsdu5hNZs3Z8u2zqvj6C2gNqKWtk22evsteREXfYLWQ1SlNt1P9g0rfm/F6q
W+THiG3e8x4rdnFUE0xJVEIYsUpXI+7mrnXj72wPcmbtjvatjZTbtBBmbt/mlXmqcjHuy7lBtsp6
rbHs//LDyx/218dUJ0YpNNU2VJPNmvZ1IdwjRd31rm+8j7pfrXKrAFErlP56iLnhUSNxn/MqsjZs
KaJbq3Ssu3RCeNdGYFGWyIMnZ9GZwEHZAs+mUt0698xwkdXgasYeKTN5QCsqOzk2c7/fmAqLUTzH
HVSnCLUMp44l8f73N/W/TdW6MFRuZ0OFCWsYhvZlCRmbonQMLdLebc17qSE13zbMMr8chh51PviO
Ggu5yV6kiEvfghrpV2bmuZcy1fNNzPYeIyU0SEWWezelE1o3KhCaXZdM063XDdWmwJr5Av2sX/TG
2ByKUCMWbxb1DtA1KKFkWjte6u1N8Hs38qxQIwi+c13219l/av2s++xHYi3+L6+0f3v4deFauqOZ
jiHcefP+5ZXGAm5izz5W71GafmTZmfC8dztEkXUKZyyPxOcIPY1XKB6J1WedPItbRz9qGGxdB5Ro
1CzkaTTNIGKjHDfyArKzbEDJZo5+eIeRpPX4E+rdoTBQBmOA1orT317h3/JUHepZqmlM1j0xUHAH
EEZ1AD1ww/T6bEsdk7nODlvt9toF1Ne1aMxdfDRXFmjNjsjA1tmlqtNH3RHmjTQbwok4u/iqaHYC
EV0IWBTlQfbN0/jaNwXv7yxEGbQ7Xxk2faTX0H2dVlu0Q3kLUt55D9QEe3oHMB4REptNrHg1G999
t3q7WcJcQF1E651LlSDGqs8NiA0RDs6D7Ayyxj8Xk4fo5tyQjazxGm/EDFwE+W07qHN4iIZoKl5M
AJG/f0xs+Rz8bQ6wWNO4AFtt2wGEaHyNDCBZmWho2b5bA8jxsg4JfuEusI6U3n4uTa9fibq2dsFc
VHow3KrRZLeylVc37r1EhcdCiMeMJaasHi2wU7zcvqMGaj+3GvgPJzfVpWx0dWxYPB4VDnOrk98F
ff+IO1F5EqWwb4Uf6ssWZeXvwNxhVBnj61QXoP5wTdlnoV88Vkr1Ijt0SlYvrHZs7pB7jA+BPyXr
xBuUb024kB1yPXNXhRuMB6/IXHziPV7986Xx03tkH2A9sooxdoOh4EYmiZdOahH283t+X2SOtqoW
1XfjfID+87OuyszqTh6QSvm1Tnb+HKtEXX3t91mnRyglsab427W+Xr+0QQWxndTJnj/YtnoK4IS8
JQb2QnE5ZPu8VuzXPkI3vrbfugYOXdKpFWpNnvVml9iBQ1lkAd+BK8FgBJEz6qFXQk2oM+vSZQOa
1wnUUNct911B4g+hkITHxPCxi4buH0Gfq8b+wMKjD57dvHlwdLAvel4/uxAEbiezcR6Asxnr3kXc
LcSN+GH0qw6bO3yPIqQrlixcQJgP7Vn2HSYcvJJK8WCt0tfXSIZV+ZQsZOv1kDdL042mu4SN41EM
mrHV/xJKkXonX+RPPkVWMNKetlgxXz6r5IAv478Uv1yuhdG3KoVuLeRYKbPyeb0Uy7EbtcDSKLeb
ddfnxkUUWkOCg4815rNhrpOtauHq17Pf98vRDN+4Kjk2b8a4WxLuLk/93HsyWsu8NhCb1o6uRMjL
VmfuLc+KwQecQr+YHNFkQIKYWIuBolajO3nIvQYxAy9MlzOa5lrXCHPa29kMF577tfNBbVr4LbF+
/hwa2a1y0qd22Uejvkbd6Ml03PHOVqd6qfVdvZVFeRgyrV30nZPuu6aY7mSdlgIPViA9yZKsL0Z3
nzvFePtZ1YoI/fw2umSGaC4i+/A0UsV1gqMRodbxFVuvD/KN/sVVNPN+0IJTM9rDqygtAzQN6k04
pPzaq4+ZaaBWnsa0AJcPY3AZjUZaLhP/5CFtdu+qyvBQ+xHRBlKGW7+bhge9HI3jzD903C4riU/i
AQXOBaQgfbtccSCj8HLS4geddwS6/OMd2+XiQR3Sdm1pvb6WxdGNw7tsLJeydO0xltrS9HVlC2OZ
EKNPLAFhL7vaGJ5pHEK9Y/XXZztsIu2dMK2+3ssGeUh6YJ8bVxizllVfLWRv2dLY6m2QFOW95iKe
XTaiv41tRzt5LYAkQKTl9wQBshRZx5c8TbNthp7iTqh58YT1153s8B7qvn0T2LUSokYHr8NtzNvB
cQZiT+NwhgKbniADLK49NFYyByU2j589ZDe/yHBRsxqQyabqsFiuHKIIAdbkgxjm7yypDpqPiHyQ
UkyshiVP1htr1BpKlDUJ6NiDl343ENApY2v4gVERwGIsNe+7yUceJ22snRepI3OvY1+7JDxzrmX/
YZFUluyKS5al4573cYpixUsL0wuTvgEBwDr/eXDn4mddkZr8jDPRcgPCzV0E5HJfsepbSuWAtLLR
3VMBYkZlbp8DldeyVAyYxuTeTkv9WPR8y1PRo/iMauP75MyUJU0ZTqlKSM/ETEQ32aSC/F4WjVa+
wxsCfRS4OVyatn2DmmslWfk+AfLfevVUbGUx0W+KwQMeNozlbhrNeiMHIwm5zOG5vfSKgryTF49r
WR/U4a6JNPFUTGp3k/SmWMnLaJV9UhPChV7WIx3QojuZCMuELegNbyY2xovSlgZF03iHkfu7rNd8
sNvgu6WxwfAaD4dg7q43irpzMexby16FKs5mbZHyBQF9a1iFgmJnP7yNokECoFzE+K0t+9gRT5ba
2ouhqafXxq9j3J7C8ZuIfHjrlf7DiLIdaRIfEKbyZw43MiKgcy7ZsQcL0tybPk+rj9hP75ShM+4m
P8xgTIvhkgGbX0KY8DZxrM/avkrr7Ua9yVnrDUG99qJkUaGfeHaFknkLQ4MhWPGVbuLMRyU/etMD
1WWHVVbKrddryu1gowMW6+VBVn3WyzO193r+KBacXxrMwFDWEx+2rQYLh64pPjtJiGyPqXhPY2Yk
IJpd5eLmhX/HDsdZGFA4yMRSZ/l9dhJ6cEeK8hipRn8wBs08q40vzviFxLMs21pWyUMK0AablqG9
IRVJBLtlyeCqWvDUxwBugb7EoEja8AmlDvscdyXzFY2WFw8PvvGRl2H4VKh6tXLGFM8jd2huh/lQ
6BHyDlm1U72suVUdm8N8Jhtlt9I0iqWAxLeWdV/6lcmA7aX1CGlHO1a6Oh16Ny0x0Kmjx2kgDe4D
vvgI8c1oTO+jE0G48JCeIt/qT2sfxNh1EAS+chMl2kIAlT7YOsKxGoy0DsFKo9spZnO5FlGVN49j
jTrMwl6b8O2emgwDg6rgMYlEWj2VEAXXGIMFW8e3yqfMQM6SWd3GLYaiXpoYiTo5opdzMbRtexeg
Jb2URaftyhsWmNG1iKKie4CXCP5o7pxOlnqrF/6PRH/04kn9BhT8jwiI5ttQl97Cr4T9mFR6vcod
K7iD/Zdvon5QbwelHAjyj+pNMvIjJVaBxAp+PktL1dsLDNt4p/Lf3tLG5gQpT6z8atTYZHc/NC3o
/+TRUKok+TNiZbeIsUZ4LsMxWFcFEOE/nUxPV7GV8ASokeUe+1LfYbPIA1CY1nNWZsZN4Y3jZS6V
TcE35QfZEyjgZKFoxoSIqZo+2b4JJNpXqhvZ6moZmovo2gOJp1Xvhh6VO3fayCJZ42jbE9BbT2OW
PqFHZS7SVomPbl4HZ13X/mQy7F7CIM13BTybtYUw5Yufuxphv0JFlYVWtwuOetDk903GDCJ8hG3m
ars0qwNsZjmhdi8NerfrYqjVrWzlZkHlPqkS8Flcsu9XFTClZxMZvbPdm798LqTAdC3HGO2w0bFn
tNSuvsdxLAeaXGLZFVvhyUdqceVUaf2CXPoLzCTuz6hfkvF2vzuTB1BrHiTgnmyHQGAVPg8KHJBa
BrbGL1OQXAdZTr90qsL57vcpAhV2VN/78yelevDrJwGCq1+yyn+xFF/5SMvul0+C1bubFGvBXCpA
ic7JeJmil4cqbTb/ZZM3xzpymay/ZuVJo+mmahE4A4D073GeNvOKQFHhU9hRYCD82cYHvcr051SP
3iY/qs8I/+nPgRGDYK2rx6Fk6dOP3kp2gouNrTFQ6+uQoBlvIhNUkSzOgMktKnQGPxyXcAalX6FN
YuzkFZGIBGVRxCTp5tYxjM4xFjQXjV35DdGf8JTnXrYLEnwWWK0h/CGm8Oi7Sb4IIraUeTjALk0H
nLES61H28IcXNN+6B9keYDvCZzcnWQo1XkXpqCY3oxs8O7VrIZhisBtXra1XGcoMJHSOcEuhB83F
WsmiXRxHEXgjim5SDshruvZOFs3GghlaNPohcMYHJuJn3bGyezvusvuYLQdITDIZXcGzsPQjHt4w
Sw+yFcRIe/v7X1AzvmYe5kyo66qCWI0FS0h8CWdFNrNJWTs9O7xh3BIgnAyytxMTo5cijtVgph3d
tkI1D1aVcVPxt0K080g0W6O4eNl3XXWi+6LK4/sSE+u9E4uGNGIEsdxFS1RFmHhbq6GyHvOie1U7
XsxtajRnv3ZQWymmfaLo3evU9dNuEsA4A8ThXksD5Y2JENjJMnHIAR9+HQ49pNk7NY9OP1+taGHI
uo5V3vbYkzyPwLPl8LqY8puCLDoGXHQrZzhFZqbVMQV9+uL8/EzXreOD42bmUvbyBYJ+GrPjQV4D
TSSSmuNKcaJhORAJvOgozF0KzBd8prfTZ5UrwMQYA6Jtsk4ePKx4NibqutehyDlrR7O0XlRMdI8+
/oq73EjRe5vPPuv+09nv+9mR+/N67l9nX64Sh67YAp0m16re1Z3ibaMgDJds0KZ5lzbdaWmQbETb
5avPOl9rp1XXasZaDpMNnamXSzO1u+1nnS0cBNNGvdyIfvoBDhx5zFoTPHm+uhcGYaxJ9ChV16Fz
j/57vrSyoH3TO/EIfiwAhKOsqYDApDrlySi7+v339/e/JfwNgz0CaTULFjphW9n+S8Ios9jkhHoT
vCFUE8Y3lr2rjewRglfzYTntVoy19q76jlgGum2cSzT191UwWVvI/vkxR/1+kQMcXICw4iafDwqy
/isrBgkqi3rdnH7/Tza+Zk0M2xW2QXDTMhzTMcWXwJmlqX4YkJV6n8ZhFblTDUSEg5kUeD7bdrNj
mxwvetX7WacONhbf+Nkt9NTs3uysPkDtA26uQbEijQB5Kk37Nx+8/iIVqXrboxn2oIzp2UrV/q2o
+IF0LGV2abCCNl34mX47NhWhzcHEXztPeMlbrqNhm0iLPJMH2RGkQo9vVZj/F6iG4XyZmPjDHdtC
RNmyTbKi5Bn/njyCRQ8SI5vtBywmTJGU+ZH8jD8beXNqz4dU9/OjV8A5J4C9/1Ivi7LHZ19Zl4gc
rdbExOtvvsiXfp/Fz7G5C3EHVlOEJqzZ3xuImx8C4b5BHCAGUpsjBg22LzaOWdM6d4EJuhxgzl9k
FWitYc9MOqFNS6O8SK9i41Q7oblDjm64V4uyR0zjIqKcSyod96Zftai2zAPkRRSvDBbAJ/yDvAgM
s/EUYx0nG0Xdxmuv6E2ZKDkkxAhZcgJjiOeDPGtqM18gs9yuvzRkKVrtC9nR4lFZ6hpCslVb2Mjp
xdMyMMLu0U6s8cQXct+mHepe86Ec3mBMxQ/XdovQKIvk+ijbALHoWdYc8wTPG6ts0HL1Aw3PBkM9
Jlr580zWyUM8t37pLOtka92Y9l74qNP0k18cVLcl+DAmd0IrCuLi/zrIxslB8H6Tm2NxkOXPZjVC
0pikwUCS1sVvV5mUjTG/ebX5oIJfibQ2PTnzexgYTXw7Ndm5v76GAclvMGttwSnMrbObDxKcGZlE
UBXyIl2Zqnei3cg22StMp2qP6urIQmV+l/+nT9W6cR965s9PjdJBXTqDALKRThMKuhg0JkjuvdUg
fmClFe4Z4qZzlsVeH5U3vSeKbyDAcOwGPTunWfMNf2HjhKq8eZJnlmeyA8QlwyoLk23iBAhHNkTs
87GRqMu1LH4e5IgKXdfPKpXkw6LVYmRSml65BQiEGJueOZtAtZRbWfd5CCw/WPpFmNwQPY4PaHjh
ADifyUOteGO+kKfkqpIN2qjnqA2SY+RnKGA5RbZ2+BlWVVRU6xSZDVQl0IMmyDVAfGv/9Msc/Yy+
yx7qhrh1P+rq+lqs2/bOxTZIN0wvX4qsIvRSFh1+dHQO3L49ZdF0JPiT3Prk8JA9Fc7Ca0zjZRh0
a92KetrKYo454MKcxvhcBrX/XLFi0dzEfEmmsYOw/LdRVndJIcmw3Gwi4gJ6/Z2n+WYE3PfiWXm1
zXu2P3keFChahveyA0pv48IOPOsyhG53EEWOhPDgFt9Bg84XcArFWWUApw4IC+mXdjSnhWwAKnZH
pKR56jy/QF3m/3N2ZsttY1u2/ZWKfMcpdBtNxD0VcQGCraheluwXhC3L6PseX38HIGfKlrOcdeuF
gY4gRZHA3mvNOSZA2SRHvR5Z6nE9QFQwqSWKLr1FnmrpJpmv9/eDzaTVh9HGzLneLiacz+MGcCIi
qwQDG0Nmbe9Hqv5Bb5BmLbtjK0HNbTBfyYba8KxQjMdFXIzvC/ScFEqnaiXOjfImN4FnrcaMoEwO
YVNm+HLt9jQWwXfDhjr2X+knlDdkoE2XdVXRnkKC+bHRZ0+JWukK3sJ0O9nUlUo0pPskV8dbFcri
TadfrPvWLbVilqiTQsNdV6ld3Oi6bhzJVAwPTaRp20RWiqcpb7brZ2GMXe+G7dxcZmlFC28S4vXj
BcS8yfMi/6ho/KhJ5ZEPYzhWd4LAp/WZuZKAQCsFnoQGoZKkB7Znj1P4Ca/G6z9C9YHsDRaMTo2s
jis5rXLXqAEjSD3Iy1yHbdpU+OQwt1b268K0LpAk9Lrw165J/t8c8+tLcJ686eplWPD2ElKgin+4
Lau/3pVJptJkRK66qRn2+7uyEEFrZ0Y3Puj6bF0laXdFfEf1UenIx+xhtOzW1Rxsh1GrFMxqOoPu
0FGCnIaNXwRSn/DxmKWbA8TDJCjFSOL/XJJ002aUMcW7del1b2X8Q2sSTMnP09ZlZEVb0jAJyEVC
pL2f8zB3aKoSDfW9Xg+AN6HuyrWm7E0dGOe69LbN/ptt63F2cUVqqDNJGV0pmDHpIaI4feznispj
avvHXi0PUz7H2k4ZfXM7ddx5XtdJp9nCM4aJMqYf+65NN1pTm8fKBigqmrvYlFJGZUZ+iMIo4/LM
ajz1X0lfVK6xMmmY/qKv61FUADJPs0gyW1dr/95E0vJYIqvc9o1VG5fpmFew5qLyUe0YfzRhS/7j
shqVxSbQ/Po+yGb9ht8fY75FoDOZJC8VNombITM9K/HTXQjJ6Wqgy3th+uN2XZuSzr5al+rOkqGM
kaeXmOCnnXWjZGQfIWj5h7eD1+dTpdrKy1Nfj12fm3bcjdeN/UjqeBRouGQ1xd8FkVwxVhnKR0rA
JkqAMj2uf0ls27d0LnWKt1H/0Lc5FV7+IoO8AhdP+QhxKzfFxzKLPofxnD1Hc/xRrwudYf/o8wW1
UIASDnm/HBBxn3iIRMWlbrCRzC3DpdfFdQylTgn/WWXqGlfXeBNvA6ta6UrffRtKQSglcwF33G7u
9GxrRXN1YDxu3dMmvtG0SPtcCj+BmBhol5oWlpdB1XATWnZ04XxZ8sN6sOU8OJhR3W+rgQtOEz+v
+2k9h96cEkmvt/KSzeAPnsbw/zJNGVcMil1+Vu34EZdXD9ZPFUcaudJm3c6n7sbEAz8tLNXd0JnN
zixt6SkEXrMekJIf5amDVh/hq8f3eUSBZjmhHOi1a02zdcY9rF01ZU9LZtnR+TR8IVlJN6rf+Kc5
y6qNkQn7Oh5wuMAl/dDURQO+rAweBHODMlCmx940y4up1uEnTfn0iM0j2raRlqPIZ29UAlaViH66
XPfWeJ5MPX+EsjRe1sQmMCXhqCSa590USMCQumh+bOMucWXib07rk0w78DrQbfdSM0jXZk6S7PrC
+F4Oph32m/VJhC6mm9a3jANIs+Zcx7BZ5mlG2NEss6Yo1h7eVsmJ+r5alX59orT04+q6N6opOazP
bZd0pagKKOlm9B5tnca/CP1jFPTi+yK3vn7Jp678o4KNW/J+2bc+Q/KFpyWGjCbkkOS+L56qsalB
dgCcQ6hKyT6hQdOrxiEtFjSdX8rkSpnxqZx8cZfM1u3r9tQ2qLqhJLba0b9hNP2ybm8YkrhZAxAA
01J6nbVl64SL1ESaiGvJQku/MuZquEQnSx5EDFa37xDWAOf1zLw1j6+L5NWYx3XdpxmzI3YTRg43
WWA4+jmfwFg2FVE9r9uqyjhH8iwdfxDXLNsC5WZC0u5zsWD4isqtj6Mv9RDcmrEfvfRDtSOpuAid
MvuSERAeO2V3xcxYhE6RxBAtgvmlmfwro7aGL6TvfJ3rQvmozvoIFQzA3UjZ24ESD2bXN02Qgikz
CAxsNvch2Yen2VsUuZbF9aB1qdFasqIsK3PXbVKNZcaRQs6RreeggxDt4Hd+W3e/Pc8aiB4Lw7nw
ej8bHRvMOV7TJPAko9IvmePKuFkV5ZDbcXdGowUmToTNnRQyVrbmuv8EKe7KD1ArOtImyPv+1d0U
Laam1dm0upiCIFNO4YzyZ/E/tRPRFIaWFU5fjyYCNB4o9mETKcmss4OYgQhmVpXTX0NQ649B2Dwp
Sz7b+mAvTuIuyM4ExEunddN6qBEChfThnG7ejjVDkgcVEe7TuBYbVZ2CKzVrZ9KrjIlkulQ/t7Hc
e6pd5PfkYql4b7XgizYigWkYQzt9Um4SsD7PxZgsBD5Ff7Aj4IfrmepA+X6mYglo1QxJ3RlSLc6U
tgoRhWdrWUkZhp6zYU4Buw1VtG1MaclFYI+Z6jE+RPI5XZSQVE3ids9CdjEuS7FSZRdBWbf7ggTC
16Xwr23v9hZBM3gyVn7UAfLRpjaK+2ZZDA1ZPkqCh3V1fRCalRve60GQDYVK0AaHWomhuIVSRtc9
6M3U0tJHJD/q0dK7ZqMaWJ3hZUAGC6kOYFfLrq1UI4d12QEPrdwMdmcdqyC0P9Rp56aGPpKRgkUi
H/ppu66i+zqQJCfuyfaJaRdjAEuhb3fkufJRM/ouosb/RGh75GbFAiiTtHqbp1F+AZYXLTPY3V01
B/2NYs+TG4a41+WU5oO2VJiCpdbUDpF+sPL68W3TumRVg76JljRDmcAfJcmsCxLJLSb9+OYgzQlX
XVbXbevDXDJycfAcEhFpAeeDGHRTUwBzFfphgHRLUArr+rysj02Aimld5y7+53qQ1Y+6nMP8yuUn
Gf1wVsv5NyaIQDtzwXwJoUGY6MYtWmFjG1pldDLMLDh31tJwktr6oSty6BeQfV+6L2maFN9yFQ1p
XavWg8RlD+FA2p6DoVaPhZklu7TqqltmnSA+sir90hO4uT5L6curYOJqhXDPd7m07n5f+VPFz/Yk
uoS6baoyZWFbCE3m6/RzzYsaZdhbcuk/i2LBH8xacMqo9eGB+aY2QfMlS2bvSXRgrmMC1t0kOk8q
0XhKg61YEkp01anjgSQkIv8qX2NEVlxGcd0cOnujmWW0y8oivA3z2zRprwot0I+yJLQj1QICXYoy
daO+QwGjY8pg1qRvCnmC+jWmMpcOToeDFsbntntUdEnftBP8Nup27Q77CeVkrcZS04bEWihHYxHf
mDLuKYDST6oCXCvXnuIXlLPa9Vw8EEZno/SBYKzS3yQ5ysovZMVXdlndPUj2TFBRQAMTr73Y003N
XIyV0smM7yh6QPVWh+ZKTCRx+T12pAiK9EmSTVruEFKdnJzWbYYydTP45FNZYer6Qim2WN3k7eCn
2nYWz52u5oeeUotnUh93BSDTLRXw0TXrkrG36A7+HKV7vLhoZWZ0Q4koHBC9GDrJUJMi3nJT0ONJ
BAznrHJGOZrvBqDRsUR64xRyz8feC1NETUwPHZPkIbwrt5NmqU4SDrTuk7bayADZSH6AJSMN6uek
ANnXG3nl5YGfO5JUZZssUMvbGDUgkgL1DMRaPbd4wRIl6khkCF0IN+MRwbF9IsEQ8HmDkYyeYXiX
YJp001Gl5EiuGyLEqj7A4dvAw6SZH7eHGY49sIbSMUYqBvHcPWdypV0gn/kShNrODBkzGVUR547f
T9WRanjQBtlFpukfxtjQjkErm5tEgO9l1BK4sWK3ZEcaDT2We2Z12QVm/uyi4iI9hUBfOxwZdeyX
d6Fe3gvRZkcR0ar29RPl6yuwWMYT195DaBHuTu64FebnQjPix1pKd4o5DIRaRY1b0I680RHT9bXu
pKGJ+qEMCYAjQQ+nbOz0fd+eO+M4I4PwFprnllDfc5da8zksEKhIJl1xLGwXpU/KrIxzbWuOujiW
VfyhyPzh7E8UZROYGZZS+/tuUm8s5qMOl2TrALYUKLQ63ilx3V2uD6oJOXGsciL4whrRVSVrJ21q
kMpp5kVJN/ZqQImymYwQfL9JDC1iW3fwZ6eVz0FliQ/YNB0rDE8VVeyjlEnjYbL7jxn+8bOujmij
Nf6NGgJXV9UIFmZGj7gR/eSmrwEk+LOl7kZGsptMNd1I0p7lofLUSOX2Mo3jWc6z6xbvIun06Gsx
yYPHmLR2k+QdQehZ6FGwsHdpYBYbIMobYww+G6rW/8NlTfm5ZsBVDSuAJhSBGByLwi+mSyprdpHg
R/uagdc6QgA0TuhHNqSax0QEpdCZiA7xnRyXqkPx0CeHOyVgW7XwCwrL/f1F1lZ+mvyv74aUcICt
tq3Q+nzvJB+RnKs9X++vNmNiKBxdTZx08dJb4WKhmdrNrNuJY8RwQ6zR+qZJyXPXtuNFN9jzodCt
XSWbjKApYu0ZqYxHXwqRP7WRuVXCCsr5DNuw68MnFEnyZTOHl0ljKkgN+uicdWq668iFEN46GSc4
8VEqIt9Ry/g+6qo7rqm2F5RDRr5WKna1rD1GKbGDsQ5DTDcSGGZLuTvu7I6PCyROVxmypwT9Icsa
1Q2F3LtToNQkR5mYWpbV2jBSrxnMU4ARiRSCzMlGsgnBRn6z2yjciaj9qOYzoL+yuC0s3T6qgXIc
IukOUlX8IeE75CiW/SUrQNdpUyefUIno+zzgclZIabwTvlqf4sCrF5Vt130Tk37FtxNPVp160wDN
tPaT7kKV2xaFp02EgFye2qprz2lGOLARFJ0LPTdxEtmKqFoo16D8JboJEbmZzTR/+/3/X/nlHss3
cfk+ok7XVdO03t1jC7idZiWC/GtuyuN1X9slYU++Prh0Ge6aUGWQXlLjVZdvZ1kV4Y2w4n/wxyg/
F6DW76AwBUZx6miEIr3XxsPmy027tvOvCPHUx2JCYUiaktlLWNRaU6IMgY0fqppX+nyyei/KbyTJ
mLuQMR7JQcmFIifJMUF30kX9hI+eu93vPyb1l5/J0ixF1MFvRaMH+b5xqkhmM+KTnb8qRfpMDFp7
gdwhBceWBcg6Qaus3Vw1qc8oI3ZMWYJDOCmjRw0YvfBQWNtIqF8g+XfnkXRZWCqTdEox4cdTLm+G
oVcv5oEczd+/beVdbY+PFlS3jJPSUhV7aR6+0zMoCfMvhEDm16jm9yEn4rPdDeqGpD6oGn5QHXLT
QFMytx9E6FHtPkAb1z4V1njgXocLluA+7trlcCn1pUO50j425pQ6sQXMH/q/q/C1YuxoKfdRpcje
FBZ7gErypm2Ck2IBa/DJ/DOabEPgiHEYg7nZUGq0doNFcWxoU8AkGQGbpBktXOz00ZfGfGsO4ItD
mrunCr2lV/k+6JIg6i9MY6IBQt8Vjy8Znl0RN04VT19ynWZgiIXQTaSp86ZgNLeFsEImbkW/aeK+
wj442dug07ZhIeobbWgzTPmp6Y0EXW19XY+5hdsM70QwUA6bWwxiWrWp9aB1/ZKRnh1/xkkXNtUX
SdfFuUoZkEkSebeKRdJmhf/dMeNoonjk3+Mtsw+DHn3rGChh81kHm+N0gFlb7sumRX5LmWLHLVYh
g/AQQdl9ljVycCFqaHVPEFXRhgdjaU7pzE+Ji4yIZAz1QzMEozfA/HJtQ+R3Nhjzvd13LwL2YMYo
QFX2Cg6y67JhaHeFYocJkYzQ9OhPF7ZaJvuwGhRn6vVopryQu6JK3Yms8GvNlMhhrYA/DrId5g6l
fukmyp9ynY4/0Q1KdiKgksFUrmyC4Rt07uyuKXRjr/fN7LbUbGWhXEOEX3KBsN8Vc9v8w53qnYPm
9ausw5MwqVfbcOreOag62bf5XZr+V6OOQoYffe4kpmRvEyQ7W0WOOrq0fX9pGKK/1AOFQMw4OBUp
nnmuLdtR7+/6JaEPq999xj/l97809Wft1/ruKKDj8FFUmvem/s7cqchqWmdVGb+MhCmSgkFM7yAX
N3xPCmLep2GvmgSPlbRO3JJy6zZVGkcbECev5P1yBmQVT+RwaOlWU4xmi0aBSl/UZjeFnNuePIfq
dl6mJ3kyRPz7U83TM0FsXhE+tlxy/uHP+eV6Z9JcEDaCA8VQzV8AM5o6zHMyDsnLEHVXyIaVO8VG
7l6jMHZ97pSbqavT6xYaGjqJ3lXUCUeaYiluK7hgSxqp3k2jFJ9Gq0NBm5gaIsi4vzOHe7uwvkzB
VN4H9Pz/SSxivx/N8MFrKp0YTbNsnQvJzzNGQ4marCGy4EUKAN/MIBWHwnxo05ihAvjSrTGqoxNK
fnHAs0N7CFnsHbThazO1j7liiMM6mepl7Sw1I3q9/KAOpGUVHfMdhXwKJ0BdabZDc9aU8hBTONwp
VrAASzDWQEyzj/Uwy47mNzuigZ4nlGIftcRCuNLW5zjz6x214eQ+62vKZlxM2258/P1/7p2Cbf0i
WjqTN0sWKlpX+51eZs46yAljEr9Ymdp4dmIE3MF9bN+NdaNFZXIyRsXw8Eq9TBJBUd14lKZGnLKx
9nAvASAewrM2yvWFyMISvrXyZBJcf61Z0oHEwl5q9Q+YfUmDxKyxQb0YOVWT9i5FFdgncVBdzrn/
qZM7rtE+kyp8rg8+vp5T3cEi//3fyvfnl/83+h8GLarFl9RQjHfXhHrIRGMFef6SCiFvUNIOl7iB
bYK2+8A8RAwzr7Io2aCTyc/2HNzpbfjNr2bVTWRVbFPdDs7rQ2FT2oXcA+xBoKzEbhV3XXLDldc/
lFbzkQjm8UKi3Gu1mRdJ9SWByiOgCsqjuBsvdd7btQ5wKOK7tbf1gEz7VNKvR9p9l0n+MTIP3KdT
0izJcYBqkNuaI0oLu6usPVRG5/n06LVEV06EkqPlb3sZ0i4pYR26mRx7fGlya6TutfeDOHQ7QkOc
JsiX5gdTrPlWZLkz6YZEqEkGKgWDzhXYh/yiXahHQWZXRNgDBEdLwxsTnfRBmtJqQ4viCv1icamO
9207R3umnAF1egNTd5aXpAz3qYsQXHVn7YEhIRLPZnjpjO5kVzVZPtx8gIE7NBWTq5RhtDMjaPVi
Ek+cbOHwG6ImqrjKLxmz2yfLKKITTazCaRNd7JXQH4+TNX0bo06l65ArR39JdPXV/CXsKlAX1DEd
QgPGi5KUDr8il7KF7TdyZd8KRl1Y5Ch4yMB9llKoLpYKXN+bDtEzp7GvgYrF6QdDr8m0XBJ4VYua
G5ohvDHKqQmn5qz332jQt1cpgyEHjMgB1tuw0/06+YDQ/+jX1IiL6YuVSsEFV/BqOwZQvWukdU48
wY6gNi6fxPKAQ9ohobW8CPzyC4yilxof+F4pxCVgZ/1W77pxb0JTHeDSXqkRkspRZM95V591Ayp9
awXXAzlb18BS3UbJbkmOKL6ZAbd245LavvmYK7PhTLQeTrmsXo5CUe8mJdxNVplcD8wxYZ5N7Z7L
EvXtIRyIEApx0qLX2xsRpX/wpIwtysz2YkYmJxTv0znoKFXNlt1cB+Sf/cOI3vxlVmEaitAEN0PT
VtAbvrsO9yRT8q3TuxeD+Bg3CSdGcRm+LMvuuIYyArqyrIovZLNVyXIvnTgAeGIowSYkmHFnRPNz
NkZilyYA52MBePwTVQ/TAZNlH5J4qVAxc+J2fkFCJGYQUHhc4oIz3gwnMfKB9BffcFQNm3QwTNZG
CSbw/dkwXcjNpyTN9xqiz1sQAQUBgnl3hkEitnGhfFupObhGdmSXaAcx0gMCX5Z8zJo+3WAd4y7S
hUxDeK0hi8QWT4y6wzyANzSIitMAVCtZ8j7zpu7uulhV3Lm/z+h8wV0bY0/OQSiFc/4yWiiNjLFv
d4FPQylZvsJ+HV32cT+dI0Nct3NZv85h/vMnalyzUuSeC7BiiMHad6v/tfduvf+zPOOvI34+/r92
L8Xl5+yl+e1B57vt/fsDfjopL/v9bW0+t59/WvHyNmqnm+6lnm5fmi5t/8TeLUf+T3f+x8t6lvup
fPn3H5+/ZlG+iZq2jp7bP77vWgT5iq2LH24oywt837v8if/+4//W0Vzkn399ysvnpv33HxJ153/J
y+wJ6aXO5E/n7gIgcN2l6P+ifmMAyYDzZuNU++M/8qJuw3//oZn/krn5GgRFwukzTJvZbkNc6bJL
+RdR2JZsmyDRwABYf/z5x39n/r3+u/6eAagYGn/ND34DIUN+oTlkEyUmK4oOwuvn0U5G1bUZE2OA
S77oGKt2Pq4P45jMR4UYsqM6j4Wbl0EPeEuuj37V8ABl+fvSshrN6WPech0aWpr7oCTwFPv21B/X
JbqLGSE5x1aq8mM34c9dl9aHYVldt5kZAdeQ6DlGgiy8s1Wy0uEQbINiuic7JZhdW8nw9uZKUD/J
6rzYVPxtbGn58e1BAcvCzW/ZCHeUxV7PHnV1Nj0SkvJjvZw+5JZLOSqQeBSVkWOEkgi5sKPyuD6o
WJlmdx5r1t8W1dR+pkfbeAGxTpQMl919Pw/fjwSwNs1umsTTJu7hTBlqXMmvn5jFjXKPkc6LLaMn
VH75FF93D1V2avLjSBWdm+VRTH5xbI2+BLP+52pKgzoFEB7GdLCAk7btMZ8TIbvrYjDMlC/XxfVB
spX2aI0VFn4/72R3JnvQLZa//O1BIROeBgjOBQpEy8cvZizGYMQA4ypjcQwZmh3x75Wyhy8gSh0R
GArOj2XzesDbUfR3PtCXxGfHl3c7VdXtROQg2ZZZc1yXlL+Wok6rySz+ebccjb7iaVqcbaVRufet
rjkmLWwkZz1wXVf75YP8Ydfb2X84Z64tHy2+i8qhw6hs3r16+bp7efX1La3neH2ldfHtfa5PzMpd
OfFdS6REPfappbwu0apWkcel3CrWxXX3+lDN6SdLl33vbdO6lC0nWJdEJUGULeLXI962vz1BcNs+
FuUukxQyknOLT54cKB5fl9fNbw/m8l153b9u/Nv1H061LkYV+d2JwImzvMb6lHXp9TzvT/HD6/6y
GNtfNSKzDu9f4YczoW82GENTRv/h2T/s/82b/+EJPyy+vekfnvq3+9cj37+190dGDFsdneaVSTOV
Lis//7ev97r03257/V283x0Bldq/2ygV/GrWnw744G52371CSb9Z9qSZzpij41PdqVzS3p7zdvS7
0647jPkmjEoBAJWvQhqoxXFdUnKuHW+r77YVGBAwHyxP+WVxPXTdtS6tD+uJ1lO+rQokhymOJs6R
radbF8UARtP5/auvB64P68ugEL2XugFa+HIuNcGa+bQu4njuZS9uZmUn09rTUpl4GGGVR6r5GaVD
lGHHdeP6YKWqPlOEWnatR61b22gQs2vOVeM0VQwrqF0k/OuuGUfmfLcuyiLIiqsfTqMageyQtY25
PAmK1Hk9l4QqKT7VNRDlRSewmVIFuGVNDpUxfolqnfgjVD+ZwlQhzFR3rLsvCZMPt27H0evTr9Mg
oxwIQy9bBCQwXlV3sKJTmWKcQFCIzGsxcR01M3jW5r7fgnvCjkfNzPVr4NU/vMvXP2PSETxMUR16
3XJL65freL9c59fV/3Zbs96C/3pYn7E+9/UZywnerZL3gjPt3an/B6dBQtkxqrX265nt9Wa7nvp1
cd26noYhNff937+TTI6OYTxhEf3h3TRjsS3V6bZc72SyENnRzkYSCJeldvlT3ra9P+Zt99sxb9vK
ykAi97b+d6dVe/gDzvrst1P8/73Metq3V3k7zbrNjpkyJFaOQ5LxwrjcutTlbrourdvWVe7g1wrk
he3b9j5s6AKsh7wurrvi9b66PufdGdfVbL1Drrtfj1yfNC8vuy697n9bfz1nqBMGJIFOnRUM1GYh
4YcoxUmRP9FwyhBWZXguZJjK2RQ4YzeMu0YeNDQOCjVXgmILK5E3s6/RWNeN0o1D5r69MWOFtyOX
+3PrGaGJ+Ewk9q7OMniW0Bn6VtnZJY24JLE+aTqy+JL04OaTIVkHBe3AYbAqMhd80qR08xar/4Tc
Q6Ix2VTPhIfom54Rhhdpl5YRzNdB5e+acgSBWmNyT6PqXiZQZAem7imNpOe1Pjcpne0VswDxLqP+
VGc3EI+gsO0dXArbE4PpiiTcAXt3O/BxTo/LyjHaySMu+znxsYBPg7HXGql1BUrTUE+2Ge5pDxzf
sM1NfV8m1TVs+G9JPvgOMw7wTIZxwRSBMEcoGjTQ8RakGAOFleQnwsmLjWWYx1SVHzMNTWcWlRfy
1HgFY3d64+YdQJv4IGg50EQnt62yvYy0BE9vp8Tth+jWUGaJRmGaOJ/7vMg2YbcEP0iystWLKL6I
hvmpSKPPJrAeTxk+yg0E5fK60oUbVMi+5MwrzeU6R3zdXGskVZBX4iQRGYgCE4rT+bFwzBnxx41u
pHvKU3x71Vp1CUjLXUhSn4phHByrJbkyK/xF0aDdqNrXlKDEY+aH/UNq0sZn0n+btcZFjh5eEHi3
6Swfr9ENQXwACenaluO3MlOWGUPtUw2rOv4XJZX8FtIfqRqz45Plc4BI7zPUrZFRJseh5aJKySvf
EojnooJsPKqcHXGS9nOsoI0k8dq6gEWzsY0q2Ai7iA6hqX7swxvSCjKXOHdiGvTa2pRlu1N8GWOj
MD3Npc3E2F9E5baL+LOMeTiMsGryUI2v+g7cTvdk3cGy6XdmNA2OaKQXKdz7FVWyNJQ/FPZMZjYp
nykcAIKqoBWlLUiRbSBKIB12abtEPOmu0hMeV4azo+d17rYWeJNcpyWVp82hitMQRmkUbiqrNgHI
L9S8yNz4RLQNIqv2mt1+DJLuG1jpcaNVdJGy5KqXKUhOFHCvBFrIgngt278stdY4WZAeJztFkFF+
lYyAoAA73aYZ7M+qABDedsrRbspvOWR90fnKtiz5Ongofxqor1G5s+mVxH0PFk5NybOkLClCajla
VtqbzI+iTYM5mg+OmQ1qPQWaQ8+PZ1Zuy3loHCqinMenDRAPH9t5vDFao/YatOdOp3Y073nGVIaA
8uXpTJTxNc3I8qNF3k+kzKfWNNEsyY9NktUbLFtOE8c3HaN9p2xS62QAcNj4VkaPvMuubVU/VsWk
nNSYfCv+HlrEgfI8ChrueBJSV9BtuB5z4zCN9rSvU1velJZGyH3a3ZT8qtwuylAGtEXoIhrLridE
Bs6ilcDlbj3MQ889HDKvW3YkVgFSVnaV0O9VqHQXVdze1UR97eeZOSuOaGcCmuFS+mNCxhC6IiL1
LFvHLAzFbtTS63Fg+tcn+uQVhXgIpQ5v4Tzt+yEpDiPWpr6DxNcGNaQJq93Ocf8ZqT72Mpw1TsMP
3y0Q4W5RSGatWnsC+3JHlvMWwCcphV35IAG4dUSr6Rd+1ceuPX3Ciu0YGrZX3UTSBiyKq1vNCaK+
FmDIeqfRq61inRK+jQdRz06HiGkSXBJEXUZu2KWPCN9cbegKp+SdbTS9OVfgvukgtpUjh4h051zJ
HVkZn9oWdZqIh33JP9dR+/Bl7v0XvM1nIq33Rjze+XlFNZfattXaGDMrc1sqhAO3kiaRSd7eFziq
NiEBKo4s4R5oNe2upy2/AWwNls7KPS6F0/UQN1ADIolaGxfdMEyTbZshUyiLhblhlluymbstvsFd
AMuoqsZLXzOeMhuTn54QQJUBCCxg4W6mXL2tzPIDv74YxngH8xbbwSZlrbX9bTHozEeTCArSHJxi
tdqNNVk/8pT37pgFDxE/UyQsnxUyFiigjJVLXAlFReRv6MjI/+1D+OY0c/sYaRMI6YskUO6VjmEZ
0bEXsvhkpz66fwKQYUORZ+anlqPQXNX8bAZ+kgSulCeVG8rpzrBbcZeWbt9b6qkDC1pJJ7pzDr80
bQcJeHIsG1DVVNJ6o/GiTri1QVVYXmDcwGpRNlHJb3LwiZdGFKgeRnFNoMplNSb1pjL57g1JZ1Gc
TQ5J+4hOBi+F6co+l7u2TT4xQSjcqW8cu7XtbQHz3BFGubjatBptSxx5jKQPtYwIR52a6wQwwBTr
MUp7Qt1z+tDzNOmnqEDPxA9v0wWm7A4VMls9wjg27+gY226HXcXtTH039f6H2ZgKVx/tD5gaZ09P
sY6l9EPayf9cd+LUY6mFp5JR30qMl6xOpQ1Yp8jll5LvfWYCTlCqd/lIZiq+4Brj0Ek1QvDNFQyS
drQJnw6rhHZFhNvCWIIjO6L1ajoLpsWmupSt/WRKJVP44iMVtQxlNyOizoi2kjAeRuTHBvFe+Tzq
dA9yCsD8h014+g7+9AtSRlpm68193tGC6DRaTraG+MkqBq+fROJUClGCjZVbzkyAipbHV/Ut/afx
EmXF1ozH9ljw2zATf9hyIWk3bf+574At+Pq4iQyfjj2QbiZ4gi+0fKySNvcILjkOSTTtow5JcxNH
H/yMWIk5li7NTv+i97iV6IkeZStcvhmkmKvwDOeJJsOiK1xEAVAsLvzlky4JZy+wDSHy4MpHjK1S
toOXLxguzYq+lkoE90JnoNBEGH1aWS82dVHWSNBtyVX7ctfF+b1FgajjenwEZ7wNG2U45/FC0hBq
5+lgmrpQNrxAK1XilgvERv0DPoh607btta1VtRP0qGxbtbwShvqBNOpT4e9Gg3aRof0/9s5kuXFl
y7JfhGvoHZiiYU/1Uig0gUUoQuj7xgF8fS0w7nv3ZVllmeU8JzCRoiSKJBzHz9l7bYL34N70wah6
ZZs/j7l24UG8bcYj45HCX8v4AsvtZyP5U2rm7Co1X3xhiRP6ivai6cmTORcIGrIB0mjyK5/fbIlV
VZ+/CqksxJYr5EzG2rGHvuUbZi5QnUGiK+2+8+cvY2EBUVsAKsgVXh03IW9YTe6iiXTCxFFIxRbT
An03c72xUlKMUVV0bCmh1a4Gs7xWoa2aWGEnvxAOcC3FOOL6JSAsv+CfkT6ZNZlPTEYfmK2hHlsx
79baNA6scWGpoV6wqwwf/PQ5is1wquVe6vDCJeC2s1HpqHzGc5vYNn1e+9w2h6pYUkbeahD3R1xn
2nlw14p6HmZfNnuNniu+WzcGOKnG180PEhiM+17blk5mUXt7ngPUkp8VnpvYTnxe8ShYY+eFHVvD
tm5f9w1eJJMZlVs+zWbFVLRqrrGhPumyJJhVrZ6tcfwV9xMmpUb1GpG8FxkGM7DtOtS4NlRTfTwA
sAvXdmZpTrLkjGaPMetpIYOB+br2jurD9VgM7TDLmwvXQcot2+HlbjJ/rDEXoHz2GjMB9o+mf9+2
yOqJR6GBIPH2qR/TsHwo1rSLDfhZBMU8la6TYqIto6Cy4sOIoTlQ9a5hzYNTPKbZGqqTfp/Z3UMR
czGGSXYcoR5cm4xM9/RX5+h3ndTtb0aFEy49NQr19pzT616z36hqan+YOoojrC2hY618Rhk3KWLL
VytMjxJN8aQTJQidtBF5lMbJB72fZFkqk0dNl7WfRfqd0vA76qGj0x3VNuRXG8dwFoUDwRq7SjI7
GzGTp8MY70W3hjJeGCQl6q6Ki2/JuMb7qltzb2T/o9OveB1gRerQjTm9qA60kcxNSbtjHkC/58kP
0pte1BiQVxXJL33QLsKdNAx/05cdv9KOz3eyX75kORvoxVqUikqzFZazEUpNMIolf+FqB5mmu4cY
d7TSMzodpjV0RzXeO8q1dOVPd+nzK50jFHGGedLm/trnaUswaXyM6Qozha5+WHUPKGBYLXIqj3YS
rXvhjr8bxpzkkYaJmn4iJe+81rRp2rgp2Bs5HpNi+NWVkbsjEvrs4L5KIVAFms1FoRHup62UQZ2N
WOvcq4Xzz0Sw4LjFAKEzfnSY+tZ6dJCa82r2k+tNbJI9QywvHblIuC9eNSz30LeRwQk1J3a9v7BK
p3470LrrsrDQ6zf02D+SWl5w9HpLzfB8IeKxwal3hzS09/JBSw6Tbur7DghAqmiP3ZArD2pmRQ/N
2hYPELVMxUU/c7tLztOxmyHW/blPE3EDCk+Wx39+KtaJZyi7GfrK9ptu35hW48ewijlohykwkvW5
b5+ZpcsHqcn9IHCrsFFFEU2+MFTJLOOJxK9Kg4DXi6his3YUIbpx4j7Ss4VFkSyS4m7S5vhx2A5L
ET12kLmqsj6LWBJysR1oR65AQFcq0Vr8fV9lLy3uz4RT/t/3jZuMVDdTfd86qBUcK7rHCBPdj3wY
G9E+cFLoLPkDmN1S1x/W7UBrtjk4C+SI201AB8ZD1on0XqLivt31z/29bX5LKX9Pt7scpdUfCtSN
QSn7OvznsYYe6cc+Jvbq9pD/+AYmKhTrf/7w7e4tDM1Ll7o63v7w7T6Cz0HADAamj64Jbnfdvpki
Dz5b9vL85yfLJr0TAutpnGSP9AprkS8Pg6alj7Kd0T200VFqxlVdsuJCiDlyke3grJxX9WAzXP73
fcUyVWAsMezlqoIsHI61cTGU8ZRbufWQbofbg8fUZpwT5egw0d+Rd5PwphYxCEWrceBNb7chAre7
ri5Mv7ndThpLpzKaH7LeuV9d1hBM25JzZzQfXDdX7i1kG9sNg+3NnwNbq+9jlqynxSz4jcWm6pwr
PAb/PG5GIHMoVrX984uEWtvnuEwfyqYc7xowKH8+UWuTEp2SDJ5blOB8qL4eTcWJH/UMx2oUz+fb
w24H3Be6FzlVc7jdvD1Wc6ohsFqpYmzip2736YteBEqdXyHez7AcY/eB9Gj3Ic55woYxfsRR5z7c
7tdFOd2TtuRFmaPyf2wPi8bl2Ag9AfTIT7ILfFBTDYrsyuevXtLhoMSujdKxFg84vIhMS5w12HBX
D7dvaEPWHwnXAAS4Pe72Ddx35l0Lfs/I8kGh8E+GXV8ahj+lC5XbZGFk+Ndjk7YVnotGfl/oLQGM
SxYHpHQkj0grnWA2F+CVIiKOTuB73kHVHv2+bdPHcTuYQz8c6SlVXjLP6h+x1f/KB/57+YCF3Ozf
sXz/D/lA/qPqf/T/VT+w/czf+gHH/cs2LRPBLZGlOp1s5vd/6wdc8y/Uaq5t6yiBLAyPSAv+pR+w
/7LULShAQ8Roucb2U//SDxh/Mejn0Q53b2P//5GAQCeF7b8KCDSNX6firANYY1kmiNr/KiBouUCa
jT5usCjHobVjukFc9ucktd4KU6THUU9pPtkmc42d6H0bZerRdjv4uUiGRvr+h5jVztnwBm6RkPjs
dGyrYZpoXFNc1ra6lOnRWMc51A1CHZK0ABF6HdUFnZheTgFxWqRvj+IblIt57xLbkqBXgqLtnAbU
z4sl1muQwJzb4QZyvEJbrB0K/RxYBJKfXPuJqgt2cX9RqxTASanO3iDYlZSaARm5Fl/5ZNjPPTEl
UjcDmA/JfWFFh6IfKPpGNtMIuxgOzZC9udR4vC0zAFFMJGJJHszK1Y+b5CsvP45dk7xSuNNXa50F
owk9rgmqENTT9SFLMy3IyaEP+sfElsMFSt7qqbgueTVy91CDSkzz7JjWWfqwAkFOgSv4tZ7N91Z9
j06k3uHfz0JXLTXKb5udWRnNfjzWvytL/I6EUexR3L27i45fRVaEQa3nZV3BtNWVSkTbFHl32oRh
rB4pyCNYih1V1QRgXge4IbLlTZb6c0ntGFRl8s2FyhEiazJJXVOAtRhcb1f5hcDwfuiihyKjvG/V
nO7oxPKeTlgYaOAf8jEFeyg3vK/q3gvX7P2V+lqOOnnPpvYtqvM0HCq186M82kVxuqOL0O4iau6y
hS5juhOid2ldLc3ZkXe+z1znNNVGu2voLHpzkUEU7uZ4r+X09tSqhSe7YPyMLfelsSrLazti/dKt
mreb7LDK6qNW86e6JxG3bz46Z0SLSpLyXaTQgO4HdQ24nqXHxe3v9Lg9MZUhWcdOmHio1UerHNwW
KkOf7UW1BnpcfWYYlnDbPA2DV7HyHrAHoUex5o/EqVW8xxoGQyJXSlWj9oiPi91oh8F23lU0lbui
Q/cFaPaX0qavNKYjlwiFwmFUX0CaMzTxw5wBbzhUo/bIu9ta9Q8x0WeKZV7RzVQYHhBwfMDjeC1r
Wv1MWaMz/ZS84YIOJZWGPAB5D4HId7VJf696VwYYSggUaMydpFEx0LAsigb3Ijkf2aJkPN34x6TH
1jGPHpQM74BbLu+ZoR/00t6DdQ5ka6UMy2L3iUvhwVB+W2QIPPWz9TmlBcT7Kj5kVf8rSmi4orNP
eEH1x146zwVCvfCtJppnV/GsvRE6L7Zp6c+j/dDlQG5qX+vdNFAEOKA2z84TkY1cAQmrjpir4NH1
tgkj7+Tgt7rxQS8Bwxn9Wr927Z3W4P/RcpoK1iYwhj8tq6falhPB8JO9pxPyluBnqWw0ojMndKIX
b41qfq8L4eMkR2cae24DCmWDscgr/xOch6uWOk8ZZxxizwu59HdRJ6hGLYwQlaul3jyxVS3Q5Oug
vRT0zlPBCERxaSdLf2nH7DCb7ejNvYYdivFxopaf+kT5APv5oUWYFBJ39RIrWEVjXV5jF41CWRHN
XrY3RTLeRVnJL8VYgUcVTEVGCC0rGhqly06OYn70RA3emV13jL639kyRPif2ycywPA7peEjnJfe0
wfqi94Yhq5ijc/zkNBEaoqhVnk39JHTxq6hodpRZZoZpWXDqEGZdAyIO1bglWlvFGhcVDCNJdJvd
+D3fxFZcA/iYmw7WGnrCPqXOd1ktT/NsMEwvMnkEbUgbPzKumaNU/DddHxh8QI0JGoM+WIzEmfjp
FJ4HwWbWK9dtJj5pGWtZCkQjnT8kcStYRDrKIvHTTK+d1f2iDxGDKMi9VUBQrvuCoCv8Znvetdld
i105ZvdGTtbykmO7teO+Y+6QKXDNY0/rVfeYVd0JHjIbxZycvW7zIQ84+IFzR4ccCpVXAAnCnBjL
GtOQA7HUrskMJbjbzYmdbAsx0dOfgFK4znkEtAHnXGEbrEw7dt4+oPmpUa6LulDgoaXyU7Z7caPZ
J1GiF1jsvtjPFp+MegaH0V8TJ9YJ2EqawCm6dDfjU90PyxIiUzT5QCeYpRLwYIVM4t3Qlm8R6m8u
ZrM/JH0aGpFkJDHZNlyxTA/qlL+QdMVOL3Xlx6wVOim/jPls5orEN5IfNDffGQ85F1cOdzNTwnDu
53eFEeZxHt+Voer9wiFAra7oSKnV6jNscZhv5DZ2uvsujs0ziwGLckUhmuoS42IHuslmxUOX2805
zjTi7WBpALc3rDenjt9aWxFhO3UQ2lBgB4ARDS+L6maXLg5h2uNdgV92L4s8DqStAOCMiYdO5WtW
d+vb6hx6fGrBaFDy63k4GRLbZDaiuuH1GWjB8JlhnzfOnjm399VEyozlnmKjb2kgi6tdK1wR7fQU
OWCPKw55kx5kKlPQJu7bZCev8FGYuBleart71TTYyzXThdY0T3WMeWdXXBwYh6FAs+wCBiz2pBLw
V2micgUCn9e+0ZFG2R65UdCsPLBZFcG4hmFVpOO8WZ7Brd3buDY8hYUE3W6qHNJtKg1XgdiuwSvy
aHlcSvuD0TSgulke11Rzz7jKgrlGK9ExSok6TuSajr7WjMk1yuxLupTDpbcmf1DBe1cRPLW0/bFg
eM/0cxUJLaax9eUaDZ/8ZYcUpX9N2u5EiAZrLpHxM0nDeB8ZbI2AU3QQJFdE7hBtIJzOxjVajQMW
eRsDh+E70NiCdHQPULF/u8O3MrNMvwMC6qsSg9gA6HcuSobxMgoVsTxY9+PCBy8nZMFWc3rlkgs0
LVJPsJgFWddg34bxko95ute3xD6SOllbzJ8dJ2JARsb7BADOXwoyGMbCDtZ3oQ4fS22WFzVyHmqq
t3NRLjjWZjM+Ixb40Ige3LW6oAKS+UumKK4vtqs2WPL26Kiqe8p4AQU0v1DEfRQYZf++Koa6T8zm
KoAt88gX9lXJTi1/622OhHyx9gT1HCNZ/DAZGQR9w5W0ylELKYLFqk/77EDoCvRQ9xGT6uxbBZVg
ai7flhQboOjph1S0aOj59qSqqQiDOMPQJgz6Mevo90ajFvkRfv1AT7TYd9v5uCLnD7MBJb5ZR0dH
rKlfA/D3V5e1iypw9CbnOBu86/mi8BGFzeBN5M67UzpeGpJcAxB7oB+TXA/IjjiMruv6pdFsKdfJ
jwJuAjrSboeJ9I7r0hyK2liCWNgDn0g+oEUVfdMZ0q3jyzRPrh/1Ur1ieIySTOymKqsDMlPeLdE2
YWUTMer085+aKyfnfkGGcXSynk9tdOoV4CINBiirgIpLhm5jiOwoseGRqEr2ykq0X9jhGkSkzLzX
MtIA7KMZRE3IzvXelVPMFWzhKbXq01o0hyHqnpKURFpr1RwPpVjQ8iZ0bF5BLH/rx2E5ahl5k1kV
FaFq2JQSUgTK1GJPHN3pUAwYaMlECmzeTL+cbRfKQ1wcbVMN8/W9oHbZQ9YeAn3upqtYxYdWtj9H
7K5BV8U/03UM9SnqPS1zqv28jU6zYj4vI4kFC1sOv9SnL60nWQ1ccB0C/qOxLfHJ4jLdyjaTcpNS
k0nM96mWxp38kkbzY0nsXVsbV3IJGa4W9LmS0XhvmQyN+WAGZjacGqANLG7OjhIRqE2NKgDDEeiW
XS8bcdQ1iW1lHPEDJ+uToIsZFGWX7QjGPVn9/JJDQQ/mhumMNZiMe2bHYNdBm7tT0c/aIn/qa5Z3
S8meVzFZeM5Aa7oDJTgA+h+pqt7TL6bchHubw5xJC1xEs41AtzqKX1tmoKWOGh3oivMEY6Ejab0W
RP+Wv9bEVTxrQssADOrMzlV9WeQRucRmn+h2ad1/Uit9UOlVM0KXujbHENhgQP6sCLtl7EMSEOHT
xDS59TjyBlKN/YQxGsCTNpy2UAc+1lFJc1Vl2xIgsrjEi7ohaO3rSN/blzL6XG1Z75AEeaOojLDK
Stvv+10xOAp9WUYxQC+TSewczUCllyQUX8Vwb5oIb9bJYYmDyUsS7DnnBDx2hn6PfRxJTDZ8AzmB
lmDKPspeMlZSGgaSiDnKlpBjy6pwEI/EdHFhfByX7Kok7nicBdO+2EFdM2LHNLr10DXGF0it56ll
KbW1K6QVtohYeIiFccMiV+/jfqemYsBi1F8qewMOdgZ5p6DLpqW7RGl0VHI13Tut8RYDLvTaUdbk
1pD3xjV0ZRfmiels6/dTTC0Rq8iZq9n2405l1Er/PraUT/IR1IFStuonM0Q9QdORD/LOjKKgU/p9
nio/M6nBV7KYj0Y4oT3LoCZhs8OkDgrETlfjkxkObOaHBZQIbAPmJ+CeKWq5nmuJ5iUUYn6OcAsL
S+m1VY5JGW++z+X0y3HEXdKLHR4wd1/nzewTR/U9NfVvmhoNz7S2n9QKRzY2aGx3BObEr6LinctT
xpwxW/ZqYW/SPpkkkfjuOiEBtSM7iJvF09Xmh5YjC7PT3N3ZPVVWtlZBZo5Anuv8xRXTBUFXd6hH
80VxQeg13UIikGeO6kuWGV4/41BrR9QTicZwaUxzryxJ3nKd9m1ZjE22PjRhnFo/ld56BRXH266/
u1aZBUnWcd2jjDI0yCZaFUqZpYFGG3NHolIwFfYpz1FGjD0u2MQydzDpwIDX3wf4vn6dqtNOlx8y
TepzzVKQkm+6zxL92aFBWagQYExM9iqpcKnNdKdTH9TeEcG0Yqse82C2hjwkHBMzQPZZxcm3zGmt
C0aR66pgh+d6OWtf6Fk/4jE6OYO6M7u13SPNTJFDyVAvDVBc2nhx6UyDReIcTiB1ajxHpDgO4g00
ILQgomOMCmcb9C+kVMu+AVuQ3QlV/hqrL126blBD6/fUcQQglKMLktIKZzxds21W6AAl6JtB7Crs
pdiYM3Ql9Z2wZfQY4ftECNidct1gZKNhDx6dK/aBkN2bgqiWsa3lwOmLNsZMD6UL7jH9AZXt6TKS
ZT3aQV0MlwFbPmsqPao+gRHgqC+6bMXRMdZvJXZ/JY/8MmNxqSPtmiOPOQxUPHamZcEkGf10Mfqz
zmnuoq0uiSP2TUZRXTULweDgLBrrqfrWTO5rZ3Cm2cOb3TrrzrD1T1nTQYf+2Sxme5GboXmk3X+1
6WpZenylpf0yqSxR6TYTnkbOzTJ7nrHaoyemLeNnRfxcbF6NoVyuQ0traGgWycdJ1YmwTN9zXe2f
tIQAoaySP1ZrL/usOZKx8G4bs38d3OE5XZOXFd857ygLWAoBidABPASIC7Dfb1/eDln5Cw1HfVTS
ITu0yhoCeuOysx0029nbnHP7262bMrzVqmHvmNGDrg7+Ugr1GCUVwBNioXfQgu6nFLQLKTTHvjS1
Y7QZeKwFkiefJr6UhbMf6L3tEy1lJcvHw20z6eAw3BXxbPiJ3U+ETrYQeOVXZaArIWCxC2M9eeiF
/jb2XYwOa9rMeJQOE/PygRX5U0IxSqzxpyyaYwu1EXmxVeEGhd+ojnZHi0MC2kojh2c2szC1IPCQ
JX3aYj7aykrDwhpZ0TQr5JWuQq3EMKPp+f12uiLNINtLeVYFBCJVlQ9GJK6KtKkhQbgGpF4eCemj
CaSlbOlUVJ/D8hQpuAARZE1qMTwpVvvJUsQ01rCvplOecll82FLewfKVQa2oPpqdO12cu9R8lYaT
79cUjQKyF49xkA/poQwTFxGqqn4w30e9ME5EdhZO7y2O/lQA8ggG0Xzn8oASdzi1GYiLMoP16VgW
cH9YxzYZcfuu0dxAFM5dPtjf3UZ/b5i8t00DVKBBFTC7rSdr5Dal6pu2Nu6zFm4TJkadDz3Lykoe
pWcHSHxS9WF0uysjXoQvtdDozwLgqbQG2kt/JxbVOFhF9bwqISXZ42Qp+R4fE1MMMb2XRuILg5Rl
WZaIMxnBFinMvdbYdVUCbg3BoOe0K+zaIsf7bNyZhn4hWZt4jMnEKOUamJXHZAxUgW9K//fB2FwQ
xvaQ233YJ3v85XMFGxKrgZxL2IqO8tmU5LlBybjv+Sjtb7eitnztS+dnOtE1wZfeB4Bixy3soz7Z
MH5PpuroLDK97xSAsaDaGafhpM74wSpX0pWRDsOc9v1mHJA3UwI1JGaxTRzQmzYr1fa0lHmV+3Rl
77cKNHm3pzpMC2YvIRNc4LFB6GH+UZvrI0na/LHN/nA7/PEl/HNb443C0JAc/zmJl2rmdftzPusH
k3Y6nKX4PBiZu0PU2un4vDI3x68xzbbYITu9xr2erX66NXPYbbbHwfl2OxkNQUcLtfsBIPDfS4QW
E0T757dvfxuMPw3S2CnRi/BHCqUq97f/2BIjlMDb63C7XSUuuHR9ebKM8ac7oUBLaJ/InnfXGsFY
JG1acq2d5WleTcop9mPAvHlGbMZieTLd4SjBA++VeuJJbs/0torcboJaWX0SJWO/296o21PvjOK9
5WrFJQZjmYvId7QnEzSLORyqqA4dwfKbwDpgZz4+ohk2d7OVYRqcyzLGd7WZKhTXrXZt5T797VAw
McLV054ajDWhdN3mABCZthSeg6Wclb2BuEf6uKXPKjEEZ60b2ZHNiQzdLpcnNYYZM3TCDsp1QcCX
YD1CX8/fWeOOvUyxaiwc+XASwIJOlkL2utLrULGwkfo0F5fmsFUYt/U3T/Th5FY9SZu3t7Ch5d+6
VKN5gvM843D76na4feKIDPpa1Rmtb7V5CnVUupGjFoc/p8rtfNkO+ubbok4X/tIjTBibzYmWbfYi
lx9Go9uLoEmzkU++gVaWoFr8OMbGjAvRRR7Je0vYYVi/y3jUT2Vh3Tl0CnZwD6fT7WCIrg6tgVNe
kKV+MprW4TNvzMLPgKxw6e1j+t2sNpsVtadUZ3O16eqjfT5n6XnmwhZoA7ue28l4OzTb5/n2VQJY
4TAQpqh0m0vTcnF1xS0erNth3T4an9AHuMpqYw1yr5mN02i/qhX8vtv7oBdYLv68I3RzHF35VCaL
raCd/kSwulzY6q2XnikptsgMAoe6vs46Sl0rLe8XxWEUvx3aNNmNir7s+j55Uy22dDOYuD/f0zpl
b2W2cxRzbV2KSJ+8VcFr2bBhKulIXGyHTleR2vvbA9CO9czWMRdt39NKeent6EuaA2tGq6BAkcse
Uh8ZxDKeTA+057Q3ONFQH1bl3YTgayrc/tDTDdUmglY9aMjJtUV+7lkztgaZb/9V3QR0r57pLdDB
3aIq9O1Jqx0zLjRJk19SaFyTmW2pMnFTMVc0OCOXR2O8DMI8T311yIFMAhWmfYGUF+7fVz1qycUG
s0mKF3XHmiz5Me2yA6F96i4b2D1LuZgLxgxdgxfS6tepG0VA6nfqmXlxSfJ2PYwtRG59KnYDWyx0
lcr3NhbspjK6nHV5dqIK8duIwiZoZutRdXuyJebyo1no9lhq8T62qwythg8Dsd6faVcSL4F6FxJC
th+hlfjqJXUaVOt2etFwr5xHZuueTk52YGt9xvYkiZlr4pX38XeX538OgpALlIyrhtLpAgBvI6W6
jzRu4VMAeCzOpUYm6LgO1CC4p8eUS93GvLIWHXZtr+iUQnxlgg1RNN0+qGpRkkTjFH8OSEhpAqGm
Rs36e15EGiQW4BAXKXe9xPoJFJ8GXIKv2u1w++qfbyR9o5/mCJ9ZzsTUv31DJQcVMJ6Fhunfv+D2
W24PNrX0rae/vmtVxT5Npm6fdOBYaMK3L12hKYfFTIJCseQJK+/t3n8OnazFnx+qOsxTNUFzWBUM
SrRZnKphUPELblcS+uSnOELOTsocSrCS8F8iwQoqwgWOtidbpOBTN/ykubJ5HTS4gHLvyigBxs0Z
4zZGyKWA94XlMTaUk8qF89iwqsqFZbNU0OoD0rJ9EefyrC3YKjNJ0DJqM1+L5NGEX+cPSl7vLFYB
z7C0TytROb37b+lQ/Ka74tf28G7ULacXgr2x7l9SYv9o07rfZO5EPkoiAMHGgXYr+SdR8qtoiB2a
RZH4hmwYvXWh3pf2rYd5MvLiA8lqRlKDldNJmyBrB4pefM5q24YGL1nR9Z+uYObtDGRiGC+Z+24u
NMZTC/fgYC6vXLJ1T7gDAldJp6vungWhdR6kVzonA/vsUiB2RKuYpC9IvPGgD47lsz0K57r8VvQZ
6e0Aiypj5CLLimeBVun7hlfBot1WZQ9OD9urwHPS5snLVH5gZHBY1+6NRal9Ry3vkdPjdigjwim3
k70OVbNAzlY1R62a6Q61FAtr4muZINhVVM2ds5GOOpuzfssO1AvCS6gLtqrfMJov9NAMv8TBbrMH
YyEPVxdcStdi+MmVQe4c/b5Q5hNz/AfQGXuEte/twozNLV4GBqd8sDhjbK+T1UsnCD6OUgTua80n
gJVy77qEvbJ1QCgTZffAPO8nuovV3PEawRnvm5qOMdaMLlR78yxYFAEyWfoGlG+WOziWDPZf+iHt
gslAO8YCyBkchQgLJx8uAM3bVb0Ck/s+kKSdpW1Yt+VxBs60JR8QR+CJMtnVVXtX1ExzlAdFb+Bb
M/J2i8c2CoYRj9kQVXe25noaSJ9kdn9Norpro4yRwpT+QLgRzmM4NsbEFY38aif3894I4YDjHkFF
pLidr+Cmg2hKCkhANwJX1LTXaPnVmYJUtAktU7/QCMRD4KhXGeEukJSfhhoyhbjQPjeRiBdfhAQe
oFq/Rlb3SWrg1QHkn8v43OvxW2cD67IvkbB+EcWTAyb06P89z2D22Nzkx3Z2s/Oi2HNg2ThjV+wV
8M453L66HYBy6ufFYS0tk+yjWXF3LIKSLTfXZIcI4ZtuRTU2N+B8s5skTNYTMBEsAcwcWs7xUd07
PY6d9uBuWICb3xByZn8iFwZ74+1234s1SGuqbqkPrpfPSP8zOoyjNLfQWVZeGefG94TawyuGhZWS
Ws3Y9pn0KngzB7qlp2476Ani2aRZMs7OviNHQNyNShakht6eSD0EG+Cyj01tZMk3ZMXtAEjrsSeT
CuUkrWMPDV0NjshoVr+ff5KdkflFySZGbDuOaUKAGIllnzQkjC0uiU036/Ttm/M9XhRU9tvuRdsO
0Oip0Ep1GvySVjNq6QzpCRaSLONcwVJGDjfpqp6oOIdzrQPAZau88QzoPFQO/lStBLyVuetPiSXx
DazEMhD/VjHRteUp3g4lW56T+mFs9fawKs9OxX9SKdsl7/agTQZ7SOzKx8DWnfpEtCc2az1Ugu1L
skMA0nShliOmhZ/1Tb/Zv8t0IxZY2388/6keGQaZI6oMpRDGeJ5hQ3r6WNKK3ypUoweEPJk1Put/
bleadVRlPOzdQTLt/efPZ9sTYbDHpJu1ZUOQlDngIrsF1POHTbLdd/vqdlB0Agc59amP3PlEqSIO
swDoWKzfDbMf2LlWb9akoVG1R40WHE0m/AoM6WoDdu44gkZPaQlP27CQ8teGSHaiFTieYkFY6pJa
DIGIBDzdDvHKCRsr876iNwyjg4OVbDlRSnYYbv9hD0kGqbRc6ARkOg4thTaWlqW7tDFeC4VlMZwL
XJGaqLug6VTW6XHCH7nV2uy92G6kdhz2pHzy0djuLIiuOsnBfb5J0P5XpfffqfQEQrj/n0oPl2X1
+3NIoRL/p1Dvz4/9LdQT2l8CiA+wHtCBBix0aD5/C/WE8ZdgC6CqhsBjIFwb4uDfQj1T/4utoWYI
Vkkqjxse6G+hnqn+hUYPXIFh/QEEaf8T0s9NKPifoB/Todnnwp9FFCgsqvX/C9ILLBYtIVIfzIsq
I9oo9se4vZgp5g9oUuCwhuF9UL6IXntyVMDfDW6qsKIL5OcwyBEzYThIFUIRJqf6hkeOOHTnxZmc
/BTDBjxP7dc8FpfJMXusKPZdWuNiUlO0b0rFPITh4TISI+LGLjeniEEeNQuxJgQL2cxJqpXJ+4gM
RlvvtER5JFEHxb0hfgAnehUIhgoNJYkaS5TsXMvFgxripGY6t42zsbbAs+FJbhZxKSl4tB+ZVjXI
KlCMzBs7EB1Jaj66yxOboZdOwl1dqR/W5Csh0cm2sp+jdO97O7nKLiIUk8uUCqBPY6tDbYmfcWT/
3Uzd+5o0LzgLnzAAfe+Lbr+oc9hzSURWIt5MI3kYRf6FugGBltW8F3X6BTcQ4lzNyyxs/dHGHd9Z
2kWveJ3ymOcci+7drMOGHaNR6oCT+xCo3t3gUqJoJi07825yMwaStMA0lvJ87bHgVL8M9Hdd5xxT
lZct6uvMM/iRLLIQ0rlRSKPBII0Tqa+9XPHmwNgjDIZt1f9h78y229S2rf0q+wF+VmPChAm3QrVs
2Y4dO8kNzSlMXdc8/flQ9jordnKStv/rfbGy5EoghGDMMXr/+h6pBMD8rPL0in1IewBnZGvudTrw
SI4WvZCzwbh2kKP9yVftF7/m77Belqs0JgBwyE7EJyMb9I1mZV/OFIz1zIg/EXrALKUuGaHRlExG
olQqO1qcqnezojAtEY0tTxxLGq+Xd9tvtK+yRLjJcShTE6vQ6DzFmP8w647OGvzGHenzR6saWYFi
ZlqEgwkq5oM1VOuhH/Gd4uGMmuFM4BmNKHq13UVZVNq88XPwPmlQTfmqc9bUTy+NCQs8jfN9QTBS
pDh1+I/GfWMxDlw8s4V6qlunP7lp8MVPGcm3tfsQqxp0WIAVqVg1KQo6OkarRo9jtKLxvKD3sFsi
ctB68cWov5B1p70zkBSI1A1XATxJHBTryrV9vP9HOZOlWSsV7bkjQVaEhdCwr4OlDr1POYiO7PJh
8SlkPZ04xrkS0pv1l1L1+lpM5h3VecS01n2oxuAJ8NaZyAojYUSQ6dZdH+GxN0RwV0FQ3ibQkNdy
wd9VOS+z3BJgE3rTEp26LEF63ytLJpM2/lUXv8QqeKcPdK5hj51xLGDQQKzQpe43v90Qm/auNGAB
5NOOnNcXRmrjakZfsUITdkhDBCSZZZ2Rl72MLuM8A4bZipvmkzXsQ6ZzGLD5JOhPglYM5+i46gUy
MFlfyYFTRPXMO7OM9yrIa/RVQ/BBFI2zbgu75zRtGE839YchtsVKO2SBw5o05SOm8aFjhbKryuzK
R0m2iswHIOCEFoApDsR8nJPPSRVskYJSvHOs8TS+6CJ4kbVYYx7Co/4AS2ErEnFLc6H0HMWHpu4B
UoYZS74iO1Ry1PjCp3WqEsKi+LntxJ+RYkL/H12HBav/Ia/Dad/xFgLEfTAIKPdIpkEJROQEqjbs
L/hj16nN9dREl+MFy0DDGlKCbpoPKmG7tkLvzLV2FzaES3H1TGyF8rK8zcul99I4YgtXEilRkn3W
uJB5cVsdEJDxRypzPUznqdFYmzKodIac5qrUERKAs3jXOfg9AKqiuaBt5hklw/uhnhiMGstntiuZ
rETqPMZcLIu6fjYK98XAL+RppM80ISnrfoVnAfnorpDaiabFuENUfbv4IOrQNDZEb0ESDh8bEDsb
wlGWVaoJPoJxTM7aeV019D+xJW+RUOXcDJJrkwNBaepcByhTI+bpbmTeg9NCTEzoiTPLlVxEm3qc
vJjQrb1Qy4stVex50HgHe2lhSglshC95TkgN5nq9A4DvCBagqHuv9aymiuuQTeoZAQwuihYeDdAo
gm4ToGLbDUSSenhLNr0Am95jp/UG6d5CId9K80bLeCs0P78yyIwhkssLBCigsIwZYab35sC7lVgf
hnbI0Bwm87Yoa3eHYfpziXGHmbnFHE83PNuk/SRTh+aWgXJFcros1xKa7HdTncTrwG3f0TK41+vu
K6uW97XNWMWhTUKHJLhVydfLWT66+zahpI/rHr3DbpBk+WTNBHVIFTcRiW9MaLnc5rI+VCY18eWG
xagj8maNHaV37Ht9g4rRd01miFb02ezLm3Fqn+nMv4SMjEkp+Uima4XuJv1K34fxkomJOjCyXSYN
a4Mw7eA3sFYcV7NWqU6uRuwCR21o2Y8WinISWPzuoAVYxzFMn+dBXQ+wjhjqcQX2e8OrQn/TRRaW
E+Qs/qx/05mLOjNqyzCd7mYzw5OVVx+jDsNkGXAz0gQKMXMUhEnbi+e7r2tuTulZQwrszTlTLhVn
zwjNnvBXH8Wcr6KR+ySOlVLXv4GUImPRHz/h3oeXJ9PAs4NnKWXv9eWVNXwM2yJd17XVrHxRLfK6
FhO5zcUGzPHB7fhr1bb5VtDQxGykr+uBwRFkTjpKomVdzsVnUNpD089cKhwMBn5n3EH88yq8QluW
uRNeV4TMjBxZLJt66qF/qUZ/VQVMbf2eFzF0gLvjEBHcJBWGhLOpeF9Tvd1mKgU3utwO+fCYi5b2
Q7pUXzEymVETuz7igkhE5cM8tR8gNCbHEa2Cl2Opri15p6OQjYQebt2OO2VoXlstAqEkpmzQrPJe
G3gtoXttknTL1S3VIYTo+VUjNkGhheeldIlK41rBUFwpQ5ynWf9wOXNcs6AVROPB0YhGyDV7o0aN
riu3OMSfdoJiCoc66pCbofefojhDmmFVq+AMxTLhRJJg4kfVrseQQfE8IAyJ1aJ99lcxotZNgcao
jvJvziCqY2TZKPd0/7ntLHjyfciExkdqucLL/piByN0kGmWWnWwtl3YLKcEru+zjbSvkOw45BDbb
bk+tMf77n2oq2lNNwPvKmmoUT/XGRsp2NEWzc1rE91TgH8MKdmXC1KBpaEhSHNPhrF2B7jt9SvVx
HWrN8mzvWNA9B8rCU1WW2Cj8ehbHAEjZ8fvXOk32dd7TnTJw1x3DIr1BRA21xtTvnaWJUU5mc7yw
BgtFPzuIN1EnsFDKujtay8LyMle5fHn5h9F8d/S3U9B0R1t+Hv53MoRMtPDsCfhkRzTNidSwG2nj
a0mWFaHrMEapY0GAldmcXKNGLNZubWcw9uQuofGVZ5GFkNWAxBLzhf0TgRNUC/KN3F1m4OmWLVqW
fFliEs7THscsfW/VoF+qyw+gc0qPFplG5R20x7kVAfnMsEOxkMTMBvkkEf0dAYt2yM89hfmZ1qy+
yY2Amc0kAiIYWoDMYefVqY/dPsPhSzcGy6uhM7owbTRDDFZdadKUlyPTr3ZV5/m9b32zx9y/h41D
Aeb2X4qi7q9CpfdX810a2ueyMhPGjY51ZCvv7fBTyaThaPq4eIM+PaTw6TZVzQnjNPqI2sHXhHd5
mCiDEsdGfLT8ICrBInUdXmQxx/dIxIZjvLRYLo9S0Ci5Ck5k4cIfIouDEDX1MddmWnGcrN7c2YhT
ge8XhjCPQ8hw2NZN5k3/fG2MiLztPPyaLS0pRCw0cL8/lJhLJngNixZNYTKmhS80whxhGblkqDbR
mjKHNtToALvIjCtCozUyoJgmBxb92+UrY4hYTrkBfZvR6ct1D3v6dPmnWX78/cuhfET94G/tolUb
Fiq0VbN2wNDfCsInoIHqyu5PtJ9YG6IhJN0oGq5sP1Qr07AWPg25orMO58txrVOV5fb3R74EOiTB
sGCh4XuXX+nI5swbULI2doLLd8zlj+ycJGNVo+7qGv1amNa1P8Q9/XftVAKO/5jUfr52LN0+Dz4y
g97t+tNQDfb1pGlX8QKWmuVwHyGOOgNtOeUDLe7KHNJTpTpBYmnu4muxg93lSwwpZxMS/UYN1Gbl
oBsPiAzEVTOPmJh7QjMm8KdbhBPBmgzVgW4lTnhk/3eJZSSoMcaPWaeyx7JzrU2aUyAkuUV5DsbA
7DjaobIffugv3BbpFBT5v/Iuuy2ivG3ADL+GX1vLap2ICgdZKCcLVr03BP7U1YxZFnW3b7Mm3xlL
Bzp8iRI41GbuPKBAY+EAY4aoGhiWEXev/5/tSwEVHwixYs7+2tWHo82Y3Lbs9o0a31tzda4VxSQL
QTNKvlLsGw1zts5mciDmP+RGLFzv70dkAS7/+6UrrI2GRARK4szrTVP8a2BE8m6fTqwTlwVj07kP
YzqJVSAnb5b6XicB0/tv0+u3ZGvHMX9rTV1/S5+H5/rbjx2v73/zd8fLgmyNv1SQhsIV7MKv/rvj
ZdEMU9w5AdlL3Tawn/7tTHX/4qSmG+aakpaYubTJ/t3wMp2/pMREqvN8BJGxTvlPGl5YZN+cR65u
2ThdgW87NNIwXL4+j5K4D2Mxu9W+T4BRcC08zqKvtsSXH4dLjjC5DxvOqGiF+nTRCWi9vcEzke9F
z8gQMnYLyYjscRT0pPFpqKtiaa0gbRBbRODVyQJDutqiA2s3BPIEpz7HIrWwscqkN9ZDYbSnhihz
VPZX5NxpWy345NjwZlqrRXVsk4EQOQGLA42qX1Ths47cedcoLnmk8xyoxGh4SOuEOjQPdUlT3Qk2
UAS+sS6dd7JZyhBeopf0WGzy5oMcrXNRHqNMUJh26ScaZQ7gs243jgsUcIJzAmPmcTLJoiQM6+yY
tbZBSZNsagOJNcQP5Jq+znjB2vks5u+LOD3pAcsprbNar/fD+WRPwEBmBIAqqq5rYfmbyeE2n40H
p9Nn7A9ttZVNcmsEwSfbT8U92o/F4nLlxxnd+nkSnj49dAX9P43lD2o9VLGM0CtPxgxmR4giaEn1
j7PerJyc2nU2rPthMMrNKJPk3g/UR/h6dXpt1nZ5GNom3NRSfJtzNXixKs94nAAwTa43IhhfG+Ro
0WuPPnUFEx2NQI6kZjSdidHDhQ9bcoCKSOhalmU6as0t59BLMlDqmiUdihou22VBYgve+61utI+Z
EaB7G7ncWqC8QtumGRp8Rc8WrnI/C1ciNO7q3rizEtLNAR+EeA3CnuZZsdre4ME4owEa1nqQvMA9
WqfqOBMTQwOzQDgRwWOT9oMPsRAElF15TT2duDXPxEZVX6HBMadkELpObECZVpzdhmwIcSfKbtVe
k1hBe8Mw7nItWE1EJRIJcE2WzGLjz+971tlexNQdQh1Rx0MZYzICUUlheUiAHhgOVKopu7L0z3WZ
3WIPOKLKXXAx2EbjmDclmYJPtLAOU0mZpTFvpeljmnfJlHyqLG4LqiiA02QbYkfTx4TOEt2hrEW7
bcLn82mmIm3R9pi2ey9ijFX6N0FX3Yymv/EV9TKJ1Q/sMS0Ji0F30wGUzITYZr0B7qai9Qj7pcP/
szcDrdxko+HVHS2jvsW9BOcdoXY/7othkFu7UvuONTno9WE89KxC4fvSGxiJRjdz3NqqgoNT6tMB
meGDLVg1o06oFiPmS+zQBwtPeFOZ67rixpcaFnJfQ16iqDyc+65uhhu7JrNTR50zl/e2NqHn9NOt
i1E6F3X4aJbMxofoBcumn2W0PAZrT//ZWTlWW9FhdvfxdI9WvAH7y3pSJtzNw2uVomrF9+Uxrop2
bVrSO3fLwmuymLqLwNPATGCCZjrtQaBEa7tBU59wqUnqPjqUn2sc6bfW2UxDyn8TVhcXnW25XNs0
JIZoqoKYvLanaYCZG+j9uyyCKWIwiutZS6+6yXBW7RGtlSdUDS3RRg4ktQHSm13dVVM6XuE3RQpO
gYiRdgo2oZnXmzwq5S4jSg1D2eKPSN+RxyH3LJo9QFnN1k+o01XX0iMN9Ru3n90t2LShgpLqR+F9
EVYzHbX8HiF0RV5N9oJ5G+vmHORo7sUXFRHfydpquPdxVvXI4nWUq0i/A1fcqkqkayKxzv0ENzQ+
tQs90DRDAtphMTm+/gVKWLTODOtxNvL7KMBsAzYHTmvn2yfU5uoUjz3BhPa06Z0s2KIE61Ypq+lT
aczZdmAH4GPWJ5JlaorqGF+2Nn/tExaD/rQ1p/ExFpazsgWejt5ydmbQtsjMozs1NsgQBA6Fwiep
g+6xfTIMKziUXbCmiMTP3p0MMRIPKUa8FWmOOFfX2/1Mto2MSK1L/CWdpK2SKytNPXJHwkPKhL9I
BmvXOaDEeqTmcDmjeelq116+SMgys3kxFN1wgkW0E2NV7RSljYWG1LjVcosSuY9oXWmLlTMldgBS
GBkCMZvT6DXu82E+t8xM9qAhkWJNOg6dDGnGnIGeoUoOKxesWG4+ud0c7+hnuaepBwpmuvY19jsL
2fkEeKGW9jpqgXhd9qJeduXyqCLeXcXqePmCpcZIxlz9fS/zMBlPSbeIM+ghzyx50E5ZrIguD6sI
xyHBgm4xHwPbfCh001hrXbifqB+3tTTuRhMhObOm/rLUUo15vDzKl+WXJJZq1cbEOhVz/5JZ9IIL
UgpWRvyhT/mub6dLNPXs1fiXV/okb4NcQr5x5+uLXCBAGnkQtJBYDSJF0ebraqS9+t/K87eVJ9AO
arH/G4rydw7Lv4qXf3lF2mWfo+cfq9Dvf/93FWr/xSIB1Zh0LmPXpdb8uwpVfwnBUJYyE1nZUoj+
U4Y6f7kAVRYIinDIWLH50T9lKOkqpsEPbUsZdIv+kzJ02fyr1YyrEzqOEs8ypMVgeHnl5Zfnd1Ee
LMu+/zeJPBHhNOp7DRkXhqwseLHmE3rmrc6HFTnnSqcUiB1KNfHNakIE9vd4+tEZfTWYnDZkSkSs
t7CD7IeBiKe9Ht201QeBJa2Nbn84zL9YdSKk/MXesuYUjIpdaUANeb23hUVx4TgBezvSWg3ptTZZ
easrQq99+WFyyyvwe5tgEZeovZbp7xbpVjmfJ6fHK4JqL8OvJukzZToSngTipn8dEVw6mPZhYu44
0DaH3wnQkKnAjTK/NdiyElTFoX/D01RcCxPf95go3y5PRzI8OSZ8j99I0IbJqviy/A5Ne/wvMQUe
WkjL3Q+u7+nc55ZNtQSnleaVAyZ5+dbyK8tTVqWg2yqxcw8krg/bwSqPjdNt9PKL5Nn/3qmKKeiy
T8sOXna4GraFbm1slXnL70Q8XcBIxB9svKn8bgEdC7GtEVG28LjicTNg420lm062TQBnxtFvlt8J
M3tT0zMP+VN+LEERByV/svxqwPfQhEwVXQ8MhwkTug5MNSTcqibajb+WEXbrzP9kNxVdLJ4jQk1S
hcjLqPgq/rZicRJMDMNAmmYunnAmgfEJws5emv12+Y0kGu4qfpt+awJ0jrej1V8MtIcgoZlR3FjN
SRbbhr9Icp6AbVz2i41XQm3/fqnL9pgDoUnkZq3j3uv3y48Yfl/+P+6pIhusEwY07ssL4HkkQFn4
5rvl8Cyvfdn48hoktB7sf9vl8XII/eUxP2sApmFHj5MHnV2bzPxRguUx6rABWkHP3Aj0XUbl3Ek+
GrR+bB73xW1sPNAtW6O89/C9RPSHqSfhQuLq4hcaMa6YKu4n/QIGXlWgqGXcb7s44wKfn5bv+zP2
2d6Hf/IpYhvL8zZJv43wCEPFvjyFwWMX52aORWjZK5slx99/6hiQSGLm6wOtXZCCPo+Xn1XL025K
uVRt/TaRkBki0d5D3cFXi+SfPVj+jCQM2/0oCNRJbH/fV9O2d6l54r54zmKxcm20VDbe4gr6bHnF
IsvTmS0/92NGPZy8GzX/gXgFCAJm+Slpsk0qEEZN5q2fpY9DaaNng2yQO1QFjeLuq66rGus1lXUb
J8y1DZIco47ktw6wdrUbyGRdMcd9SPIPRgPuQIv8ipqBodakD19yGayzMKf9vngrNRHeotHYNBi1
k6jbmEN7R2qHV8IL7oqZI2jecBH7b9vmT4Fkggrnh8v6T0ixbVrU0ddXN8wF0MXf/PuO6eh/0Xdx
6DpbAp7tP/dLR/3FLdReUtwNwS1woYb93bYRBJLRmHVsg0WwBT7qf++XhvzLQvIESmyJhjZs1/qP
7pcLLuzH7h/nsCVNKSyL0tHUxZvGZ4BIcXbKottbSdquq6yObrS4iE9NWd1gABdrG8DNLiJA6YoF
LR8doyq8okrwA9/Kcg5PRtedtRZgg1NixFFWnV8ta0ok+Nxyurw5tKK/bqzK2dfgoXZu2P+pefo6
QNayFo3VIgAzdFRYNkqH1zfRqgpmFjtju9N5q1jMIsTQMoOhMu2i3DB6b66MVeeqr+RlpP9h4/b7
xgl103UF+4je8euNQ2XvBZV7u6urkP5QsatStIr1FEIXFQPBDMFNaXPXSTDa+0Tsfm+jvsoH/F3j
+rJ93jbXtBXn2E95crMYEzyust1lTnNryiFZiwGTxeISyhSxCDXi4YgeCDdSiLYgG344139Rwog3
58/37fPqJac3HBbnzesnDrFLUouDb1lt6DE4fxdgJFyZkyWotABpmGbLOsyJvtTMQrwBojh9lx1E
nJwlFM7HWvvDIfn1HrEkWj5cAof063ekZejpm2W72NZYGIl4DDc55dvVH174m9KNF24R4YdW3pEQ
cui+vt5MEzgm2AOfdt8saFA6RI3V+HUeSx/Gh92C7A5y/zw3DHKNXuy7QRtuVV3jHleVAY5Dhrt0
tO1THEnnP+voX3aNMhtnDEGHui2XI/RDDWxVvWGGou12TfVV+YzMbS38AhYTu7z/EEldh7eEm+H3
B+Tnw24ZYFaYR0HcE1y1Xm/UDxl7O2aBbRUFJmtkN/VK3S02v9/Kr446tF0WC0onKvISr/jDS9Md
XJMiIa4Qk5Ozhky74CwY2KemqP5wHi1n7g9XxstR/HFTb95gW4LfCsCn7MC/gQRPIYR18dcSkPWK
LHG605QCEamsv3+B5ps2+mWzjmItZNLN5wR+c0GewoTJMXaznaH0jtzrNt+7mX5qI5VtWaLjaXFv
yGbqrstyeMAKFm+mCgYTPvFVqakEWbUF2RmOFR5pA6aW8tlvYwuww1k7XT+spjG5qiz6mD1cls2S
glMHwPw138BDhvAvr4OXBm3hfkpua6eA5ZdYeLwmI7qC5hi0d6LTPsnKivZ/eOXLAX1zwE1dKjS9
lqOMn05bpwlsA59yC0a1TbZijO7MFjtiGPCqYFnctUthN/TaRvXuA3hkXJJyuh3yXhFPYPWMeO+B
RFaEULhgEpRYlU4x4BKPm3UQUYcRsUi8Ra+vGmALXmoVZwA/+5JuS1UxEZgN84pVZXw9Nl+ijL5N
AE1l739AHQJxLu6uNCN++v1LFuLne5dlQg5dBMkG1g3jzUc1dlM7ma203aG2yDZdNzN1JY++YMzY
ABCJi4QJt6N5g2WN+3wBqWjWywJH1NtoWxITcBUUX/OE/+v6xwWWtsZl/hH4tiBwCUqIa4mtTRI6
MB8bWkeqHtyOtGv9c6w54ftshDo4KO6TWtWxfOFq1vbZ5EkfI7DeZqfMbdpVp/EzGWd3Y+/cgZx/
jy1JJGhb86kCvayujVans0eqwXiKZ4A8ZqgM+CfVcej6u6Ac3iPxTEbkLEXWRetC3rOGf09uzH0d
W9betTUUeXm3aXvsXgXNpQQTRy01tZ1Vaa4LY+A+KqNHZJgOHnenRfbjBBi1ItS//Q2TCWKk6Ik7
0/BlKo3S04jb2Yigyjh2q1QlR8O5VcQ0ZdoeHM+D1BmvDFp7EwzRKWlkth3L91WE/gA28iICSo9S
hwsWz2RsTVZtINrV3omC9IXC/RLW1pdC1beWfLALlKxZZX0yhP0gZ/kBM1Kw0tzxkDHEQwdr2qvW
4UnqvntvBw4QFYt2c5GhuuJ6BfKlJso6nP5wVv184YIrQAXKpVi6tlJvriAjkOyOcMB215FnUWbj
zunJChDR+OCPjKgQ5Xl+CkDp9+fyL7cKOZfh5NLGcd9s1a05O9x5cYvrj4053HVF+tIh9iYK4H0t
k6fEtT/8fotvh/ZcKgnT5U5AWrXr2iRfvL7lgMDscy3tqL1kD/4zybi2xfe11jab+tlSC8MeW3gL
1a605j/0bn7+4GL4N5by3HWXftebD25A4k489AUvVxUfytrYxpOhHeScaLiTUJm0e6V91QakJn94
0Qxs31wl2bC0HepcE9jw23c3032Nhi7HWXbqDEK/35gZUUhpMI0HdCPPGWsGz+rhoabhfIaIhUQn
T5/t/hHIhvjT3vx812dvHMa+jJgFros37zra61nY5Ekw9KQK0pfLRlBe0DcwV52JT+bQiHODZggx
QXFDZ4icHifeZOHwUNhonyxUcb8/Qsav3hrqYcYBwjIFfcjXp0VVwXCIetICDHwjXppqm9KWYttH
/WMZTC99MxDwVhESR0s74L6XPmVm8W5Svn7VpOJjMoLug3vYHkkFoVvWCYkykhEe7+u61YMHERvX
LZyVM6VIv8NA5Ld+dl0t5gbpw5dJeOrfv6RLWfP61ghBGr8KK0LTZa32phYJpKaBZSNmncwfd5ev
abqdhfKzTd533JQR8Ho97kivNyVEmnRM9nNDxzK1lg8+0R/rRrefjZnSxWZ0jcFxPZRlu7bdxgWx
b67VkKZbHbjlOgl8ck2k86CTCrAkh8wXgvmqdq9cJIV7q+AFB/IQmNxWxzTdBxyjIgqzP1Rf8g3n
+vLhZmVMaxRpDpez5ec/VHq+qGFdOkNDXFQDbjPch9hdVUiqLxL9q76tAKWG8hAOWup1eU6rKXyJ
Iw3YEwV/30ltT3lOn8Qf4RdWGC04NjPq1okk0Lj4kI1gYQmHIvED7Xabftac4X0dps4xzQUtlGGp
f2AvZyUqaOMSrWWUhM71ydEJSP8p/QbFZzQ9z02GUDeRCA+g/a/hAt0Phf319yfAper76QT44Wi8
+ZwNbTpIgrmbXQCugsHsVANvFZC7ifFelwjuN1wXSm+AcWGLJUTMaAxPKet9H7c3v98X61dXegpw
btJchYR6e+lzJrDAk9U1OzdT/W4Aj0w+SfLU+e7GrsR0FVm9IravA90UQGvUU3GTjUUCfbo8uDIl
d02ATgMDTYKg27JUnU7KXYwAszavsqXGiXMQVTL5TOgQhOWqeMb92x/cgKER4TgOpj75wNM+gI+O
17PyUy/sC8aiiJI3mRO9pDkJcb4yblrmtFsrI0asxFPuuAhfwcSNOxwz1O/6AWMnBYXpZKALHHc7
uh2taf3JlP4zrsD3dhdzby/dDeT+p454BhPX91VU0Rasg6+OIKnpD8f254u7rWMzktTAtk5L4/VJ
j04HNWLM5dSRyXPgAy/QoNOuiMI0/7CQ+sVF0mYJi6BIKp5VX97kHz5eTZrYWD8Q5QIKfonLystU
uefSeesMIeMBkuDyDPOKzOXD71/iL0peemGG40LYp3mKsvH1lisfj47yLS7PuQWQHlZS54zykLTN
F8PE4DI7/loZ5P3YhIRB/QCVl02s5H3qei9Ji3WpnK8SYNRuLkcbaiBJLkW09UkY/MNl9xcnOpFO
ho2Tj+KChe3rPW0DWPsI65tdHgbLIP1UNPEzSKnbUbOwiUYvjSr+1My6FC1vPul0/AzXAUFhWkiz
Xm/U7bVmJPKy2Ym+O6Nnp2dPSho0itlWV/DQWs+ApLfVXHNPl+Gd4TsHo8FVRKovyPKCRBKzbtdh
2PZghig052h6iARiU+1PJdDP6zXeSItbJxZMJX9yOEZd21thzzVpcIp2rZcKEkCiQkxqSeRZYfzy
+xPnl2csSySHMZml0+l7fWBsUPAB+LAGWcn10BrXUrJVI7fPXJzNVcr5i+16JEfkTyfszytyhwkd
xTQKUV6uI19vOG5EUAhZNrtsbp8AqNwJxeoQdW7ihWN9w3IF0QDrz2SE8WgHLapsq1mHvcY63A8y
z8kam6ixfqtj3pxn5ES/PzDi56YIO6hYPOp8mB3r7VUD4h6K2ybhE6XJZ64qCI1kS/B82VyzbvwW
RlTHvXS2NtQ+R033JZMEX87oc2sGjVzFXkCp/XvM/n92JuWv3i8qZN4pVreOfHsit0HvGybJAjsg
rfFWz5BVIIw4pM0cr5GLqXNDKqEH6VnfBr0eINMqD6VBE7GLHQI9s11uWNG9OY7fiIAY7jsR3AEV
a85BfnLhsZ8qJzzPXGmuKrfq4D9b+S6i0Dzn3BfcWFy3DhKVyMV/MZcLd76nhIv0yUZ47vZPTXWd
l6wQopEODzlB7XM6Wh/mLoXEZ8bq0aiCr3MVbZJehLshD8frVHBbgxpKjlm5bipqgN+/jb84XviP
bZuLsaKWFm/O71BzosnK7WrXB5ZnEky66eQM4DrvoEh21kMUdne2Vr/Ewx+b2L+otbBSIyLRldAd
FJmvz3C02bT7a1XhpEnVPtY7uY8030cHbSbAp21xGOoapEI2HFOf/qZpVtYxZND1Hx8B1lIWwoFl
GvHTnaHEfdeWjqxgnk43tcyIA0l0fRMN8KhUKJ5HJ8ckU+RXsTSaP1zrf7WYZON0c1nEKHr5bz7l
xoxmC29PtWsVMWRdEO4Mp/gcl0FwlQWVsYk0d0kUnQ9xHxB+AVb49y/+F1cZV6flJ1FiC2m5b95+
KqW8dUOr2qXdTOqxewD2FTtNQ75wZqxr/Y+vmKXQL9aS1JS66yqQN3go39xrnEQWXTALttln7ufC
uJggW/t2pGmzjdr6nlztdC3Gyn3QLEfnNPS/4p0KT2r0q11AXOptrD3nsR5uugxGyhBFMAQHM7jt
DODoooKPVQDXbFUYIb80tfcOWMByqi1sk01ypSWjwsrYLrKL8t4I06dm6idPNXX83I4usq8GR3KK
aMM0C4s7oM6yl3jQ93lbDpuozIJ9ZozmUyLlZ2Dy1gZbQs4nHVZpIJYnksJ/TpS2i3tPGLr+jm6O
9iB9ykg1WI8RRL4D7S//2o9I5gSBrN1ael/fzQak0W4w7xhsVO9bjJFOhwukt58cCEuziL/19PXr
wVjVXfSgWEHckZGiLWZ2DOxZzprbCX33XaxceOPBdAo7QmRQ4z42uYhQOpjuB0R2KCQV+YCtIeVN
7qaPVDLdoY6D+TwaOlrUThzb1v3EIii5LmGkXzkkIWAJcfLHcYof9DrABw/xcOuKdvq4AJGzqR2f
ZWGlXDuMZA1mBH7yEvExTV1xH0fqixGW8xc9EXcABj62WaRtc0NG15PqIqbR7ddyasCcdgOETicr
CM9EEct6D3Ac+gdWYG061+soqSesR1C8MSziDUnN5jjjzLxi5PbUanG3E8tXl2+pcHbQOcuMSEkV
nbmzR+e2KNrjRJvk8i3hlNaxdYxduthe4uWfQpf990eX7/nIAJu+9nc4cbZxYlpXtB7tq8ujf/4h
OYWZ/0BPzrHKbIvRltseaStYXaboOpAjvc5ggnXjJ8UpHHUcda5GuGKl6k+jDfCZ9BZUDKBwIFTy
aM6ydJOS+Q5nOphvNBIRbgDJGoVf3Vy+w+RvuonSWO6dOdkXtX3V5r51+88/Vd6RG9QaZ5U14dpq
EmgltN/3DbxIatxSvh8TZBytyhj+dzBRBx+2VcKS6ojA9XHiHdiGCsp3ivT7XpI5JKZcPGlhUZya
kLWMRpmsl6X2Dmed9m4sqjuY3i0KwVy7FTW9Yzdqd/6omWsrsPyHAMLbMWwwc1y+zCjxryc8dEDD
DnVPXNMKE85wS5kA5S4FGBpH3W1DJLIen4wm9O+q1IWSoo3poS8r3xOQ/raxbsd3sujjOxpM/Wac
0EkSUEv73e7Dk6lH/cmf/4eo81hum+m26BOhCjlMGcBMisrWBGXZMjK60ch4+rvAr+r+ExZFJ1kk
GifsvTZ5nzi6g/eC4LydFNKDxW9G727WaOvKbnG/zmjx3XF+n2yDEUbcz5dKi+Z31B9HDePKvdSV
ei+/iuVFu0kKIjMqLgbpkaMs6zdo+9OLSw6J8oz6rZ5UvWlylK1ytrKtKxYPAS3xzW1S6/Z4Ruk6
0GtAuGvS0BhaaqRsstTZq2cyfOv862Fs8/zWJQkcWvQMVttuI3FF/RGvWa+pnWMkm5L/y9syo1yZ
uY9B2olJIqks40Uvqxx43xO66WYbzPy3gz4K3vqkcjf66Hs7K+cfJjegIAtjkBdtMufTKJuwMaFY
Eo/C9jy6t31P+t1of/bgzPHeVmTfmdZVNHxOhAkHCzpHe2lgT9muTP4mLvZe044R8Qu9DkUMwa7H
ZElH3ZZEHHb3yR/dXyUQfZQjcAm0UWs+nfEdJkqJR83eWlJjcFxlPZ6E2v/VJccakskX+98xHNXc
7hstzj8doL7N8rprUeUWEjhiP3KsWr5o3lxkoGtTmXj0E6zTas7eqyn94iApvioU6IXMXzJTqCef
ZJP3BFh+nJbvYzd0d3KKL8n0Lu3aeMVVKW5YHd5iaINvTjrn16zV/jy+Kuw0vVRNUa3KSOD9qDTe
DWavd24yOM/d6AVHXvQytcTLimS2TwUr0I3MTLW3qq7dzAyX9tI0prcgcqF7QwRi3yamN3y0YAc8
/XsEWYvDL2teujExLoGdPiuUWi/t8mAstNdR+OY6jnOIZb3D2BkY7XGoTHZUy5dZ12YvaSU37qB/
BQsksvZHbz+4wSfS+Jx+zeVaNInS0Wxvb8R5+t388EYP+14bCBUefPspcj36cWejEBZfWcuBXBtz
H9h8y5piUDXM7t49O5oPiapNoYCm8XSL/Xq6PZ71CYWMyAsiG7QsnEaLfd6IWWQsZXJzi/egRhVZ
9g7BqQs7TF94YhKl18qrwXy5mgupdxFMBnUw7wNg0yfS24m2SkAMe+IUG7k82RLlId60YDdMRPrm
ThWyom3uZooTwBpt71SbvjyVrs2n1JuT2+NmJ2x+NSGeaMPQdb4+Hhz2BkYe6DsdMvDZDuqtHxvm
AQz+7zltT27Sltus/hFa/8eNDO45zNn4D5wCMkK6IlEhHTW8c2/cpjbmIEPHGOtUcPMrUR7NCdg/
bcTKsdOt1gc7y5J/0zx/zvMIH0cxhfGc/miT2mGRJI1hsLdVY/NdUPf1Y7MVnr+fcQiu+ig7N0nz
0eJTikz1N+vPNvdxGpj12Nq/8Is/69pUAGzt7pTzm2pEkuLBwF9NvRNvampIrbTPhLh/mFP7NENg
ZxxyKzziqhaStojgRNd4Xr38wweOZ8/OH9NMdnaT7kbziJ2dY037h7j8iong79yOC2pQ4FHHddt5
ZLODoViPeivXrEKxEMSi33rdvDDsSFNLguxoiPm9m8jDdPsZaIo85Go+WFNx76uV3dEy4YY4jJlN
wsZohFY175pU2069uYOfs3EKVo7etISO3aXFfnXyFBlm0mYCWU5EPDSUrA7/LVlRKxNz3Lc9Xlb5
lud1v3Yz5zmzdWzUja0DEI+oChzmtVFJDl/q//ENksnTFGsPfMJ7FUTP7jTXG22cjF1DtMla08tl
yOit8SJxefq3IoO8OM9DSx5YeWibCmgaERB2pd3Scfydzm7oCJChupr4D1nGVyX1K6MSCAukq+rm
xpvpPYNm/psMKc6N3gTrzOeLe1K/BscOYlFh6AaADfWFZDcUIQJxq/WkK3y3jVNk657UrML8NDv/
OjUIf3qg8du8LCQJcFmDdrS+QjCoQn00FBL6Hvyx1uOTEebV0egjKiVTVKAmEn+XI8H2frQWJ7Hw
rX9aZemQqAUO2DkgWXu+601Ah4z8eRW5pJuYMCPzqo33eQTag8G/Du6kRpyZat12wThKd754Sd8d
xyQB52Bh0R0EtML0rZ3ndoHXHZkE/qsYJccIZJuu/PGz7J9FLAl5w1W96qgsIEipMC95j+2+eXd7
66s2JAID4rydZ/uWaiyj4wCyzYCRbwQKt0pNoCy+1BEwOFiAs/ZEzpPIiYAAeVNc+igOZ9P9jYoj
XrW1A6PHJUyq7npuu4a7MbLBX9VTe7Yyu9hk+vjpGJq284bhpmRvbVI2n7jhh1MnuC/J3juUZgrR
esFfgwg+NHVH8nkdZnJK7yT+3voM91uXJt6mqiX+h2EaT49nzYKciIPuAG8a4K6yd8McS0zRFih2
jzaXOaNjSHkqfFtDCpKcggo6Y617agtrhhA0nZmxn1WbHhTpye9ihcqgAV8pHEbwjxe7zKpPso3P
1jgA4I+7+mSQaL0apF5v9CCvTyb9DVr1QZo7sAQEIvEP1vYk/7O9Y6BzuEr9FW4lBuMCBt/je0/K
sSJpJvvDaiA9kRWYnlx6d0gCTbfpMcZxXMU6eU55c3IWomFdLrIPNZIXnPpXked7M8aU2ETldx/L
imimvF6VfSdOpJDLU56xXEAQ67BF0bpT4njTXhDLlLBsxxM2HEqQCiyBlt9AE3j0lYspyG20jR90
e4i+wG+GSF9bntmcHg8BeSpeQ9K40giiaMr0oFrHRqJWFtW6SNj/18qvTqmjfSiNfJFm+erxEi34
Oa28bDsrgFiirk4zYtiTP85fvkOxZHUIyxhEyW3ngnwX0UwAYbb8lOumEQR/zNWJb686zBHXPLCu
Q+Zz44fgeiKJoDjlyzNjSHazk7TosbtPv49EyFfR8fEgZq8FvmG8V0WM5FkRyvF4PSsCjsrH04E4
RMZ03r6upvg05Tn0luVZkMx7LXXpgjDMNbYx7FPZE/1e24CLVf2RyGYM//uSoJrixEeqW9uWA781
ocsDkA19KQP0zsOkke08io9CxOV/L/ut7a8qN1ObYZZFFba21dBrwGgsu047qjr/hrgZbVlm+Eer
6wvO8f5qLYjGxGtAZ+98eCbs0PSBjSf3NVhL3aZoLW1v8I7jDEzzvUEHtzUHDF1zoW1Q2PsXYqR5
GJccwkCXYa1Jk4ucGEbReCqMk5/ZN6ITQ77FaUdOnaoOmVvroRM5NNeWf5y0YF7D+CVsi92DVtOr
ErnzZ+i0YW20HKyTHvwl8TIc/WTc5oRKDkNbrQGFJBA/8UsewfGQz/Z4Oqe2aE4PaLz7eBVhNl6J
fmG9P17tlj/g1EZGbB+jCo30kFnXk/3jdSupDC6KJq2OugvECcHJ8tsfD4+//vFMHyxQUAFmiMeX
//07/z0+/qjQjGpddppa//fi43fJx7f7ePrf13gbNxjc8AL+//c2Pr75xy//9504U/HhmDOp7su3
9L/fmGAS2I6j/SHMHrzv41dzzdk3zshtOpbtfwCRx7NiQYk8eCL/+4XHa//78vEMKUcRosd/e3z1
eBhiBfPyf3+WyDYnrMfk9nhpTot5q0rx3bQVrbIPVrYMPHvz+PJ/D3NGI01wOe/24ylnOjjPYHTI
WrSOwqAWT+rGWQeAuzZK1Ode1+wLGkp3yfFrwrzNyt1YGhDRR89f6csucMwmG3pU+2/MDIy1sUH0
Zen+4UaEnYzDeZer5IBBbd6An7Ke2skgbCqqxovr04lLltxlyXBGNXgpbIncfkBgZebDD9QZfTcn
JClCg2d+j+eNbW+qf/u0LreEUQd99kvp/aJiSzaKgxzmxuxhGLUydK6cPW5e/DRje1WOeUewguxz
JDk5SqIPwcR+pbkktOjEmgXek2PooRjr72iMi2NESukW+g/df9S+FRktXYcHPIOAj9kzPSRqdnd6
4LxULeIiAu32tFZP82SFaUD+SoNnmMwGc2cZ7blQRbv2cf2uA9R+lhthWAUCaQ0sgcH2blSPfbH3
MMmXRf2dvgx9fU/tCKMUgZJVED9ZYnwix/0fuT3bssR4wv3zp++NaJe0NB6+1W76xj5mxOrhiWaL
MKKwoLFjWMSMhYmYokJawgC0fmsI4Z/Jvvs1drdOr56jvB52JPpAfsJE9gSD7ptIu2Sb+/VfGXev
WltP204f5DqtxlOcJXgwiJBWHu/sIkvsIPKqRG3Lutt5ogpOsUKbkFIbGdWA19n8cavI2Cf9W4J8
6zmG+7OSaXTW0KdAJj9MvUCNZOnnICDSIQ8yLNqdIPcOeApBjKnB7fmayb8Ed8CYpAUODScGaeWI
Yk0gJBkNeu/tgljhH8UcvDBH1gZUN7NROWMtI79qmor3TTT/oHHMr569ZJco/1T2eHknpx/uFsKz
tJQfWiGbk0fyBrsOkpIMfFaXIpV7p7f1w5Sn+LnKd41v4eQw+sDcCYsQiOO4ne3CDoWXRfvGlL/p
bvsNOxyxiz2zv6XuSu8o+SqNtbzs2hgOtwdYm/UmgvSajWLp0RAKendGYOVWMR3gF9JXGpppl7Im
IhkUT1LU39ExBVQm1AZIDU6uct96E3NajhNFK5C46JusK7XDjKCeiNXKPpRuJc8YlLkTlZI6OGdk
G1nNamaSiCoq+YXrnDv8TM6glSl1bpkPNT7KLHLI1Fo6Mer0wf8cDVkc/e9cdOpWR7ssUtl6dsxr
FzNhaEiL3ee6uOoG6o/eMTj6kwQC9dSXoes0wQ7ta7BJcvtrKECoNTbAmCSl3sddFtNWrGcj/bAI
0Q7TqiNrT9A4JYIiVcUV2DBiazWtaJh+pHLj4W5njAVdTMjuyTELtU34SwLmXIeuIxJQJ2ixSwsC
hCvIXIVvXguTtXCu25T2IDfWkeBgLvTfiwZMaopihJ8OfR0T/WL+V7FK1kT6SxPyX0eM5rEzcM9R
ybu70kWuhR0XVHpQchnx54OxXUILkj9JGoVj5dRbSm6xSdLAuyQDxLrCSmusYcg5HcVOmrnfGZ2T
v5EItrl12hEJY+O0V0LMu6xN801kDn/TVEx3TkCEMEQYrlQ9Aj7Oszqchh4Mz1y6B41uzkDxDVwo
ucVuTcJRTwFm6ea7DQ4yLPG1HEB0LEB3LdhPfXSqu2yAt5clL+1o/Y2ci5DXJmOPQ7CHtUyCs6dZ
GMElEda6JN51Y6iSS3u5igarHmCdGzcvVjRxQU8YnuftXGtClkmhfKmXB9ATie0cvar1ji2R5jut
VucmkPnlvweTs7G1gn9RnVBgsYTY6hDLU/pNZqk7r07OokKm4qSg51gHeqwAGQ6CX3CGvDs1COdP
NJTjxvTZX5RxBCHTqkjKKTmplmrS3DkqPpAvUwC5JZhUahX2yHjYVh6U/anSQpWC6CdTdTVWv20D
1Je0ZMqaPDE3701fuSEmdNbCY0R0uZ+E8M5jZK6c1hpAdEZEw97Wu99TNScHL+r5u8q1FpFPzn3F
3PIq4SUpqTQdqEN/ofTpXlucUisXoMrT0E3j5s9Q9n9MnTxUSBKEnwIJV2NlUCdOP8K0yEG3dlM+
ucxC/dWoNHlG5bzrqWCfDDh+Gb0MvE0+kWYH0ZJ70GdqxnYIVPJjbrNLErHUiIcy27HL0fi4YfQo
O7GPmXqFKK/U9NpEnLLwEcBk2vEvho2EJCRkCRdmtSKLyWSbE6hTle8CZe6q1lwgKlyZAX+nxfF4
A7RPmvKNMnUIJTgKwjLJcyvzxRmZvTHyxnwUhF1l3YLZD1DWegUjdaI3PDlch1g0VAyw/Um8oMfy
i+kYFNra07rxKWlOLcgSeDH+LacCjAtN3ZUl/5BSyIfO7vPLmDefeZ2lBK6b5At0fegwNdtSJ5MU
IRDGqUn6BAkal8SmCxHgCgfSyk8ey/RtwaG9Iax5DgfV444fTaJOtW7toH6+AcjdNlb/bMwx+rms
TrjFUj30MjW2068l7OS5Z4GEFbOy115VVWvByCsUNgI28jHOIxrxQx/nfwcjlmtgQYSiBTkLnsL6
LorA3NmD4oxl1rU31BxtW28Au9uoA3OZ6eAsgLhGkY/cgpMH94BP0h+/NSewTnWbBecxCOKwQFOJ
Gstk2TYCzofM1V4ZBehnErrXBnTAp9qmh40m82YEYvQB1ojs6Q5ZDVww69V97AAD4rTVIY+6o7nH
uaXIbXvulVW+yCLeFOQbPaFRqF7QxuehDxJkY3S/VBfJVyfLusuYpL+43OrXFo7fCZ1JtQqif2af
lZ9p19cnXWoAwZYvUcaVm9Y186PVi/FAgqfc1F4cDuNg/NPS4uTLdquCcdPXjvdJaDHpiawG48Sj
VyUH/Ab3RmFvaOkJGCU5UZbtTbMeNp4xzDeLH/PKyezyUGDTXBOvDWxCI9+8Tr6csT8Umd/fpZvE
V3am13aU5WtK4i4jKAM5WvEP9lAPtEyR51kCu2lvcBuqcz18M5BoLoSks/4rkFYmhPhlJZw/MkPg
5qTjQTeajqtLx76hAWPLWGZBxYh3JaIedluUnVOtF5yRA0sSmpcqjtK9tYCYI8qUR9KNbv5JsVw7
Uw/Lo4iNrZ1GNLhR+2Va4uqapbg6BuPCCHLMwWnmAxjZcEwxK+XTHGoycZ/6zNnZE25ylrb7vh2e
Hdtpr1OmgDmYRh8S0GdilufuGsHjRbuX7ICbBeeipoYdqk9lJviIGV6iqgz2pTS/vVa3DkFGQpO1
4M1GCywQYWSPqKqCfROAZshxnW+fyzH+wVrHQNTzhm2ezS4wuGFX6MI9tElahXHRdgsAsIMVanPD
jaaCecJo7y0RwjyHD6SG7NZz6hqp4dzT1HFWelR6xPpldmhWTETITgOLbk5bN7Ut0rSbbj9DSTwg
5TnMSWFuCr9AVsVJMSg3tBhVbRyhy4PKnWnlRtN7UhvOycKxQGDHAvgcyyCsfFWsxyaVL0ZRbhuX
kbJA3bKTbkmWbxSkIFVKzi3G4yuzbqaNx+LN0JsDJ9KI9MPtGXz0ybNvwyVAVt04wY9hR/2ht5gM
N5azaqeUom8gmcuky15LsuJCAuHsjV7a2ta0YRHl2hSWHYDipf88zQteKDNhT45O+mUyYj3YfvAV
k1ZyUc7WSLLkKR4xixQduGsW7SXFhcdERdLd0dGChEWsbY11dR4m4IImjV/WkOidOGpnpekOESaK
c3c8RDlI7LrxpnCoAkjb+VOW1d5V1WQEGcDh9QZYrdI+jJGtjKfu2VRHIUmBfyZqxXMlaDwZrp39
LJq3OXKcHW9MtFf2B9G3pJunkUZ249/Iq9wPI/sjpzLaBs44nW2/9w+qIkkLCTM39Ty5JBUOGMOu
3spqbC5RmxvP/fAqye6kOOu0S0K4x7VsOUkY5e9yBCf3MukYDxEGdumLq+PTy8U+qmmINQ2VbdPe
IyqYf1OhvKsGgtfoHcSrroVq1Nf6YyEZL5BPr4ilmXETLQ+NHbcQyKHtUjYG10C/s/Y6Q8rax0rk
ezXPrzJpszMriulZ2fNamzV6jYdF3bE/62b2748Hxnb7LDd/pLBY3umFhwh1CRNoJsxA8fQ6R9l4
4X7QP9u9fkzM5GtgTMzUumdDA2OVmICgucxdVNIXaGqDGogfq1XdBbGya83rBkbDHTv2uSAGr0D7
DLvBX4g9kqlcpCDJbjonJMM72NqVNW09V6/CDij72UqabZv786liULxNTR0Cv87MU9d61jkO6+ba
SXbGFA33HN3IwJKyBjh/xjs6HoMY8XYqh5+0hjJvEUW4hakwHh0aVpGmzaZPamy1ZQxDPDHj0IBr
PBinvIjlS+Wk6xq1FKal81Tg/7CqJFSOJA4zdajfo4S8bi2KiRyrgGhbKXD0epmAThCj5SfLd04R
G3T7mGXlxk3b6WaJiTDRyc1Cs4g6EhkytU4mlkGG840WVTs4ifR3o5Ee0Ruo0+NBU0OwliM/GCnS
8l5OYgsgxXjtueKPWU98VN7p/XFK/V9VFP9omDefwHkhlSTUCTGVWE2RNVAyVnI752VJlrvVbYQy
2RyDyj2UbTyuVVlDyZwJ6HEkOcGRy+RumkZmr8my44fv6zhhm0XNrh2oDokr/5wbwDrQAFYQXNVp
9FLJUqT6xBjb8pEI0m2iGd+TrVP/TsVwbOmJd5nh15vMLe/m3Klr2afjLYrEaZogbE2l5YQVp9Cu
GnJY3i70OEh6H1MDu99qi2YLXC9ZR35GKZQNAKaZSNyc+Hdg/qu9HpqRGND1ucUvoeEPHe0x+8Vc
Xa4jPmKD7R5orF1Obwx/Q2LVSAYsFSbl8FoambqAFZudMt11buuuiDwNDlhgmA7s8rZP93jsXyug
8psoMK314AFkdlrfBYTQdocsB63fBnp9BQNVej9+B2c0qSOIS870arulfehaQr70BrHCQtkvKyI6
ZNvSd/joBDoEb0htWsi2mhuzrp3/ujYqXMFynO5RCu5xEByE1q7ZTyB8xwwCK02GUVYoDAseknW6
orzNEeUgwmOuNQPnrcDxWqqrNnlq/K7J9TFMKn2NtV8rg10hIW1EgdhLexIIDQD4SnSmuyKa930l
5WaUiN5zuRn8mO2n3Lm2sP+RAI9/BISLvnKi1HrSDKM/RrW2F3qxzZe8G3Nk/uNG3UWV2q+xHP/E
JrOQsoNLUc3TCF/GNg5Cm25z7wUXqeXqbIjW36CmKlloskStYcVVFuHX3O+XS7daQ4xRoTV+ZsKk
TPGOdUvSu2fXG+XWNbd6L4b5mMGvopxKp2ErhmrctxYOeTcykVwykqGWQF8nB2Ih2OaWIvNX+RJG
1mlMapnx06Si5yGFeeHxXgs1T0ep57s8mrxT7ISG0aAdh0S78SqGX6YTtDCAUnPVisrakVMN1ZZ7
1FE47V/m4aRdWTV0E4uo0IElW5GL36zJ3N0UW4y1NKw1VEFL8rG1Sl39VDoAz0fws881w6VpZF/b
4V44aX2b0Oa1z6S5QRnIY+QQnWa/tNVvz7QLeHbs+wiRNhZ2jLPvlr5eY7DWA77dT9h711qKa8Fh
FI7nNmOMXlM5lt5HogU+40VZ7Wo9GTe1nAkkikYv5DQ88WaN+BoUvYleW7e+Mo7Y74iKsnXyjCZE
4grvHDF1s71OksY6g6abD+VQPgVeK85VBYVONUpdPY+a023HM4fwvBqjPLgVKXOQlNlamtXOilSp
VyooxYfVQiyTNAfLN7ONjZef5WdM7okKdrNeIqcYCQ4WBE2VtYJtPr8abMqWiZR3NMyi3NidmOip
+cENJMxfEleLGHkar3U+t0dOuKM9uTmmm+F3N5jQsTOhrRuL8V6ytaMg2Zo15VssjO+ENGS2HNXf
hqZ9N8oqWmvip8qb5IzEzg89J/s7OMuoC3zkPsNy7/iD2IBfgp7uR9+mWd2i7DG3ZZA9mezJmgTz
b8enmhwrl5i9xFmPAfuXUhTNOm4lhDcno5DFWgi/pbI5Z8sf9rw0WSXlSzQT5av1DIt8LWOwIMeL
1X4xwwBHl+Yf3nCYWuUdc6M11oaT8e74NVtRQmG2GPiPwWz9Vl6mh6meQIKUbouQHzJ02neHuso6
GnSOEurIexX9M4hzveu2M6GG8IECknq/c2OuTI84D2aOAQ01AtUA20hsLTfWMjjkxfCrLVR6itvp
LitCFlQtzwXOgnXmCjaEM/2w3yDDGgDWxIJ6IC0YBk25/ScyGNHYecu7DFpReKT3us5YrMCgWkfH
174LjMQ6ntaQkSP3g37yT6PFf88efRf/CCzUElD1JmbleAumZE+wR7kYbOONXUfWzmPZkicuGWnk
ig6TIQ4EchBHy9gv7O1fOiGv4PzJSDDSIT149lUwZAErnY+ado8NB6aECY6KGDku5EJ9WB40eYx9
YidnEt4F66fRdlnoW7VERSI59+02OD0egEX+lczWmP2ldcjwgqS4uXqKfGmfE2V9U1Pqfwpl351I
T67JVPuhkaQXrwc3VKe9sWUk1IegSLmeO5s3uIkKek0XaFiRfmSBIJ+hI3qJIVgml/VYG7+2yFkp
mIrsaFbkneRNcYyhvh6q0blbFdg7s+bQmvOa9d6aW0YSk6WHzuNPS7nWKf8jKhTF+QDof8xt4joD
MkIAXL5lXrUvu4ZMkSZ/lYyEdqzLUHj0Vn0tO/VKUTUdRh2y1wwzlAwpxiutdegDRWTg2AIGzWnT
ZEL8QjrYxAgxMJ18DPZ1RAh7ayZHpS8BNWNEb1g7GMybnFaAKMiNEWfHGqDBGRZ8uAjZtxXBc/cm
EaQnjFIPpyn48hCuwfCOMY6PeA+wbnXrQrT72hTWaZxiZxXQi7UZ47ccLAKDhsEIlUVPMwv9EswG
90FP7sqYXcyUazBQaXQvbpDvGhHQ6uAv5z2Onq9FVLhhFnTm1q65yglmZUKTVNGl1Me9PtrBsaCW
PvQkiOIdb9A7mcU1IeFmP8Yh3wd9uZY9T8Ij77qfkmuAZTDJ8E+YsVHsSvaUrKDG5jBLm1ZZu2RE
R6yB0mUby5jloa1aUjWxeG18Ahewg/SMNN3PgmvliYRaRamQHCoUVLdSatdyUv2BdIXmGsRE8PHz
Ly4D12VCIsfRKYHjkmUBCAEtXJJfk9bu1k3hpOc8Ipp+6ltzp6qC06oi/fBx8Ps93aSnAZUXrWke
uHdc04lSUa/lk4izm2Uy9J3tnmDZrD/xZsK34nO5jaXU9zLvLkzl67WqlfsSuSwnEmW+iIoaJRoQ
H/U5m6E+Nb6rTFZPqddse1Hbv3wGLWusQHxL+Du2VV1a73q/b/ufVrb2a23p7ZOfta9Vg36Kfhg2
GgmO706R/AjX7X+EYL7nTMFqVuhhHY1WOJ2nc6+51qExx/zim/ZuDkb5i9tghQbRJP3GFcmxs0gn
C7rJuxKsEIdRLMr12Heb2KiLg8YqPUrN1yYNnpNy5kOk051PwgLo2+MQRMlpXVvF/SPKWufWL+E/
CSACwSjvVi8Pk14WuGXV+GSPhHrog26/zajGV8nwjk8uWHpcsBpD8TRJa9w3o/xXyrxe+5lXuzT9
CIrsaXwaAiO+Kl0vWTc8VxGdL6Mb7+Qw59z4mBkY3wOWNnWA1lpMIjOttXOoG5ViAsDbNkvqfoWW
NltSRlpGzhTwNHXmoOHjjfMvwzFuuJM14lgZJ5sKkRvH/ZdnzOTAaKI9pGJYUPsq385m7uKgSqDU
4XV6ycv5n+Tznfp99WoHnbWv6aNXOdfyrPf6bRg5fjIPJrY+E2YCjV5cSrUIW2y/Y7U6R6dSSbYs
c3rG0JhfTeMcK5bborVKBCTBvS1icRtcoY55z6cOx1Bz8t1Iv/Q2Wepwzg56LV4sR2P8jDPn4CtF
QdM6a9Oj4jKC2Hoje/SZYX977H2yM7AIrCYRRy9ohN/twYfomNf5qYZ/fTcbLnhhBenGswA8T0zz
LkEmGP6ZGHTHxCzP7GjpsWS/LwNjCrusNe9ifJiCnU3dFe55dOPm2umkJHBmbJpOmNtiuYtoBaNb
N05R3qFtGlhgER8vmAt27XOsCf0eJMfG3WG2Kv6QAV2t3VFvnpr+SbRFcSZ+T6PxzI1PhIkYuA2F
wJw1wwf9Yj9cImn7v6ysFWx/uCkajH+oDj22S0DnmFl2vyvC2LfsMu1jaTRfdAT6yVTcE4hz2gJr
vnrDJE4tenLeFQ6nvOiTp2GE4OpT69kwMc+PB58FFciN7p5x/37CBnE3rHQFI9c52lmDiigjn7Of
AvKKa/xGjTOA2o4HPrU8xC39tjYPw77oul3f58ahDpzsOUIY5+r11uNcBP3XAy5ngLGf3HhgJFMe
Bw1boAwsgm5Txq5x2URn3vUKB2PNANrOq68CCDJLVS+9l1Vn7hq2o+/stpHp3ZnsuXZ+M0sEd2V7
lL4n38tu6Z6hC6h+r2Ebutix/hax0PwnrJpboOc8uaSekgqk87dGvnVlK3TPATWCt42m7QQlaiO6
8gqoNqV+okUndUu/6Mz6FzzjS4tAmZ9rlX4kNeOd2scvNkwqtMmEo6M11g5FaF/28kLUObRtVJns
oQIO4Qw0tCrd32ShiF3i9i+mFt8UaSfvXV6Nu8gl4juP+GeUXdydyfdP7OkFm+AhY05SRPuqAPzT
21N/H3CXDPgOPl3F4DPP07uB25BFiemuuCZxeUQH3H+h25ju3w6fghttc8Fs6vGQOYZ3tWNbv0Bj
2sQbjX3QZ2HX6uQWfOCNvNI/WwW3sy8T/2QNyPs6smZ3xf+xdx47smNZlv2XnjNBLQY9oTItXfuE
eC4etdb8+l70yM6MikRmoeaFAAzmFs/NTZCX95yz99rCkJ9IxkG7rWn9U8TBTbM3fUZMlWxoH1JS
LaGxq9oQROJoVR8zI6I5lsRjlIA+qMgb2csKKbpdCRxSIRvkoOTKp4lU6Il4MpndgFY7xhrCLVbj
dAeVXx6ELvieaAfd44CQv6pAqGD99KsKNKZFFSnMbmhf6U2bH835t2EI0+QqCspOoDKSA+Gu39Td
6jqIE4UEDZK7YnlQ9m0wKE81GU1//KhXXO+gxc1A7Yd+K5LD5GbFlO/mccYskIfvc6/ET1l1tyqr
fB7kILyPyojmIklu1hgJF8AHmyoKHunqzMdWsSJi5y3jlhJN/iz9zCL6qdoPQeFY+D4fo2w5dpZm
0E5J58e0pNOGyezQZIgwKHOUw2hgiQqtpn5dAkZYmAsqUgvRhzUNPQcLNRtggd7y054SWkOEXazy
8kVrpk2bjyb+kqw4azM+yEJhkjsjNfcGwII+010UlVpbruGCv2k1mJua4IGNJY/Kjh05pwSbDXvK
GfAHs8Ayw07XEbtp8XuLWpa99XzS2fA7VTkO7O8EaWtJancZFkreKg3lZwKRnrve7O+8sN9z01ju
gjzE69No3BbI0OymS4Mjsu/OY6rJgDVo9EuKopiQ7W7oSTEN2fDmbf+br5MGYdi2HEi94hd5ul6K
JeVKpateKSt7LD/aIRe0yeumEtLty0ze8mMdCs0j+7fQFoUs2mgV+6OxoMYel245a5Dh6ZUbL70i
9k9IbClxjXy+MdqRzmQmu31qJCcsHBoTyPm90Tvp9HMjDBLDHjyQ9C94jDHZtqmtYUOm+oHvKtuj
1pPugbaP+z69VW2gHIJ8Yk2TKGt0Q3lcpIeOTJkX6TNr+7M5WeFzRDLdBaLIy6RblZtpRom/LRov
P5D73FyOOGADaw/yBjLpQt/AL2a2qAvGV8bEhei3ddP+EA0OYrpwVVbaziGwQL72avYrsdBeEhKt
vKCTihDZPXQDFUmiSzC4laE5RW1xMdRBuFAwIAKKgLGXS9IcpFDYtxXfPNCUF32R+q06GCAUjeGN
ykLaYRxTDrTswu00SblvTXhmmozkTwsdKI2TVNUnSlWil+UwqAF/ywFus+Y5oivuMOz+laly9LT0
V72LyCsItNFb2v57qLr7XEmmO6nleIJUsR9KRQMeFz6FVi0e+rwjgmMWFpfrhLkZZQLlfgyX/xu7
/O9ilyUFqMSfTKn/gjLdEkATx39Gf//9V/5OMpU09W/wBJkaKOoPrfTv4G9JF/8mq7oK98/8I2Xm
HyBTWf4bFEJDtvD14Z/HvP8PkKkEExzdmslMm47nauv/n4BMJWU16P4TnKBCxjHBWQAA1bEww+Jc
XfJ/IlqIupUtiRbKD2KVCNtsZgwrZCU+xUI6pXEqvGQF2YU0Kw8oPNQncwVryFYz79OcpskgLc/k
8EkucsGRQamIZWBRSS1jEtal0P1FkWQVGi3NZrCIeZw6KfdoEO/Gnu1BUWtcJ0yhOOLqekQG5cNn
2xpqJ9BDQUEsBtnoCnQhWBSQtMgkvHJaC1uEXWTijC14fdJ/TWtV8kgEs2TW2k0zR2Ubd2Jlz8Vo
YFwKOOmGdrkuE5EaImFibhlNqZ+a/a0Ogb4sYif7CK5Su2sT89T1Iaea/lQXEc2v9qEup62qB4wY
hE47QPXzpj7cLomCuyckMJN8zx/Zu6Qmmc+x1DiQnEOCamjHBwbcvEgd1Us7jJ8tckthJo2iSap+
k1djD6xf/+i0+cUkHBP5Bdc7tanYxzfgiRiHjHWa32b2TDuzXTtziaVSIsTanWwUV62N7qU1g991
xbZITy2IbIouoKvEQxH3ulPnkpuOabuVKfU8JuPFlt2wnwxjf9bU8ISSZthRcmFn0dV9WU6/f0o4
lMSvQixe21Je7jlDQgxKbfhQxI3fGfrEAECtTkPDNkauMnWXFOLvkfd4QBX+mXSWTghXRpoKq6ob
ih2dCmZ19WSEDAaiYlOVRn3NMW79N0ZwfXVd/+VAXikAnBxMyk3J/Av5KF9UNRGCVn8oatKGxAA2
r9JrXjRlsxdoQ7DDj9B5/N0oz5J3qE0udtfSNjM12WuR3F4GIH2uUEoUkmO5GUEY3AzaS267DMoV
bbxuhY8YdBGwz2a4N6rhFqfigPw1mUlJ6X1ZKlAr9dIZsBRMBkbr+GTz/TRPTjjWxsZsllVXBZNE
Ye99HKxR4izzRMRi5zJvN9EsUCll8Lp1aiGjSn/BYmtfWjInrMV4HrJeu0eV5A3L+C7nReiylwo9
HHvYgpTykkjzvVXNDt0EHWMjHOXHJivJe1FEAmu63Hr40yJ3/eOT/TNDF2bbXz9xdc1cM1Zmqqiq
/wJ6qUydcZJYFQ8GWYtuNK/Csmj2kPoqJwWChxVoL0UYhZfsCG4XMcYsXKdqeO9E2Cwp7V63niGX
V33zqfVYaYxsKBh15M2R3YyMJuYUS3HiJ3TObZSCiABqFEMkjSxeW43SPplGzWmCnr1holylpNz1
UWvu4+ljzcdgrDy8UF+Y2ySLr3WE+FSMjQj6KekmNNEJDImf5KqUDnxKBZhKZYMNxaDLBakhrKer
ZgbPoTrRKqqLeK9X8IHTYhwcI14kUnWrt1Fsj1nGqCHvF2GjmseWksqdy4aEcGvC4WRWb7HYmld9
VPekZuVbcVG+Cr0/jo0sbQ0WNxJ20CsPUFjpWJfPczge1QDbcU7UVacKHXt1hATUAH6UVHA0YAY4
2FbwPM3Q4Ef8gDGCQDAuEfJiWdpxHTpn4hIzzUDTqXS4TlbDSWw4Ejpe/2fKhu3w1dD6z5LmA8Pd
4IihOm/L+EFTh5UnxFSnhYAe0iqNyujemQJOdImMXGFMLE/syV3ILYC1awZBVzTHAuuhm2TCeYha
fPO0oA+VLj3pBb5vdax9kAWTO0/QpLM2Hn1Eb+mWAXVtWxHwToqKg7iseeAx+edVVW9rsGBIV5Ho
zuNBiKBMdQOn9MIQ61CjR1QqudxjWaGBFPY7FStXYOHgGxCj+7UhmHt29GhFJGD+C7qbBzJNt9XQ
z/t5Dk/DoOUbTvSvTk/hEMgDsUkyWsDATD9p77TbPGvkPe6mrOvEE8cVPrLUlSlDoL82uC/FirCC
YEd0KjydtfqZmX8EqycUuUFKavFNiXJMqD2tDGztmynWFq+fNeaMllHReOXGKCq7qvsaMz+BTGGR
Vluy6tFqaVTkWTC7y2i+MygkfQPlmS9V+paTIN32RU6akNZC34O3v6ZJQh1RLCB2ITouTAGjHCob
pletOy8Gl6c0PP7oXDGTXju9/ewbSoz/vAxIP5ycfy68miiasqXDbiclj0AS2VpxGX/aQcgQa4KQ
9umdoa1mE0lEsGwB+98yEjqf2rJbLLVBwYB1BSOX2xg9gWk9idkGc4OyaT0xtebDFC8aEcucXnkx
PCMXr2jMSmRjhdMXWWvaQ5zv0SZVfT8dWy0A0lfvTTJ+N+SPorqHy7cX0DXlkdKda7N6nSwUxfUy
9TuGM+lGCGf6z90sH60wiwnK2EQXsTPW7TcIOk7HIyGpNMHAanhkHQgeEo9vekr4t0JYgZEsdXaJ
ovywkMXCmLBAC4ciLZqwizfZZKtrnPU4gZ/RcEfSG7Xk4INGKagNUc0PTau6fTmRDGaZe5qY8qke
WPtHgexScM3zEQVEz+Sd9LeZE+uoVBISDBHzDo5o2oJ6Ro9fMHIX2ESOTJdeqlIIpJrO4jN9iHeE
kB+6EFobmWADi3EB5TVB7APqtV6jAmypR6NOX/zCqk3PADvkWHEx7pt2cZIKwi9Oe+GgWzIF7EAO
Rxx0DIylTj2NhYKQZ8avnFsz+zJcY4c4XKMdJkbzkG8SFgCGCQ3fqByP2x8xcTfpwFcIjXJK8lWO
JsLLEnTPpp7vsWBFvmpgbxQVob3LYHOQvemPCqB3tcyPEmULUd/5sV+M8Ppzs6U1/fs/H7X6elD+
14NWYfNsiKauyxrg5JUr86eDdqwlHPlLE9zbYLJcawitQ7A6HpZObreiKj9XTb4VhGW6D9pnsljz
SWVYLsgggeOl/iXSbRSKLPUEMWMXLE+tG8ul7JOeNx1zOKO2sNyJdUr2U6cL+GvMm6Bl85tZUH0S
Axndq9wonNgS442K/DyuycGAnAoHRVtT4cxmcElemU51yVqmGM3iLwiuCdPoLZuo3wD12PKhxyh6
Oi1dMAUuXtcqp2Fi2GmYx4l+2UoHNmyhU8W7xvSLTTRfmt6IzxZNvMVgMjQqC7WwGuKGH72OM+ea
5FNOIlhmbAxgXHXcC/5//uDVv1C3WC2gwlHbIHYTMS9qf1ktioW5gASc+p7pS+dhSJrOdcXq+ar2
S3AtJmvZAMBH2M1MbATHagkRALm4P1aaROwwUSx3BJiMmgUPQ/+MppMue59Wz2JA1O9AZ8Np1MEi
XAFvE3MRlCjSigFgqBBHeBXZGeyCMswcwrCBwuG62yKeoybQBtyqs5I+SqIGncx8A8hf7pchwmos
B8VRx8Bmcjl/IGuvdReUocz7xZ2gtsF/gzMkP/Zfj07VUA1JkmXDkgG2/+XoJE+iITlYu7NH5IqJ
fu0SS7d2IXu7iQYRX3vwqsukoegD82axXybKFWg99SBhKhlY6gQLsFfa9gwoaec4M/pNV1dps1RG
VXtFakmkm0sHPSRETLQK9KNBzoytKAgyq+Jhn3YMbOvkpexpfJftMcqHo2hU5O5UEVwrmXx5M+z9
Ts+ZnLfGxxzl2pZVcXk0LBpYk2LtKkU8LGBCjsOQ4yQlj6UR1yYlO0YEDfnkIkmbz5nKIpfGg3gQ
4tYXSDezS6tUkcIU+KDEMrbbYOzRyKJgQXeYhHH0KsB63dJjHvB8HeNe9Wd6ZycEhaHbz5H6KEqI
75R00Q95W0G2aGYWkn0YxgPgtJz6CnWfDchk3MiTrwoiaTitJDhWhXgGreor8Al28tQ63jQWmt2Y
ERCTsg23Y65LLupj6VDuZAkdcQiGeyuwabpK6sigwSKXUGBWDdMImAfecaKX9GPZZ/09XkSfdq1h
112tn5cyQK2OcuFoafFrr7QsGy0q1jL9kKep+2WmTJc6THW1FpjbnD0hchvjSlv2a6DbN+UFHbqA
HPccG7HUY8D+uQIhq7/SbatBAdXnuBIu2SiZl6YWGt+MstJTMRAUWXtWNRwjoqDvCZB0SqOU9sTH
lRpeUjkxhD0a5p0IOuNZScG06nM83+KaSbYeAYObxZccStzTOK0SiaZF3ATMVlSJKYd2z2hzKFq/
E7AgJ6Zx7aqnXM6TS11T5cCp85EYTQ5Z250T5pu12XxoJ4Ak9dAfRtKjYFWO34bEOA/BMoqMuBHt
WaZnqcT7KBaiY22GpV+1Gcq99UczBO+bJ59KmZc7KEGfBacUZa/csv+2IPelfOxqJh/ZLdG2HbsH
RZlzP5pHpJ0dgEpESeKJD9f8b9BoLGZ/PYuhhFKOSqam/TRs/lKRmoWEsCAd6rumszlA4py4ldYb
+5aOypmL0n3Rf5xHhXoxUgGQFzAKhM34P8ap3swYcRiL6OwoqO4mRWuYZKoE2AdXIS9uqpwUjxoz
KLlbbqKMcSFWmARjrJAB67Qqs0ldsVFiFJtSrh67hDwlseW6/bPOKk2H+DZrxx05kXwTYT9ezDT4
GszhLmaK9ci0zSdt3TwPkFVtGSEhch0UcFwzUfuDInLkwYTLFGBqozvT2xTOmd+OK/ZIIBUqkKqI
yaG+sIAHSJxHw28ENC7CYprnoC5DNF01Di+9LvjDYXHReuUgzHFA6WShQSzC/s2owMYl6fKoS/Xg
ZSG8tHqSScmogG7gkFmEMnpSlrrepogqmMxPyWMePOjW+q/FRThNgZnBzmVY2seWbNcBq5tohLdB
ysVTYImLm4vKMQl0PNJmk17YKb60uoRzZ5bTo16zzx8iEFzhLCae1Rufa4zoPewRyLRRHB5AswFJ
L7eFpYwHad3OhGQr0LmxDJeo19rW2DLdO2lxOnoIG0wsBGppXLkw0u2UlIJukhZ287FQ+1k2bBAt
ISox8uAMYdmyEVVpTiQm3caMmNd3nVCcWzhYmjIKz6T1Dl4RVOKmmSXWOL2nzGDTUZYyKZryIyZt
sp9h7NhBQHRkUCZgY3WyN5Sotpd8XMXSmFaCIjZze9Rx/Ed13WGR6tNthriYAInkJUqg56xhkm6G
CtsuQgmaQmZRwzKKHBJ9RqwSr4Suz1EjRrnUu3QDdiPcx1XRAssBPV12MKzGOv+U1AtX3AD7HtL9
oOOMDCVcjmkZQ4q2ggOss/Qcm/GerMXsCXTXBw0b6VSvP3W1dbDC5V4TE7TPaGY+wiom4Q8kML6t
5xxlw6UVWyazkQJEGY8ZPB2xAH6bm3yFVno3V3lqWlJ+q+nvoBk/9NrUb8mzrAghbK9x8RFWJkp5
i4WvuItMp4NfQvwoeI2QQNENHBrTlcTSfFKXLN/QRcRMmKCzTyGnMYjSn4U2R/bRca1EzUhOHlRw
JeL6C68BuNSSx4+MDyunm4pkF2rFUwXjD2xFIaLHfByU1ctWKvGbOeTbujkxKyyPS6iRFFiivFQS
8zDncuMb3dwhcwIcgqTqDPwwvo1ht9NIBffhnRcsr9X8nAYcdmyO4Nkur/U0c/CkQ+HmGk77mVX8
CDgi3arFWzXlCOJJQ9jKiXYc8N5ejQnlszBM2bVSm4e+QyWbWbXgk2CYoYOv8XoFtCdROLMnE9p5
T77LSxFjmDTZQzm9aYElK0aRo2VA9CpL0WsuGbUzjoNxTbSKnkPzRZ9CPkdhZWFFjsnyTiMCpIkX
3qiDCrc8lvw47MxHxmGacme3AgN1kY44O56SoINMH26zpGu29TwmtMG0/KBXM9tA6idsF2qwzQWz
9aUmbPDNStjGSM8WtdITO4ByGW4/iNlNcJ0gr9nqUGQ7kFCd22OZ2Ktpzlxai7F/SYzBijaWWXUg
83T1+BCWWXaSzXnaKMO8B3RHvOW6bZ61X11WNTuK94clILYQ5VayKYCTnWMQjtaMsTj5zGCQ+mJm
ikcZg8kioLdljAmmtGSUqc94rsd6OWMixTBb1QrDbJXNLMHx20VS3owC4FXbviFPkYlYJLfAktgk
4PfXibIzxrOU1O8LzWJPVHJ4JeZ4Z4Zg8aFZV06WZp+I/XjOqgkCUKH8zsj/gr0rzS/qXFzChtGl
WtWsaWra3FNcO5b1LFltAdCjXVyI4KI9RX27xbRl/HGl/N+R0r8dKbG1Z0v/77Nld1+/ovK/TJT+
+I3/P1GSpL+R1sp/kqqIOiOkf6TJSpLB6Ehh5kRThmC3f4yUVItsPHrja9IsmbLyChhvy76L/u//
USViZkGncjisOxVDVP4nIyWGUH/d+KxPIfK6GC4x3FLMv0RJpFJQ95oR6GdpTgaoMKUzcrnc9fKC
TamKMyUjZUPu9j83VQxzWw+juy4Y7T6T4lb2fu7+3CQt5i0YVpBW6L/tf24WIWpJfufm58eSRgTY
jSzys1HGzNcI9f7npschvI8V+e8//vEY1rUN5mQstJzMGEyymmk0Nz/35HbiQegDeCsMUiSlqan2
VWJwIfu5G9Q4DVjHWDPLl6XWSUsVmtyrVxSOoZlbtHXXAFiHZ3X1ebJGOvfI3RhJQYBpDUAayPnj
as8kYfQ7M2e6vLqKphTBFtQGpetFty90EdGPsWvn9MPiQst6VQ/7SFcRFo/RsGfILvm13F4FjYea
FSZC6A+4kLCu7sjwB18weE1hYj71s7UjMorugljuFJIP7LTVuF5rZrWfFivP7J+7LeoQIjQzsdor
0kRnXmi2P69TqHRYDOsrRhVh7ILOJ59w2f/cSEsdbcQxvkxAXbdxM2/DJMj3KSC/dAr39eqrnGQ2
YvAsfWmNx/6VxOkhovJiFTZooKKQCMZqF4YUdqox7dDcPOR5XOP3yPfdD0hmxbhIKz5GoHNog5Ys
9v+8CYkM+dOP88qFcYsxuU2m1PsILcr9z41YFNUf9wzEC3/ckxHUbSk9sfmRy/3zyn9ujPXHn8eE
hTbmlKs6Boqst39eT5eQwxqmAMO32QO8E4mIX0yUpR0mTn1TjlJLTWvXT7L2AOV8+sLuCUdkNU13
PkoENvuD4EsuhozMhw3iCBDgHHP+tQ7JhIcai3ff37lHd93C5f8MWg7Hd6v7s3iBB2ePpNXr9PIO
OKjRFBev6W/JJTbxpTxFsccGDx5Jm7LhcUu0oi0+3OlBBc2h+bTcG2yRDXOaGTZRBG5kHwF2deoD
3QHEvNC40DZBItgtH+JTVNnsGaFAxnfyJgwu+TZSCramkLJ2jNBELg8EnDcubXFDxQXhDhyFhad/
J1e6TPhzgKGCAVhNHkQMPRQPSuLrz3rv4s3hY6vZ4YNZVZ1+cmOVXPRNQkFLPyiytjXKb3Qupj1O
dm04TXiurI/qi0kBH99leIxv7LXoLoded+weBpoe7DJdjIZLv1FrBzcZg6PZpJtox4fyhnK9vfM4
QBXb8H6lO+BuBwTEk6OqdvXWlx4Tlkx1igFLt4svKUHN46WLE3Kyoky0p2Ezx9eqddas5e9et8fm
kyBcYq34m3q6K2sHNLDJhRhWC1mBdocxAoqU5Yi/GEFYHQm+XntGqINaZKK/Ku9hzvV3BZTaVX5S
XpA0SRpriE1xDRymvSki9GOnegChtcMYKBYeHpI09HXOzXtlbvFNrVD2zGbIPope9qBjTbG7l+LD
eCqeLS+7JBiERgCGB6t5wzdrbGdYh3yL+H6DDds7qmuTFWn4NOgDp0/mJj5lsyNe59rNO7ewXPNR
OQqvgEB4Mxy26i/1e3qMMZIc9D1a7Z0JRYl2h4xC1M2+yhYQJBSUTfKZ1zY2xjhx85OssFJs1ef0
MNY23p3+lpYPw7F+BpbzzjCseW2ouyyHg204mtWZL7X/rZMitjgGjOEWu6SnZb4M9hBzq3GgoYc1
InxvDl68E3WvfKRui/kmHDINe0ZeUD+87qYy4vuNWB3Mky1TBniGk+7130SQPdJq+Fa/8F/8ir+s
G+vO3Hr6A6k0FftUO1+egoxesy2P9B4O1bVVNpgcpBfCl2rH2uMdGXNHp4K+FFsqw8tceBWXA92e
FxsDwa+89Mpsa3I85PQtvOirbmEZ2JX7NZx6xR1OFfPdFzwSuC9zfzhZru7JuYv9j6I5s4PXmAwE
DyE7wW60iQ6di/2ASuAQM0ehUWttzd/F4s/PIlrxzlO611Z5Y+0IZqbY9qR/Uapmxl3D+ZO7zVFM
dvKveXFKJqI2l56Mp5vwTEKhepMYo22Try7c6DhEbDDMd6i8fObtr+URhM9H+Y12Dm+/iRwVKAB/
n6rESV7nJ+0I3odlcdyEnrob/Yn3PzjaU/xGPCAx5JDY7fF9SPxlV12Tbish2Qzgj3tR6wbBWRR3
1WOwh41UdNvsKnzW9fr9jgKj7z3nXvE4Re6KEYnpStjTsX8Olt3UuCIQHbB6gm/yPkqbUMOW/L3p
oBHhnVKB7zghA9pYjwkHJb4ZwQtpotkRwEMYNLBICLpN4D16+o3T+5afkg/E49ZneO+CvYbGiwVE
+WbKRgVlRwbQrNdyeErqUyptrAehdifB52mwXGLAmIWjIbzDo2Zb4FPxNZ8I116DkyXZxnxNZ3sI
3fB5JP27fNZ0sucbONdApWipbDrpme6kKN7a6WKIv7EnwjIOsX+y2uZeoCIz9fLsO0+24oA1wpZv
02sVQ0Z3eNvGw/IQDO9y+92yyHL21pjDDJ8RzUBoGCV6wmhRz688h0pvSwQA1/ssFquQmPk5MAQo
JZbdQqDv0Oy8R8ML6vI82QeY7X9nO/4b7Mknj4s3xvovbtib7aPPcHYk+5Gp2C3MXlP1JJ/BNMed
s5zGnRO8NsCe8XJzzEKPhICNRnkKP6HsJvgA8l3RuXHvE5ou51u6oHKJc/5aNnR8Pak7DeOGl9cU
Dn0BDPZSeUrRWFx4sVK/I1yZVAGb9vZuAprNMoaU/Wakky1BWnyz9so+ueuHeauelctyCZ7MPUd0
bksH4dVgDs8SkwIJE50KAobfrv69ixC70erEPNNFhKnhSYSYx+dCfpAtV9X21MjBPfNIWvM1V/FB
eWR423zMwQVpit05nY4jAHBAe4fCS/1niIl8g9oXnCE18gN5Owk27KgS/1fjAHck0xFDCwUfnEka
+nYMK0p06o8OT48A2LZiE7mdYCCVW0xptQTBl8vnZkwel9LvtZM0bAcV+ttJx69VOHLlhdmtoPuB
P3pNKrarOwvR0/pUo51fIqTh7G5tGvDfJU7SJ+FKPIOEHpZLr05b0MbTmXzH6U1OYFjYkCaKeUM3
BacVTdOx9rTexe0gqG5ae3XtJcrBSp8N1LwyOZMM1u34U32pTtZbDrfqxqMzDNFDdJiEs8lOwzFf
6srlJd3lw0A65JEoxQ/Ye654zO4zo+l1Oe1+C4bbnENrhyph0wHe3MgugGGveO9uwma4LV6ICXff
79rLeFDe6u1Nh8jzDXP+3C2eeal4jsWLDuq2oBvjRr2bjKfcTV/FbRw8NqVD6rZ54DOC4DBjVmL8
84BevA1cme2qRa2wK0xvSJ/R9nSYkR2MTwUGanTiG/HDehNf+vZlGL3mCejscMv9jDi4h/nAXolX
gYkMmSWe6g1yuGyfnQpMizfQDLf5ZXxpnvj8+WNxf6huYAmQduXYZjyn3LWP4yOSU47YykVv202Q
Ic/F3niWnpZveI147fPitDw1e8qAsUJEB5DHCz/7a/VL9Zs114KWL8eQK6KQoYWdbqN7vwsfhEfj
iwOn2UhPYveCokF7lpSNBICvcygidPHFXBDXOrhphl8S9cxzxpNVTCO2zXCH4KmVG5AANU1Nn9lz
mvqAlY40fAH14RyBvlu8JzfUpRg3297Ltj00vp7Z/T3WvX7Y6IPd5v7IcBrgx681FwLC3C+vrS/l
F9dpi+Sw3FeemTFFm/Jr8YRNd+47fHTkpz5RVdWX7kn8yIEivZo4Ov208CGVGZPTtqcqtHHP5SO7
2+twb+6NfJJiZ7gr5cZKd+lbjNU84qivrwj0EX3XD+knb74mSQhVlwOtinmfFe/rKwPWboItAhED
ot9ZFl0h3jPfby9La/NPS92rpG1xV7sdpIgi80wRU5SdvM/wN87pJXjhFfWMopbYKcILweW01ZKO
2F3X+g19MRD2vJdKxTOxaeIHo0IDsO2/aprp4yszWDifzLLode3xHo07PvO8stXjuAAfLTrMXXYE
VtRulAUwZIOYSfvBj45QqCv8+KVk7n9ujAjyjYCbzzSb90AhZ4IuZ79f+v7v934e+7kJ1xQKiwTh
zDab0M7oUB4q1IFKFyQunqQRf3Zas9unXGbCstL31nujNP39Xo7xmtDg9f9kKrgrPDKHicG16P38
w0lTCFv+t7+tVlXvauD37U7bGonp1KnwWjdkTsgFO0WE9qvojjqzX/+gbK7FpsJHbcUkR0nzniiV
Dp737LZB0ezxRnPZ/7mrVNT5M7ZQR74y6UDW2ZUv4Xf5HcsHgh3FEyVay/LoxCHNXOBjeCCdcnBj
kCKtPfFXOZOLtUoZv+F1HGDcq7vB2JuVXXzgiDDRNdgJg/yzSCUBL+oN4EuAv+rInL9NUB/ZFJOn
QYQv7ECKt3RM1a6qn/vTYBuO/KA/KKdZ8svkIJg+3FvQArLh5d/Fy3wVvI69qIUElr2+V72YkR0c
Iyc89W/yGwXScuDdnxNy7GxyYLa6bd3myO199a0/1e9UnXDTAPESM0n3NDc99mNVYQ8vNY6iN0LU
r9K7/tB9CLMbfjNE54NW38qNMfrEm/Ddk0CcaXC2bfl7+Epw6YGcuGsfpqvdplWStU2ju3aG/Tx9
FH6xY+PBUKQ6dhji2SU57W9BdrpXbOffkS+9J+z73oyb6hIpDNNtPmMkX4tnxgpO8NZ+l+916Ait
g4Mbn4x04MOrv9lcRvxaSO8DzY9ly8/NwxBg5CBFz4WirR2VD5nr341Uv8ru2A+fcm9kuOJGPl93
1dnzdYbauNVu3T5EimUr5xk6YgJPzsZDUTCS/BoTG1EPsFv10iVb8JiAShOWPJeEdaRb/BJPxVjB
bV8Dvwqw3ridbNhg4KFXJrM9+uGRo5IYjuIDDD411fAS8XFCFXsRvM/JmVjH4mPwaDixk+703YKb
6BT4zey1frxXsB6j07HJh/6A1KZ+8aykIC6zU2xBe7eO9QFcTnjoIi/n97c8cBfudcpzqKRCGFzf
79TPyoE+inSQWFgekksI9gwf1eKWo8e8Wn1rmf7cRSDvC/wc/ki1zV6agAqfPZXNv0hlP+NC/kQS
h+Sq+/CgeiEqERdtKOyaO+JpQOocRiaTd5SiqB83SmOz2FoncYfqctr2T8kFO7vxUu8l2NGb7FK+
Rw9ArxXyQb6QJd6CwSMFKXzqAo5Mh+/F8oYPOs3IO+GcjJSWeuzJX+oaB+swaqfC530w1EKBGzzI
u2Y7vfBt1BvLry4BDaE3ItvTJ9Su+en/EXUeu42rSRR+IgLMYcukLFmWJcvaEE7NnDOffj75LgYY
DPq6u90W+YeqUyfQvfTPInAdP9TKt2gEUs7g0heUjfRKcX6ucIsK3ScPu3QxHsDZJmAiCLbFXGGN
oJhfdK0/4TylvgL4Py/O3AEwE6QzjtHBpYy85BNHSHzyzH+T6ijCQWs2zDStb4o/2lN9VW2eYBna
RfweI0+jQ6n/EAMwAsS7N/Gfma+GPX2kGDrjY9kHw2cUMIx1Yu6Jlh9ipdfkeLPW6Tn9/lP7ytcG
QduAHqCTiW/IXgDFOnvT3n3xNm1wnAFmwqtNWuMcEonuiC0p9kDscXCw9+IDHV+4rPrUrURyWr3p
S6pcaQd54om3tE77eK6ih/kLigBT8MLCIDODbfgk6mLpfgYVEO4039oXiyS642k/CU79UBZX+2rn
c460O/EzAIk7ohM47B9V7WKSVmbUarvhpT0yaTEEd3ivZLwiOCSf8tfXaqOfR90F5UpexgfUAqAM
PXTAsWbtPcXCw4Dz74m/2IK2j7nyUUPux0PCU+D6Dh09dsx/LfhX5hsEIT+gykF3zVcCsE+Ic9AB
U1fXcNuvAKUAS/2g9HZ+w19plZwwesPyYXnPH9brrB3z1Bt7V5IIMj5n6VvAyfSO82yUOkOzCsdD
Oz1hFo5QPTlOAXcv4FC4DwQfIYTmYOfNINV+Ng6ADuAExCvU++UdVep2WJOQwjSIsY29nIG1EDV4
vN3mJz2zSULlgioHK7FFWSumn8+rPNpasc8JrbjtVfboXkDS1riozNf8TPpmfajGG6gXNxExSLgz
srG5cpovwzOOIGjxTnln73bwIA7VSX+ZX5gN65GNarLYtxQLCCy2iq/A7LCf3+4cV6+8RzxB5+vz
pEic6MKbZ8sJ7/0hM89xAtGR/c5m/OLWwMU2gQGoQN/APSndlVfMQl+MB4xFi4BsV/zFG+5pupvu
hC8MYNHKYv84R1vMK0yQUGygDLukjLBeIEaxDTm7wBFL4ffvefNisBJFreuI5gdZ1/AQV7ldajv6
7GBVnfAD0jDOmBwOH8tgYLyNynVOTpjs4ZSHXxAs8a04r4CwzF+uWqi+8bwSsruOtztPgVzmyo9H
3P9pNe3ubXyVfzte84XthgowHz0gcbC7RIDG6z+9i0aPf1BVXcmwoRoIbBSZECM7OpYbOKgRMdc9
29ouPiMICkwC7tCa8/v8GA/sNA5s/BmTnu8KQfKQJVdoZ1h/4aG3UdwK21CD5VRu6FB5VoJypVoY
DW9Zs2uJv0xWqvAKg8d6Vehv+dl53uqlRfhXk7e0xw2u2ikP5HpG4eKCBwOi7p0UDeLkm/mpZzX+
xB7tsU/4gxSSl+Hp0ps+k0m5JrZGaT14mOLocoJcnp+Zk4W8G97dASbRxIjfy9faV0adgkkdFobD
IarWofGSxnCRWQp0lVzbDGRxGw2cuHTUkZAODxf+50JRgVMIfT5j59Iix+3HA9cGgToxfXIA3dC3
jhy/9ujpN0a/ETWUvMssjFqd8VdqL2RZtAPd5VG8cikCChILNvyU5zbclKvEj7UXXoryrl7Dc3hV
f/AuMo4DSShAm5PdonKww7WFdybYryt9Jy8hzCFnKLG/WrFHVS7Yyi5X4CKY+IvXko0Ja5wl8T7+
UnvVzGoZDjnwEaxXNXSak/Q1DzgH2MvXxKOgnDt3bxqKkNtMeKK74NN9bjlInnB0SrdYblC0+OMr
UU3b/DN9FT39UZeujhMtvp9/gH4/bqR3eIv/rGYdYk3kRw5jnYK8qG9oIsRQr81Pjl+VZXnlklxU
X7zwYIP+uXfbX2px9EhYauINkJNt9cmVnm5bR92ah+ouSXb4Tzfotv3FvHYQdBPY6eIKxCblHTrB
lmSKgi+pT2BVBLJEnf0vP9LzPzD8Yq/Iv3LvNhh99u54Hb3wlrMDKPBGLj4/L9b4wudwR2z9X8QJ
bNlwrESCyzxwYHBMlKjydtrL/zh1ob5hpI+sd8cq6y7FD8k/gV00LupitMz7+dwZXkCGqs0JTnRr
BQ6UbBeGH+Ov4s7b5AWr8TWr9ZsfMqj9ttsDllbViZdcb4ONSum20tKDTNv+MG/1UfWmHT4rPkxF
EsSfzvABoE7/j2sZS7TsTb5Semm7lKZkm+2lk7a8zDN+7fwhxaU4f+WMapS1jFUjA7ISP8dnmRFI
u9DcRxV9j4/JkFjuae2GL+uLzSngfPXOYpF/5M7l+dnEwt6CbXFi97bX6R3PYTaUy+P7eWRvy765
tFcOxQT8BPzmLaZM8Ahi+li+rHdIPvM1DZ38wb2kqaesxxbnm4uG8j/YK4+gdiN9Z35TnQjQTQsU
YpvoNad8eNPOFYDOJZX5kW1inPW9/IYXf/Y+rPtfAq1oyk44757Fu0YYzYYAwnxf7FTDwyaZdg/+
JPzxjsQZiv1N5VmHEF2wHa0nTz2VBRW45sGC8RWPvbOPPWWNEeeLtZvW0+t4l1bmHp8bTNOE4/yM
R7a7E5A4g4rI5200hDlRSHlUFzgZS19IGIYLZyQpjxjvZl9Sg9fKmvI9RJX2xJzNGud9h4YEe06j
8pp6xQpX4UHvtZW1etKw3sSY5ExXhDdjugomIYuPgazcO+W0Q30u4EC/gtNTQvC59L1NlImCx5bD
P5CidceexXLl0+KYa3h2uPtUHKwpWBRow7anRJbXmeRRIFbe+C1tm233GJGk+5geyvfJ0XHhelbM
vexDdyhOdH0Upq84bksPzdM35ZWOb8dAYENjYVyfGodDdqyiTSbiiYMLy7PVaD9EkFYO/XANQ4u1
I3wG6/E+/RP5eKUtHOq70Pn9d3cjQcDCE+Jc45yIuQFkmZu5E78ArohFVt8JIZFW0et0GxtP63yg
i/IHxzmTnwo0X6chE/GCI3TRT7DvjBkAAG7ywr1KBw7BmQYPH5tvXE2OvO9EGnzglIcWOeIe3Ge+
zMte8ZClXep7CKLECIpi3JhJMIBH7HSvavoY+ETxZrzHI+Ig35qdmaUDNr8HSf9eE0IIIvTKa6sD
G/0NwJtN2oQpuTMQOccIKklb+Okc459yY+iBKjIP8dhlAriOX5TlIGVuy7JwsNCrzSvGveT4Lax8
2uAM6uMaNx6SVITURV21HlNHLOyscKHXgCh+V7bkhHdUm6LqLCDTuD8RoNS42HlPr9LsRgGVBt5s
tJ20ePMpO3Z4y7BhXszvEXdBtgQbakZ15qUHTu2Mbod+72f2VTY1s8WX+ggdBn2aJ/vVNmfzUCpz
kYQHzLn98rO/aV/dPhlsnCfDT9wg8Szk+E3/lbOd/+s+zOl5UTHr01fttt1FB2as4T/lLVlZb+0W
wRIN//xQ/+FBybBjiZ+z0QjN+hrSFzsNLdZrILwstP2ow0gDCXCSIg71yHeMCKa6B8Vugu6ks5ls
DuukRxa0NVPCQ+D071XgHpJwCIchxHXxGWzGzzvrKn2RI1aYa8laMbQk2AoeMlbQgrla2jvc+Hph
6OYwJsKGvV8VIXnz1BHMRE1nwoybd/36DLiHdMyM7q4MW6amOWJ5okYFj2uhnVzzk+I4OOoQvjHW
35DvR0Yo3tkOo282wHfxAemsEFxOy8I6a9oqxtNo3VwwmptNChg7+ca4+nlluek6/8SDNWxsXIJT
psHZiQHHaAFKM/1c07jUHvxU45igbbPFQ/iQOceo7j25ZcLF26MCThFquov0/AkWDNfPOFyBf8p2
hGB2L3v9ITol2qEdNhiUcyFi8w0Ss+LIPvJxqYyTO9VyTlDDxIyoXFOjWZ/GNSf745b+hDpeeJy5
qWN55gdIgEHYA60XMFN+xiDwyPi0e4ObbxquhVTkjR6egaL10cAuAzBJ3mtoj4BQJZ/AE37Hb9xO
e1vW3OeFNGA6s80fC3onwt3oG3QI5dS241H9zc+YA08b47vU7dpLI3+WN0GAbQYLTrsrLmui4IZl
J6U+s/5pJr/B6xq3mJEAw7BlSLVidBi9uXXjM01mXmY4hmR331ygipP8zNfS9GB1U6ZhX5S64m30
phP5ZZ7MZGqhtqlH21K8BOcs8ovow9hprGvBjq6x314QTIiSR4qWWayjR4ZZ6Ut1Lcu1AWVeBdn2
pATMzreGjZS8zOPNSjzMJWALBSHFBj+K33+l4DwrHXjHZSzIWle99jAfig3+rWugI9YClV3lDldw
2TkmAsdOL0TFcJae5C3Xo3pT/MZv3/G2rjDzhBR+lSWnwTWpQDkQQYhxksF7OvBdwttygUnbK48Y
1iU/IGMIRllrEjwYzBmdkxCbQ/otkypD34SRvzTEjG+V6KEfda/FpxA3Gqe5x5ANkitGVqoXf06Z
g08W/8O2Ul0N8wsDcwZGI+4zhgtkSbmhMvRV9wxPlxvIhccY694zprxKL8ImP9Vv2SuXuoWV5E5w
cfn/YWCU0I82trJh4BA7nMUXUT0l2/Gkd7B9new3eBffZ3pfCu9N/VGscM1zFw9UR/kE7O4e4P/V
FqPIXnLkXfMoPCyiN901vvBxVDeQPKYcyibaxBAMOK5hIR/C03QoVjJ0YECl54SOzGoWDbVd9ta8
sTWnNxYZB55c+9pFuSP3EE5Tb0sbC0myvB/KDxEI46YDxuCxh7Si8LOJmaxjdHh/2NVvoexw2oKN
DHtx4Yrm2VPu5MT+rvGxyTpmLv4ceBrHCzbzKbl428TcIKeUQjcyNn21wk2jx/BsYpbhwyIjaENP
Wf02ChPmDyh5TbzzcANI3zGMA1PcDcJROnCxYGfA6Iunhybr+Xg1TEXsFB8QuqSP5je+5F8Tcs5f
BsJnvj0r5vmntm1ko6sraZTe213z24gsEa5029gTtaDa5ivh33w6BaI2kyWgrdpmBIh/+wDq98bb
4TM+jfUpw97lXe8aB/0ETcgRd+br03ir8YwfwtHcAByCPEwGhZh7JDt9N3zO36nEHrTJHFyRdHFs
JrurcTJZjeMNWytJ8bD0ilKvOId3NKYlyK5xMFYisxGR2lZl0Llaehe/ZMqNnJkdzHTJnr/wX1SY
Cq4aLM+Z6DA88fqtxj6F0vNl7ioyfM/VFc/o2Bc2nA6ij7FPU+4tQt/GNbkMksc2qF3oq/Kb+oIV
/SuqhPYb49POgRZxzX7xo8Kzlu8pv/PvDT6fHczq0L6La+XKSFFwy4vwob9OH2GyljaytkKn9d1S
ovwQsIb7na1dhXDTOdaK2eLVmFccGe2l2UbIMN/DC4eCLj6JaJpK2MezSTmah3HNnKHSHespZnBq
P36RVuN3+tIxfBNeetFmxVdX5UNlyBNfMtWtruYXVGsN8GfXvzE8Wern82wws7HnN75Hd27O4pe6
S08Wn5VgXwacf3yU6bY8mpUSPketLUADuOiFIbOGj48H+43ISze/YDMOBHoRAZsd88TIp5rdfP/5
+XS5AmFYTyusfLpfY7S7aw0o5ET8Q/yM8UXlwLsk1+UCN6CgquUEJ8Ck3wiDA8+7/rL4O9b+X8YD
JVBghZCbgxPuArPRSx64jJUZ3MKb8rJfop/96NzunhXyxMULEcCGQnIFsNx1x/ykHwX8d5l+ETzd
72K/ea3O1kZ7QVj7Mq3UL4WB4WhDC9nJa+3FtLzuHr+zdaNt7Bbn7Di6TBeJjBQR3L7j2q9Qdp5d
aVNg9+bIPqqh2VjDwwNmAZh/Rb4FQZ4P0b93j+Go82kZ3/48IduQV82UcnGjnaDZM8+Zdj2yi6u6
zl710Ntr/+pox/7S14TXkCPDe/4Bi4lCTyCaSLOhd0B0Y/lCvAF1YIhobJezIm/0EyVmWr9ZW9yK
OT65euo967LaZldiroxP/Yuv9ZKt/HJEsFCkDyxtMyr79+ZARAIVW0xF5Nbyy9h5CZOambgx+HQO
RzafUA1XCp1t7QA7j9FziYhvzRnep8DIjY46By3/pHqvlLeBImnxJHmFh7dF5sJ3vec7QZY1cQDt
neY2XnSYL2yE4jkJNnfqjmQC7bN/y9+SHeuT4XWJEgdkGyLmpTsI2/St38Ci0v+m/HSNr/I+mt1x
Q6VecfTxI3Jj0iBGa/OdEXadOsVB+gDX/Z2oqvbhrdg/KWKha06PYN5Yp/ozIlPTXsBT73BCmNtU
ztDb2V7guoc+51XWKYARCx/u1txbWvDRJYuUc3u610x3Qae24Q1Gh7DXz6ACSLaDBzfdW5puzTPE
sjM013P3Ub8TMEodnfnVJyc2iTr4KSgsH+XEDcJNo29hDakEWiH1XxwKTak+hLUzn6myjRdpRnxE
Vo3dN2dCdS7ay7hrVlm6iYmHobK9NSsOmBPSQWFnvWXhRj+KEEi4mYE/lm8hXoUupJhdMmHoZws+
nEdgFqreOXIUczWvSIVbmffGcKcbs+7mltysK01ph7MYlw256rZJ+eUhSNzes+CAl4xBXQtizFct
m/qEker8D7mbdU/eaBg6XmS4ymiavPqlOSbUHLQ1tROQooyDPAOin+6TTjUeVsnRegSXhlJb5log
5ciNxDWhxdSTwbgrqmMirvVv/TuVbQ6diIe4NwxXS9eM0eM7PVV/V2fGIZ7O4Eo8GRS7uZO+jD9i
ty4vybo4KmxM0kE+hRduOiI38vCjhsOisLhU+qlxLc77blxbxWucnXHbwTmrZtRKYfpbM/97p4aI
uV8fxPnloE1gK9fwe0o9OQDmcNg+nNREgOXlesRxn+DldNU371j0cU1yNdXAaRJs2TWrrClBl5m7
Al4xawptQDD5gGPjyskefK+Zsoqvc7QMnq5vjY9c8qrV+BUXJPeAAug7TXcirKwHD4G5SlKvRLP4
rGjC3EPaaEXPCzi8zOvuFw/hXcwOGp6zBe2tfU+hqIbrqNybAb6FbqS6pbIuswMeFNCoOPmQ25C2
ACTXo9T7nrfRvgLLWJ4lLN0NuGXotLUXcVdhw3JGokeRO3UnY4PdKKweRYGGuueeZizthxw4CEzn
13BxlWmLZ3Ksb+XepyLhB86zuxRAGcVACO/zBO9bAsC4VBhGUFvLz8dfy156IoM6F3aowLvyNX6a
Px5y3ONJ3ENaSg8k3IRxMw4vxbw1mXYxgywZTGCCflCyr1nf4tZbJbfZBK4p1pQl1GXUQhQJiHIa
wBBKdspu2TNjn7OS17EQvDXtLWEVQKpD8TrjzeQSRQntLrurr9YL9KS+gxuLBgx9EIp6m8KoqHyp
/AzVDapXjWSg9MbBHOub4ap/DS9/g/3+Oe3//5z/7z/xn4D8kkvCf1yAvz8XmeETHWngw/EXMCEl
yhlpz7jS5Gjz97UZG0xkU8YLsdnYWJoYGfQAY0nLTsCln6kT0T7bOCRm8+9XRgWjHkdtrGSbvSmo
9Ip/X/r7TXnBgqPtgLb/viYtBb9tPf/G339bjeoTv2StOhWKfZ6QRCFOMcb5T67939ea52/UKVT7
v/+bW6QHf7/6/2/8/bn//opJsjinOeao7qAy3vr7Q3lmKpx4z2/090dJTKAxSeR0O2hZcwqHzYS1
Tqvi2zT3wVrhh5X02Fw1Y1ti9dutsOd15KQjCXTUZ1cvvPia9vOhCefzFLSdG6KFtEtCK056EZ+y
LPq0lPxVUYVPWRw6nzBF1bEYb8TpvImFxGvYr31wmopJwTGGWO8quwfYTtpGkk3EYpFzEA7Tauna
0M+TkiYPBMEibVTLoMXOmNqgGZVoaUyDNrmHJ5opCUEx6T0fynEzxNSnKE64+nTuTb2PGVy1/bTO
dSbb8fhZiqW8UwNoUUi0Z1P1eCvYUvGMNJFMIPS5rEGg0fEl72RpZ2lMH1BMIEJjFm8qfoW56pzi
KdzMD1QhLcbhFBz9oOfkSKwQCFIYZTEjyxh+pwbbosVmwJt7aI3tyEWYYi42j+K0ycroPiTytoSd
+hSSoHNlhlZVa1HDPSROep8HUjgaKlIo3zXES6vG9SOG5LWoCWS6YTiEuvzbitCZdVwmi1byl4V5
eRWNoiMvxk+Sa5+FBZ6RxVqAYjt1MT6Ep2HCfWmAb1C7OarBaG9QJMnFx4QDTxAr09aFsaBjPeUR
ZDsIgXPxY05F4mFPHE/xK8ZpXQtbrMGlmmFYiMHgMroauvhn/hwxedEtJgf1NShTCE8RYa0iF8ef
dYkRlcWqyAlaENss37baF5GJWiFsF4EzcC6T2OWRe+0ExV2KyQ6I8/6OM3y1qfJ/YgLzgbxKmqYp
G1E2aluLWcCA6CGWwByaLk6OCcnwffc8a7LiM65RW0hEjtaQFEoT0sJCvLGRGo/IMLqVHOhfJEcf
ZuJ5CVkjsLYQNR9hMWM+PlGogm3KkT4dc62G1VIGa+1pMUSeSr8xFFyshwkl6LzA5o4s8GBmiope
3mpWoof/JThkvUERBTky5TBLCCtrxqjZYW9wwpg4Ap5FT50U7I9gjER4GkhUxYza1XhwBFb/1Dz8
SfQGaC3jbiOXj2EBS7YDQ5NrYdgv5rw1FoVdklANYC78IZjcBQTSO3XHgKhRdaKqSO+yCRv+1Mgm
93BZvRsxLp3kQtAyVhcxpSUYhAJcGZ9xigTxJSSDkHmRdenVENivSjW34ShLqlw7SXT/8oircYJt
2wAYIYemiykH7NwM9nfxbxTSfo+pGS4IsoK5ak1FHhMpg5kRSe+UNEkQYtG7kApcQ7otZRWeIcLz
qcuIB3bQiDPwHbLSnzV9p/MAhhr0MO9ZZgPB4naIf9wahe6uW5pk38cUKnlL1VdUKerWz7idthIq
boiIJkCIGmLCbWIFwhgiTsefHEtaFJDhPUL6bJdGJhFhka6w1iK8uEmXldyrhd+aM9sEpmo44Lvz
3SxqTAOcvpMkdVPTl6liNNUxQ5zSGfJzzwqOniZ8AiBWyeAztgQ3T2fxbKh5dypJ9YrT6Vs0xI9p
4l0jjp09YU4Jha+/2pLeHrMiEiGxTz6ZKpCjoN6wjeCu/qMAzQxcEiK9xryAg6s1r1MuqB8pcKOs
MKvEIk4Oo8EnamI7UkTIk86F05odZuDxg6yxxENEtyPyzYAVicGSNjAgnUJkCQEsEYzrz5bU2WQF
YOVOdoyX1FQOnaQQPlSXjY8w9SR3syfrRuimJvr8oFEuCK2f8mEwQyTAGIbhyOT3S4P8xiDCWgrl
oyj3RNP117Jhn/RLiacsFtayAT4RhW10zCsaUI2h/aKJtiqmgO10c8ZYVXxfzjdZCF6JlWJOUQvp
Fi5ijaNihE2fm+AJb1j7gCOyNO9iCkwZ5Dhw6ygUpGTu8IgfsfHOrhYRUhg294/OjALE/JTDo/6V
6fnv3OnWCq+TwdFFMPjci3RDdtMAaoks5xGRb5J06kuo5sRMp66p0i/1I5CWTHjsEvbnuGojz4qs
m0rmD0gzOAXbDKZci6mkai5uyCqH6ee0IfoeJs5jkeibzPTJlSyZ5LUk9cbjTexf57G9tSXOaXhY
BkbEooowAVLmwJYSRWOdZLfYUiI/KjRpi+8ZnGPsTRjjwPGQcAZ3zY6tiAtn51s9xXTB4GPQBYzF
Q9FpJYzUlygMfLzMTuS7Q27W1NKzmmXTS4QA6m12zvN8xiEFeNTEHkMlg0yMFogNy5gxrpgDiPYZ
GKMxa36etghE+CYTHU5PEHXenIqQJW8k7eDOT5i6pRBXY96pJXaY2A1wV4RKsvUGcBn3f9MRZrAv
ORAZQnTaeyYCGuRY4XfC4qk17IlybAkhMpd1VQ3JtpyqbaCFmVcWlJAWdszonkD5Ky3AwTtAcB7Q
haVCHDNBo4WBeDJCWQhNUENlxhDNaM6KVAlepIkMCSca+0QF9Wh1er+BG9Y2GDxFhjWjQMyYYQpw
sWGO1PMw2LXeVquwgMJn6NpxnsCMy62FvJ+obOb7saE6Mke/HzUIZVLMCtyQZJx1zKBdmjKMsSDI
I5Z+J6ZSwfRizr0OQK1MZsx/Y+FqZa3pBmbOkHPEGb9T84tcJDehJv5q4kAO+3YEh6cZEQvZ7UNE
L0WboFviMiG0G8NCTb7l6nFWGo2LvFoLPQDmLKYotrryhydOy25a77qpjfe5N7+DLL9MeIAQVjK0
uzHcKBPzAFmPx50mY+OAGwZkmBwUqrHMvVXkn1qA5nwQmeITPzpFprFVlv76NNhhsVLWUN1VI3aU
qEDbmUljEoiEXVB7weNa0N4wf8p19Z4TOWthSUZYT0DjG4NhKWKWwUaTfpRUu5V4PZO1JeKhM+/j
ANLnQP/iEiGRuZVEfGQKdSFqXxfD2MQ6JqQxpAZZqldmHQIVhmh+lFB/KO1Y0311XhZPgFhYYFTa
xNJbEIwxPKhymfQhSTj1/Pxup4XNsZybYyBEH/NkRmsdI/7FnZNcPRP+sA5n0KRcxmSKYDVvaOD/
iC2TbcLcVtPUJpsgXrZqO77UWRmvyOlaRTHolRTB4i+TGhlSTOAffkyeKTSZF1ELtAPXdGwdw1Ga
N0YP+tIkpZsKg+WLFUP6LErcQj3oQp44esh4VdMRMorSP23svk2x44+FL9Cg5x31HQ+sugb5Ym7q
PW4h6mWRdXS3+LNjhbRbKE5Wyy1KYtVHAY4BrbTFuB1gImDVEluxHyONYUot2JIBV8iQm02sgdJP
rVzT57xUYY7gdkZKimmFYXYkL1U5ZtmLAe9qPEwWt8TI7KetdcmxZtiQY39TFCXZZFn+AhFhkhsE
lxDqa4lXHRNVjX8pcUqofe3BqMkyNeqdOqnha5UQ6C1HTks0CQCWqvtq3T0Mqxr3uYV/pUW7YmnV
apgehXaQq3jfIhX2BMNkBDRjnhgT5iVply6bcLrkZ+UxJbAJ8yClgEzf5tD8irVBW5NybfktUWJS
N4T7XOUoK+b0Q0uF37TjgWrgpJY2bCKt+miwdKGma++5HDPXIBQ9DmoMjmi4R3aum+ukJ3cdTyEm
n9kQMiRNykXMRRdPrBN2FbMtrerQFH2TjB6ro3Kqi2U/atGPMeYBKsevIAXZCdJZ8yjG/KKr5qNi
SMc8ElS82GAp+KpUQTmuANV6ul4Of6s+E0YMEhyX7ap6MnuTut9YRi04oQL/C8GmtgyAGCG1Z4tC
pNbmmzrliBXNuEN83EqepdW7Wsy9sjU/8PvB0iXDdk4COyqLFKZQC/g247/aIC14I5AFtKj9yKek
JTJnhDc5psZKg5if7vRBpoWWh52ucH90kYzIhHT6p93UcyyiEIEZw0/TFCIrY6gaTUyc0vAtLkvi
CF3BJz13NRroEUlZJM2hp2uIQ8chhqY4h4kfBLR6i5JegkjHG6NnVsvbIMlBSz08PFtPIljHoYsG
zzfxN6Xt2CiC/oKHCHhX66fivBXgTUyk/ABLDpTnBfBpnOMKC0GNRn7DTrZe22rfZPg89U/EDa4g
mweOU4WDZjRulFJeRUHDWJk0pzOYwlUg0bdSc2GtBLxAQWrAQKb+kfYFLmuq6VHNE6zWiftgZlor
ajksSODGGbK0pp91uqGtpJ1HkYFYMt+SsF8TeAN0EGGLlIc4+2psdtn0kvFdkwTy5QIJWq311Mu2
N8Td0w435dg+qUQo4tuzYIOq9jBiSQBV9Ok8DBKdNwGJdqAkQKG1eVR0sNdQCA9L8CyWJRYndSmE
nPbAOs9dEzvIYLa+TPKvQKOSnSQMLyRIE0PeLLaJW6ktjC0a9qE+GmLySJUUH0dMkd0+5/ArC1iC
RvqKbVbtDUoHtWTm+YrP947fqaNIwU4OrOxd1PGtioRul3RPnWI+MIGcs6ell7DKcKAdJ5G5y2SB
TfMqVZxoHC1tssP0xPlawpya6KuftG0zd+kO6ypWh6ky1mlCVD5QWk3aipBw+mRYUNuOirGJktcS
gycmG913JMKpaAAH6o6mx2KuPqmdKxpo+4uRp1sBzpBRBmGnixl4CyXNhV6j2iIEFAMZEAcrbRR4
uvAR9VofD1Fp+JWljU8oA423DCkulok01bHgQoYkF5u+gV/Xq0tBt606owKbXAwqc9XDcSGBxtZK
VUdU1fybOXo1iwyZvM/w2cR5BxIj7KPR0gJXDYLx2KbRehiWwyLK6Y4A5Moh5Gtn9V3rVk0AdzCI
PS0JzhiyAI0u8k55jnc0lYNJzdubnhmM4ERXH9+XMBS3GILcBlWBzDW0RHwGMIF4n9FaFbCexlaO
eSBeOUrRI5Tq4E7PWGOPueArGrqG+aZkOlJUcZkcYqp2JlaedsiqH0kS86cC10i64HeoGZXYyN9L
fcHwU/Kep77BC0Vg6rTxkZBktMFKfC4hdlQyDMNqrtdtmrm1JAQXsUEhgisrM1kvk7J3AnP9Ydko
LdoKQYl3lIVnEJMFssW4KkQCUCvrJ8Lji1R3uruCdDN2QO4GLcFATacwXpMzRyvM0tNji4bWtN6I
vGAT6ixUg2HhSA9/IsJZR5xlfC9xDCcE4nuPP5Qv6+MHCqqOl9jgOq3xYSMY1XVVTL5QJ8w5CGY9
z/qXGb4icajApLD86y3PGOWH2DFMGZ/To/lujHQumd4+ZJG2jtTBQL0HJdpSJFhbsYPnkfXRZycC
CiV4BiRlgl/oSFmVMKRs6/rOlgNgCiT0IqL60Sg9gZQKxFNRL2Ro7uKXoo8X0qywktCPaVNCBWhN
6HwSBLIx/YmMuHhZoOrLJaOy8tnHarRwEjVcNYZ7AeGEOQKBTJm0D5bYvGgNA5GR4dUM+BUqsXTE
BNAtNWRU7QBVM62m4rIo4pdZSdEXvc2PFrClJf2tsDRQTaX94X77yHWwF60LqbJOZd03a+BMbSJl
M6zjDxVPQCTi/ciFGpM0s8GvfNVzNOwJK8KdH91+J2NIltcrLaSIMfBqaJTR5+piNKFi8jxmplNI
w1cgJxjOPZNjA6qTmVhSVNfDOlIzyZ9Mjrdilj6zwLoWS4J+Jfs7rBg+BaS4TdmHKbXjatHzdl9P
qsm8S5BILRZLCDn15zCqq2eb4ZQNTs2zri47y8LHKqFu+R9757HkuLJl2V9p63F7GbSYkgRAzYhg
6AksRAa01vj6XmC+ennr2ntd3fMeXF6KDBIEQIf7OXuvXcx17vayf2Kgiw9wkLVVUBJxK1nyY2lX
rA2zUSD1xBSnd69cvKL7ZGwnkjPtq2UGtkPSF6r/qnmy8nxjTJW2GYsKW2qhXrWW8S+XtXpDJLNn
Ckl4aFSVEvsT2LqM6xw1HjJbAMRINdQRAF9Zre3rIje2JsoDNTU7zxdMQi2cnKqfMwplEn4EZklS
VOCTZ6nXh4woVquBKYUrL4IShHlsb1XmFvug0L6iTNiXKC7vZglTJ1GDo2uTtcoIjOMly5nIa4Zj
xDqEa8ntp5aepZ23Z/VzQHhC5pZO8k1Woe1NNpnZ0HXwX9Q8d6xZRaTf088I448a5P+dRTmaVcO0
Mnrz2UZ8l2H1w/OiTdAExU+ukYVgWOQzzeJidvV3QOHNKWq0EkOpzp6NEmMmPGdd+Uy7l6p9IWWF
G5hqshogUm0HfyIvZlRXvkmPVPcnJnIVkwNToCj2BRqESWHEkKlfgTBUkLKOYm123VsQiOeY4KtN
arBKDsv8lUjxbKvoycH3YaFPA/ZDtVtEli2ZnACruWoykBYyxWa1uauFBYohyKhzBKHuNu+d6MA9
gwhT5gFTh1HDK2g6CF+hIJRbxssj5XOz0cEvkwhFOWLkCreOZZvQVYKGnEphr4pR+jLg/atNphMo
g8bKisv32Bg/pFacldo4cq29GziyzyV5OhD6gBbmDYqVht9glmpunL+OrIq3fg1HRqBmyI/JgJE/
RvpOJDNEG2xZXEjGFesRrs9G9ZUGORNS2UJeDHE33//ru+FU3wPmxVCl66Qb2HoRX27/PKhMa6JR
vSwi+mHasPDP97//0fIv/zzMKgMmwu3x77u3P/+Xr//587mv2a4/j02LDuPgyWL44SNDPBIqW7zc
3O7dbkTR5/u6x8365+Ht3u2526t//vHfnvvbw9u/86HNlP2XXPvOlGAVtqEl7/2k5NtMy1f8fff2
7O3xrI68RLJv5ip2QbQQW3K74ezCcfvnsZj9/3ysLT5bfDTRq5nN+jaZ4dIKiehAjVLmPk3amW8p
2p3mZ6u0nKytP6rQciy6p1lf6ftQCvX9HPrWBig+kpXlYVvN/3ghWf6JaWh0HoS6/fMHt392eygo
CnnGEB5uT0W6pu1HBQAu0odEw78Mt+f2726v3G6KrObDWXQ+xJGKcdvIMXQRVKDvby+38Ld3hfI1
aYqOYNjucbfCUt5EUMQOTBygbC20IrOimQ+mGhZvSfdXi9trG9Og6eupXhuQJfe3G2VsEUSEBUHL
pj2jEIE6A2Pym1hbdBcWObxRTBQfkXHMlumYhU1Du5Bk0ATY2BbQZr6PF1AUXD9Ol+Xh7SbLBqTb
nVmTWBUAg5Z77A23V/ogl2fHL/Nf6UBV/s/fpU3IBXXqjL0PedxLbu9we+8yEAt5RPQHvg7R8P/8
vN+fcnvb3//m9tLY0kmRB4jyf948+eeW3f717YW/vPe/ffnPO5RW3Hh2R6ThP9/qL59ZRNY2SuoD
sTn9GmYWw5+VAVLQYdSGgX0dNISLiozPzpzaY0LpGZwU9IzeymmGiYjS5UeiydXWrPyFjRzuzGTK
d/CB66PoBrpKCX38Ntj2Ye/E5NeIAN1KVYDyArFC2Lz46Gvpx9DCbN9XNOLrlKl+zcyFFafOKhtS
gTAMamL0LBWflaedqyMEGBhEBAl5Pr0PMLPU29uawpv9yASsOCcDQxoxWEhnJYmM7cTflEFfYVai
Wd/nNcJPwJNELAM1aGB45KRRB5Fw6hINFHMBOOKQoinRbbDLoy4yikdiIqgVhZBByIJc9VTJNky6
6XfDxUT/qAWk1MpXxcwvTG+b9ZhKCBGieJtyCd72hlyvWqDYa5l1GTR/5FQWfq6iu0vlgotZ5Hfn
Uaax1NHBlFXadN2iBk8Dm1yvEUxqgmkrFmiJ9bmc+WkBxTHRKsP9mBBKWqWo70hmX/nxJfTndJ3N
NhIauf3Wg8Ry5rgyN+R3E+M7dMhPfcTowMoD8sZXkmm/EP4BQ0OLNpCxcRB1KHogNxuz+Og6CKp1
3nxKppukaUujUaejnyR3DVkoaAJKNNQhfl0fNahCc+2g6e+mrn4oCcm+ekMxTZvkrW6gHQ8LhAHF
pU+QG5pp9YLLgOxZC85J3QbBqrKok8pJpHMJBGLfE7uDPLEYd5XJ2iGgBwuKvD6YgzjTJ6j79rGS
mBfLrEzbHIbJkp5LM/g8JPJxIOsK/VgXO61VnESrVu6g+xehaJ95tdRt2Ryom3jPUkWsRNyBDMwx
xiR+/mOm0SH1B4zjQSVOYU4NjcsZTKFIsE9S5RxAGVGlvl7XpOw4FRKYqQyUdZ6QTdqqv4xEbAm7
WUv86YlyAD+YcL7LhHHtDYJwqT0qAZO1REcBZuimvTXh0VQUQ/ZCkyZcU0myky1WQbktDqZ/TbRe
JwVW+dEVXPxR+hQwQcFRn6Pb1d76hpQJu51fwq0IZJYJsxJvtWTR9RrtF83AZeE3CMeqWOu1BSY+
tUudMmZUUzN5prnCnFXNaWkjgW1yU9rQxlKcIjG/gr4OnwvKW75P4F44RG41AG7zqeu6fkYoVxLt
KGY+KZXm7yr2kLBVQamz0J/koj2mmY0GzmIQ1bIBW52mb3s1tLZt6Z+ABdd7TcsZR4psT0ngJGHC
Gpv+rSJ3VyrZgqxEBJv59+Ty3DXhyNKP/d0Lp9eZCqrd9C0nhjjVET4BpaGEJ6DRQ0c2oRYiAydE
9DWMEFXPuQRTJ8yYdOIBbkP/VMywqCV+H9AjxBfLNRQV0i63MfgG3UFDYTdg7GlqkEoM5646QOMr
BRHlY5xVn5lB2aCBkLhRDeB7Gvo2mdIe4pekcU1Q/desrVEZxghl2LcImNtQnJnTA/CTEd1O+aE1
o+DO7LgmB7SFNI10l1GV363YllDD5OgvleRp0qLOa8goZbgxdRJ1/K+WElon6yAxFORdY8d2VV18
F7Ul+MBZxT3rd/y6x75HFjOt7J7KlB4gmuoH39XnUXFKsx0eu2KgbTk8Vk0joS0Nfylqp64rigVu
q6P5HWVFZg7Pm9IlRuPSLU7EwbbXNZ7ptMlaeCex4oj+wiYqG6UhjK3uKH2Q6V15OYxK2vgoYUfy
dPNgaEHnoSZFyOHNQujOEGOqgAZE9Hu7MiD27hQVsJAuwguxHYSTjAsJge6d68dWu2sD6UJ4S+LR
rHrqZhJbiNsaGtJKFIvaBxGI2AulQNsPVvcVQ0ql0JZ/jzFIwqEOc2Zp0rOQqoa9XuNB0iFlVu10
kHQLY1tnun3cUcIn8pi1r7lgQHPMFtV4HVsFPbgWUS0Wm5mQn0OLuAYKdHZaRGacuWbRE5tUzplT
Z9mROulFSDcBeqQ5RWxULDvM2utg/AMwnJP9VHOg7RnkfhABpyl7nzLC+GbCPIfINF4S6vb7oaSx
Qpgl0IxYxTRc2DtpTN4GBK/mOL6lBs10yYhP5Eyhj56wWhgKFiapVteBjhR+6qdjV8fpvnKnIbtP
S5kxNbc/oHBTzG+x+Br1c2JJEZqZ8mrQ1MpnGMuVwZU5E+a3sfxUDYUWTpId64EfEDU7Znvz+OkT
JDBIUwk0h28f43iXJSzZVoYFuQofQQTrMlJdu9qhy8kqhAhQQHk74osN4Ha0mbFBLc/dXpgt2HiV
qT0WTRsc7FB/jVLIhnFNskW3EGyG5UYeEswUQf4UijDch1lt7ydtfA0FoIomV6e9zGwPeQk3tdAD
R8+QE8TooA5JlS/hyvNGWaqHfqN447IGkEzWBRXrSKspZE9aIJ+3G+Wf924Pf2/i8gdNFNGYc25P
kBbPdG5cttwa5EeRpEB+zEHaWHjL0UW+ZGN7KPMp95g+zhScpqTdW4rFXRrpxaowcnUj2wIASW17
OUzErH5TA7T/so3O8zalv91oFqeCstzcHobCooLOgm2jtXW3T/z3QOvG+fdGqQ3McqedmvtwOcMT
jetBCyt/BQceGNmyiKgU0CXFcnO797fnCEfgumlgMKqVmOLksnISomRKG6gd6stEPwddx4IuX47l
n5tmmTh3kR6sJTrOa62i2bmVFzLrDZFK5BRrllzyxqaFlbDcxKaOlOn2OFqgrHNFNcZO1a0h+gRd
vdmXKF4gs2b1Q0+wxM4wIRZZy82cIuQVbZWuB2lYSFXAYvddieusLvRTaBYMEIai7CfSVve3e7Uk
lH05GGQnKpRig4URWxGixlxMZ8nBo9s23O4ZLHUJRUHCFUbEy1Tyvm0seY+OvQ8N8gIraCZKgug3
IPGXOHNZm3ah+kBbpNjnslV5YWwBZWve5oF5Hmu9bE3boOIQFtLGDwSWHbNR96Uiq/tGjetNxzWU
CB7UByYxWqsFnQzr0jZzaAEQb1IfmgJIdKOkWzc1mrJWe9Yy9DHvSt+PPDkzOZ1slrxOG4mfYVlX
3G665Z48+IjpZ5XC0H9ick3g/ps6pSACzD4nAlnGvkRKQgbVq7QR4sYkly831Fd3RTvL3kh/dD8v
N7f9f3uoUlJMM4o57O4AgN5yDJi5/ePGHmGoWGgF1rNNnoiZsiBSQhVR6eAVHYqXigmvvYCE/5yA
t4dTjKe8mGZ/0zUWoRzDW1niqevnRSsZz3HjhtL4qWKPZ9w3d8NYHv5XpvVNqLViPCvACGd7R3EH
+GbAlZeaNfDJxCPkOHGIPdpK7/N3yAIipkxIuNEGnqNjP1af4rE40JqSEKmi1F7mgjCXYybEaxxN
5pHQ3TfwYt/jhY6F/xQ+Zmg9PHOCcLrOfoAoLj/K0aPsSQexxJdEK2BaqRo5O0zcaZZTY3Xb13wB
joEgcRnU5ys86XoA9Op2kgfVMey30sN8ab8KHk7IBlcaYggQR/QA3xR+vjL5jZv2lY8y6MUh/yLz
+wEzGk3CDDc4whvjGH3KrGKwp5LqxBlI+WlbiAPeqTZ2mDnXo4cjRNHcUP9CDAPetgQ0+ii/3QOw
cqK7JZZ1hc0YocWjoFIqXGzn8QKaso7TV3CnHFGnAS5w8MdCJEhpvX6XXM7StXE1vvWzchXv6t6/
Uo9nrtdgx1Jh76788MicgWFFeYtfpov/PeINfxlgYLdecJSjnYaBn7BpBm2DhaSrVRtBFws5+RH4
7Fyy6F4Vr5wHOOBnuhN0jY7pIf7EcVmSp+fImgvUX4OjlKK3wNgL4KETqyqihbVGHgcoarhjJsa4
gSTevj+itvDGz4Asjodfduu2E1L544TP26q4GG61amubV5F6f8G13/2LcEzr7wFjlkQynk7sNCFj
4Nj1JTzzLwFjJZkBcarKGDUJeBBIVpzkRxyKbfLZ7YMHKKcpugVX8u8iczNlHmVF82id5i/OEOa1
aPTShe1CqIHs1j7Tpp1IF05qHHihtfPzO5idQwlDdaMKT9gKPXbmDZ6C5O8VognKwOf5B7qfm7nZ
GxSOEx7Qbfnc3xOf9Vg+t1Qc1kS0/Yr3EGtf0w8Ng4vXn9M91350mBInLMb6repNdCQ8857BDK3B
FtkMdmrk0/j2VYxNk6cMa23Dr2MN5g1l6azhjmqfzRMY5pFq9tHoSU5xf9X9t/FIBn3jhD8YEzA0
mD84oPR5bRxYpW0Apr3Fn4ghpW/q1shfhyuNhceKg47VBlYxr/CrhtcgkPUjJdthmPWP+j2nbEv7
8QGxWfWCxMI6F+4ZowReXWrDKftvjyTqjWxuGevuJ1p9V9yrz1AwXdsJfhGihrFb9aLHdOE0Kq+W
6kTHbidtQ0874wvV3kkixD7lYL1v78EAInjOXgrIIrheUDY5yJ0xR/I7NXEDfMbOOtqRGUV1kl/Y
dFkQAI+qtP4FmCwyHWYHm3YdbbbALIF90sEOMRAeusV4ccCnAE7dkR9oVsohM50jJXLo4gu9gdMW
Gd952jDL2IhqC5Fhx1cMXPVO/s6yXbUdP1iCs6lcwD19X71NB/uNdaXHzM1lbr4VOIY2C2jh/Ka/
oyREIersY89y/psz/+/ZZbcT31AkWTNMw7aVJXD6Lyc+IPsGRZcynBWrP+NZCjfLGMPp9WTar8qi
MF1F0Lresc2gbMJo9IQjqVmI34tW+b/ZmCVi6a8xf8vGyJqG4lkiisn8+69Qj0kirO1+OEcKtUL+
a6VdmDsTuwhEGw4brh8bfHYxdAz6YJeyvQQ0cLFZPuEfiS63zfn/QRf/PujCsgiH+D8EXeTf0Uf+
8V+jLm5/84+oC0v7D+IqVJ0Jkc0xNCzrf/6Pf+SnW9Z/LHkWmiYtCVu/X8oJ1/2daGHqtilJpqlz
HmoWJ+E/wi5U8z9MXrBtg6hNW2F8/n8Ju1Bt7b8GqOtMylXZ4u3QsCuGpShs4F/P906hqjHTTdrh
cZtpY9HRZqAiZ+7iTyG2Rps83bAzz008YoOMx3qlTRY/aJl1Gs1r9Itkt6X5gIuL1jQKGgNSSUqm
sEE/vf5om4wiQqJ8Gib1Bi2X72tD0fZ9En1UZhi6A9Ea60Kz2kNREJqbZh0VQ3Kq1oMRSscGxPJc
gAau8qbZteNri8zmKFHTLDu1P0wDUU2WAjQjA+FBIiWDfYaZl4gclDP9sUem5UoFEzVSa05EiAD9
VxDEVFX8iYKgWgtW/+tmRGvhN9je2+5BcLWqydxamVFPChKRQ/SYmaKoKkh+halSiI5g0s33Qowg
CzJ5E5SkZ1TIo/gnlUdgKGGtMB26HhK0DMCgXgCMGg1oQ3+LU3jvmVQC6C9/+hdbkl0dZfihK2IG
Ny2xN0qoO3acmd4k0MkYApcAXUZ28QjFiDbvdqhlJ7UHdQkFZ3FWZjsJWF9n/6IosqoUk2ykBDqA
fJGCVPEqdPeUd6pnvco3ZUkGb9qGJ18e2zOGnGPdoT2PovCO1mzqKIX2GWhhewk1TIpmYlTbIpCu
4pqFcuBGDaQbFSXVLbPDCmXAEbl9tv1Ruq+6n7i9EL8avAx4OTYZK+CNaipfnWaarKQ7yLxLmIId
zWctIzx+Nh+mqAS9TELFpUrvE5znZg9QwSA/z2mW7NQmbc1d1ooHoVLdIEj026jQQ/RzV2Mvtat1
LIbAi8zsoegLrLKyPG/DKFZp5dB/kk31vrHQZaU0lDd9mX75hQ2h3STIOGc2KA8D0RSmaJDGiqeI
qZmd1+p9GIJ/7/oM2MQU5IfeYKNzmCLNc4Eudaek00PLqmajIgne+SaJGYpRHmWs7nbjU9tQMcSM
DZA2nfDnSRqCc46yyen8qUNoa1yHpChfcPhOBL5ZKc6cMi0015e47PUByQF5S5bnTNd7NoFy03XG
H9IN21ZEz0lZXFEy50TToxFTGtImU7NZK5JubA0bcrCc5BjDQ8RdGAVzVXSUHrTUjcP5bHBtpSfy
2PUIln2Ie3OgTLsYsafVCWkzKcJrUOdhaawupqX16zFfivkZzHzFNI8Izl2q4nTLM0K/BykLjySJ
fkSzAWV6kgB3g0Gwu3cl7i/xBEHLWhh9SVs+CCvQyce9p79hnZM4xEQaw7zRe4T3vQlFNYp3Q9ZT
nu0VT9bgcIg2+BSE4STNFHr2nH2JJDmHqsAmj+BJ4XhjHwkZaWiYqTpTZcguEbzqJCmJwEAygrIr
Npxx0qgyDVTz9A7mYA7yr9AKui8IUNxhyVI2EfJU7Ws8VYe4Q2qbNktU+fyV46WB926cWGSCwkPR
Cgupve/07lciBfR1lFZj2URGvS5GcnYQbbeayVTN1B6qk8ru0tAR0K/p0N+otGrao6I050CWNnkw
ndsKuH6e6Lg04dSaNDrDYmbJVzIAaXpgOTI6876NT0JFfqoaZehgENnTESLvQwZ6IQhXJzv9KHN2
7DCtbeMA3ZoIjIFoz+o+zM1p3aPAWNCxY6erRHIztCPYFyytwk0vqw9Sab5RdgVMk2WHQbykSocj
EjeJ0OCW6lGIF59s8PWcaPfCxvfUqlPwmgAgsseyAcmdM0bQXQol+zUcRt1B5AIPXOktb6yrj6BS
zn0UQptNimdrKs1t01OPDJN8ixz/l1wUw71t52B4Zusx64XvEhVvXQtM8UGUDR4r9jt/7h5GRJG0
UCR4+3U77G3GcbnLCdhBGUDACxwb6yeQI58qUfdUtmik9eiX1Y6tR0FwVQ468Hcx6l6sda8zCodm
Nl4JST3hj3hAofDQStW3ZjHPjfqsdc3BOvopl7xo6lqyvi8UCl1LxuoYlCMmFlH2jmWNQCE7L5il
xI0RY5TSeWgiuG8y2SWhPJ/Q6sAYLkP8EpBLJI0KhSyOasJiKSnmj7GKS2+Ww1/qXIzH2PyR5wAT
hr3D01JtLEPdURt28lju7k0VwkZFCI4fzw/YA5egCN/pqKCzF+JpW884sVEdFF406JeYYPWVblKt
RMROA6FmqdLoK5Wa23oczWswTDsFrR2MFZzQow5OIe2YhXeC8pFE4mpjzR++li/SqeTZMKXhbJf6
LigzSLTlWD5kY7RNEiv1NI3RwCACwIoCHalmfj9gSFtnDYsrxBNY0GsaRY1U/irtXDrWCfQzFQki
ov7uw6iNmhBu1jmZEp8qH5yxbymdp3csDlP0G3Hr06/SVcz5vl0cVGn4nFX9LNGff1aN2uk0+7M3
g9FpK0v3zFihgYA7YJUX+Z3Qjb0ccL2N7Pk76bvPGDeA12BCQ12ZTwcGpX0cwAfBT4NaUb9OsT1u
hE9bBHkREt5ZHlCaVo9SwhRHZKz9dHV2Spmu7Ria1UbJZ5Z0icDNR7xgxrWQjGyDQAjJB7P+GNIB
QnbOcNaWY3yqQSfFhjCI/8AJGMbhtC6TZdKOH3Azyj/KWJcI2I2TuSj7O9PYLEmY4YzcLKEme2Zp
P8vTNlFBEuclAGJDlUwPiwp1wTAJQcpA3iBYkKD516YOsg3NXjjnQUIHM0QLHkqHycQ6N0HRUuae
5WCfIvHvlQ+/Yj1qmJ15CnqkpFojZI86PMIwrf2WA308VtlA0FZKLIbON8HiX9kE2hf192iCLi7k
4snQqveWUuY2abiMBJpqOC117qJNr1Fbg2/SHix5sDY0oV7CqMLD3EO4mtISmFMO55cGwQqVHmZA
MX9GTYjJO87P1EUR8+iwo+RIe1ZaWXHR1jN/c3u7fi7vJF94hUVNi5BLLvIYMVyrpSNKyJXTBQto
ppi/wiFWMGuxIkqL7oCzeImNRkaalhQcy6TySgwp5OVAikCpyiSuZmBLEAGiOWNtrxBBH03gdEhQ
IwcW9BbNkIIyT9H10iUdiQgpVAu4h9Htej0aIIcqjLQSeDTBHKSY42dLraRLTECasK9R0oqdSkrc
xpAn/ERYmObmkMXWvG+nqN/MM0baEaSCPT3PDPQjDM/RLgYUcHizZBlysogVty5iwmMKZoHmCDGn
rpRd66P2zcoz1fP3G/l+YpaPwxd5aKwZ0QReQ6+8UUCTMfOrYgKRGnMLUS/xuagTJ2rWtiJhcUFk
3DhjFn5nQi72Bs5OYGn+Y6SFj5GPCm3qyXNPqY1TdtJqyncFgDfLj7CcLzf6Im8h+5oq/+3x7YY5
tgxq40G9mcf/Yg8vwtjBk0Qrm+jUhfU2ElMwjLTSE8baPGolV+9on3Vauecqgr98ufevHv6r58ae
aotNoCQJn/xtiuFoXdI1Wv/bd7n9O7+SCWoyRsB9zIjwiPzzM/Ukw8P+53HLHH6DZnGJAPvnK3+5
+2ejAgPAUWUhoPvz10LQuQ+CAjmFxWTq9/v+335LOQBTSV/cWPMTeJ8qAxbkP/fS729we6ukBHmW
qcL+/cG354o6NxAXJta60egi2DprqhYehH47FeoluuH2QrGcAbd7WPsBA/pczv68UNcMN5RNIA8i
4KKHjAvfkGdOKUJqsQvUS7vmduPH+aFgMu/JSy7fMtT95eb2nK2CRAtyqmm4SGev7dKtspT+u0Xw
k6Qj/Al64czRFcTnUl4hdsjSJ2U5oLTUinW7dHJuYjVpEa/d7v3tOU2ztlLcd95kMm85KBWh8ghA
99qE/HPQy+m3hs1YOiK/NW20JE2y4khpDmE49xEEHyTJiOwXqdyfm5s8rlg6S3+eKwxSWcxZ9/yl
K3dT5wUzKHF/SI43Yd+f5/t+hBVYoL9eMgc7s2TFnfGZtz+yQ+MhlPPCtXUNUVcQVDS1bq+oJsQr
pa+3tw0ul319u/e3h8o0de6sHTijj7oNCWjZgrRByiWqpt4nSlzvb/csfrK/H4YlLjALY9bGaMjq
qLnY7WvyVPe3h7+f47zbYHD0kt3d5M77O9CsdzGkhaxFAuK+SPbKSwcmWeEDXDk3OWJjPL2Me8pS
u8klomCjw49zGrSuHZwx927evwyuhzGOQj40F3AWU3y0KZHPO//q9ck+OyKf9kDFOPo9NVX3SMF/
je5h3U4rb94TCrOqnbflw44MzoiC7pJ68xJb6+NImMFLbm5eLOEal+mLJ7oNH4iz6QrFai6+CVsT
CcD6lZcdX3xcWpQPoDJ1a6KTUSjumAXfs22yxxTg3uO9Obd/aDuvMPrt5zVVUFT4wKU2Rb0p7Sv0
gHXIvpjUNd8O4Gh10vILu2XOPOgKhf7F7pkSyZnnna2/wtwY38fpktuDM0ctBBTkpU7rO8XkSsKl
wdBnjj0hIbgzyK0MnHHeSYrBJOfMZ/untA2clJn6cDe4HBJsXANaiPiYJtu+XvU/OfZyGzIoKgwQ
/ER9vLAdybGzPDaDDkY9LQjWwTW4KOziga+FoplWO14jK3C4w0Nbc6F3k/UAiAgmEAgD7RLSxh8O
cFQhrXIQmBIY9sliwfyFt0ShBQOH1tjK74gEeBYXQznQSNzUyXVoCVTE7YBXFzRzfmbyv3zYeIah
ylEoXmFJM34k3ZpPLxq80htkOgEkVvqBG+kyc107dYEDzpXTAsnLOgcAVDE+YSBrHOtqXSrgKJeU
hgTpX/yPxCZH8RjvlHu6tHq18fF2tl7yPE3r6Fm9AOCEjQ7qcKU95CcFvOYp3OPZXUGRWQ2PrDBl
ckGsT+lL6rZUVAfLw0hwBz2THdb/Itw+J654nU3P/gOj4spWCBz56JzZDR9JaSFD+XPbPEquMzKy
HotdVJ9ageT2FykPCmTEtfqAMOUzJ8ltQBqfPGO3q4MRltdJeiC7YRNtMCz/IKDJNjrHa16fy1Oo
ADbLn9LyKHY/Gj+canjrdyNIc2Vrks620xkxCAIBZ8gZ3cO6rdC5ZKq6YYqjp3v1Z/xR2XK6UvHH
0qjQ6eGYOw1JVex01/6cfZeYgJ7lmMBTjzZWCT8PPsKzUd7bEAyS8lEmf7a6b/I3/pzKPuhd9od2
IbuNxhZHHcMzJ+84vgt8stOF85FD1q1f5r305S1u6FdqJe/Qcft1z+IdsHbjcCKl8zb/sdMNgVLN
gww/PL/w2fHECblJfzj8JcK9hVWDoeJeK0+cXIDhQmzFnGgcWeuaz6fwmS/HW/KDCDmwZvMAJaDC
oQLWFt+FcDnx5/mUa/C3MA3ix6ndZjhowmUwmJQf0bOW7z44k5t6h57IFkdgvpyUqblRyzUMYZ7s
JrxCi71on972Up4gz36qyke7/OrU77BaezYEsXpX1DsJZjGFrdrlLaP4KOpPBIwab6DTMq7dDK4k
k/seA0Que/IwbeXuQ/Xvevxg/OSz6j6ZYKmN71X+JhGElRZ3SnmyrrOMHAi9EUdkoPvK71smLyaO
dz1r8VD2eIuw+H7Bmlk8N40T1EzEYCAxcPGda36TiQvbFOYk/eq19mVBTnSTetfNd/a7deEIo85h
v/brD3jNl3Z1jsjT8aYvfsEGGTVLyZAFEVD1bUvVdZvZl0FzPtR7ujUrOqwM5ckRhZHscY/DYXr9
HrcyYzBj7BunEp/hyfvui3F1ZFE0OfzRvM9/dB44bMoxf6bONLlYozCK8U0DtEAhmUTiF9p1zh4O
W7SaviS3hPuNZUBLmJOfQR9f4eGdULpynqBEgxjKQK/uOQnZknE/vbbEJLAPqLtRxfBm7bXDShM4
/mVyB0Aej4yc0ZEDB7CAvWV2T2wCMEVW1mswq5y81uhOLtjl6YvRh6F05LdG3pzFZdHfynt4LVw5
NMAgTrTGSEDn+pnBstuwuAdtx/os5KrlL9zq6GhcrIQrKWe9eNJaL/8R7wUXd+H2ew4WZRzlYhB5
A3YaNy3zUsQA72/aVZx+jb4jfbHrug1bMcElZkKG65O3j1+opDDs6tFu9vnlr3mVofr28SpRJOa6
ONJm+zDfHfa+eDLv29XwCpfk3bzn8sdxND12UPgxfHHHgzhTL1cRetVIauFcch3mwi5xoJcr4ZKx
QWNVPKGOg9FDlyy/KxXOyEtsbriYzfczR5RTi23NV9E6O7Kw53RABMDhUNldTCUJHuIrr6WvD848
LhdEAazafXXk+mVdOEo2jrr1zJUYuvaawN77jPfjeuC9mO8sw464s9YhLViEByXhP9JFnMQTUZoM
mtPqJX4e11/sBOM6rjku7Cb9xB7nLt+fr8XJv2Ab9svvVD+UDlofTJv3XF7o8OvFc/qsXDmMxZHL
s381T+TTp2uVMQpTD0MW+8o8cfXT7/mVZUfeNv4Ic5II97SEoTdOWz5x9riUWTgJ2Wi0BMv0hO+J
wf3EUEmd1WUUbV7f+GPmKKRmAJU4MFQGu3zeRkcOPINP+swwKJNkzbdFU4DGfF+9cnHXT298C5Uo
B4pnK66h7FkYtU4jXD7KfH+rm2PEBfWdGyqe05oBNXjktM92KDPNe9iaEz8jjkuODMQNP3L90HCd
3LUO6TLMFUAfog4qOWzs4QyqwT3jP381LiepMbqcZukPm8XFn49gKT5vMdKV/l3zxc/ax5fNmD3v
uGRjOmHD+Gj7BIEWMPumFUf+cjJwgl+Xs1RDpQTvBuSfKpGEsaNoPDJZ0NzhLv2hFm8x2wseMNLM
3jSPV+oHIYXX7onrZsuYWr2jX4KLPtyxC4gDuIunNWKtrl9nO1ImAic/+B0q/xWAuVVr09nlSC7G
z8xEq9CdxAPJvdF2ZBdDNint5kjxo6dWgg2Df1cTYNYbpLZE21llCb9rsdpiFCKdEyMV0RzGY0n7
IF1s0kDwTx/WlUU6XJAVQ8O4DHIKXv71MJ4D84mw4ley3JcEpveBAy9RDcAOrQIOIXmROM223UGm
OS47X85vUzQXjv1LmlFZdJk2lYDg1lZ/IPfzf7N3JsuNK9mW/ZWyN0caOkdTVq8GJMGeFEX1msDU
ou8BR/P1tcCbmZF2zaq+oCYMSREhUSTgfvycvdfWjlZ2xxJl05bov4Y96hE3mpsA5ZKJyBvbac+3
6aMYu6lc1OxqA9xx4H+nkoDXk+XuS95EBiLaxvcR0pyJgDflfBmgQy9xKPCTngK81pNzDuv1OF6o
zNV+oxPczeVKRWwezJVqkB/MYRtAMcIWMPNkU2eHMPtBTKA8s7XaTzEnSi7gwDO4T4MVox9qmvkC
O1asI9T6X1yzbOfU2Vy72XZwV8hhzHXzJtH4UPmjjAG7IdYV8JCduvNxcRE6vo3N9WCu2QPz/BA6
55ZPiVE/ayrJJxguVpbhbTYbFrm2vipPdb3mSiteWa+4AgYoV/S0h3XnnlD08LSi8oSrAAXIBuX5
xCrAsjIuEfdo+o6hICcMqpVhqX470cZQcTA/9vLAE+bEwbWF8RrLJOfWHSEJxJKTefMIJom+I0U6
O0bTbbUzGBRqAxg2IYVwzwa1NE5gx/RglR2br6H5zaAXKvdM9xBjTNdW7PVH7b1acVPaG2iSCX65
+gCPwaE0ZkE2AV9P5C8pq1QdLhUd6dY3t/anW2sc+MO3SrcICZtdqhxlIvchjfeifU5g6+wDjqjr
KLtO9YGXwtll72WxG+y9KVYx0cN4kMCZ4BU5TKCF7xWP2tITXFxbCtva4wJsYXlm0VGlIDFOzRvp
c1zXbKRUre3VQtXFDG7ZKUsIxWeQwl/cckXscRPHNkQevrdAmDvTJnG2kp+5yvOZSoTs9oV+00g/
HrM+3aGv9pdtyj64UODZ604sJry5oUn26wk/coD4EBT0qT/RfGTY2dyrpBJk7wx3qz2TFqYn4Vql
gUjpkkEgQpCDfMzyCDGoPYuRWE+71toBv8e7rACvZlB7doyL+oaVgkto4FZG+N99O0A3L7ABQnOd
KbRjv50QewT4neeeSbfYx8prwmUD/9o4KdWBr4ycvJ8LfO9nQvsw1Jqs/ABSh9dB6EskT/h1Oq9x
fyyLVeitE0ut3MTFfjYtMT2KSddYq8gtu/s2vHPVDwbq/CpWtCnzbUD1bK1s3OM415bO4xVV7Do8
3woTqLwcjt7dMzeOfXXFJvsJnsYLGx7YGCc6mOohprNL1D2iV0kjgF0XbxSZG8fYoAzZ4NL5DmjS
XztwcYecbXCRvygdFtuF/4giB29ut+5CUvQKOEBqbFfM/3uGPffiir0ZC1VcbQhkB6wMoLp6J2KP
prEE3NAGnJzCFeU9sh63XoqrD8ViYXyTRJU9+++mwpKBVhOy0kNwor8rri7Q3RI7N4O1XUm8MMPI
BwLODLliGdPe/aN7bWGxFq1DppMnySLu2RV5m025izaOfvRb1pdhz/rDpWBjPpqDDpDxVvZRACBn
0F4fRnlPjFPQP07gP6VXhOMmDN8MngAdXbjMi8ysAHYgOjhqIEXv0q+JRNT7/K1/r1KO8it2YFbJ
A8JHtEoj3OCFu2+IkUaeQ37Dov7kz/AuvdOf2guDmIak2mxBM9qSd648I3vwkUv3c/JTEHvKKcNf
Tgo0nTaEBx+sGA0CNqSMPV60JdKFXPeapTiSW7cZiQtYIjJe+O8TuRDiGLK6ee0x0FgJJUzXOSBh
cwq20yMSUwgqLkKigFdE7hp7NZOKHLDnhGHZ+21cUitz3oPT9dEozkW1uafKnbks3t21tmbNZDP3
qmc4eyiIn2iyeDqtYfVkCk4Ye0IX25cWKwQp1UzaadwxR4UTBPeS89UWeCw1ir+yICBAo0Xltk4O
AQW9e6ccDmO2Y4xh3QeHahM86d2WTNBkk8QrQWPujtUU0NyJ3PQ5AZ40ImNrrLKrC7EyPIYsZ2Bl
F8pB3GkrOt6sCgn/bDgWpDsFH5grVS4fMg7yXc7wZ+W/VRuVsDwc9PgD9uXGRDqHCam6PPhnsQqP
9p1CS2Fh3xVecSC5cXiIth3gLqpQ/Zj9Dhzv7qphNTxCg1hb/TKYXskvfe+eWmzShCmtqidwf6w+
J96seDqq6BFwiALcO5Uv2pWkpeI0Jmfcc0RV1M0DbzTYX1aPBVwqeMLk7uEgV7Z1gRKDYmtTnDDg
zGtisXRZ889li5TQ9prX+IVVVH1jQhZsyA9vjV0Us36TzoYOY1FJr6vey+gRZA13sXatzMtYQlkC
3Inh7nemjNXo+xdqvUMomFN1Z0hx6YaqizeOTmx/VAiKnA8xWYHoo4Ykx0h4/nM28CkURav46Hj5
nuDrbNns8JklrJmIAon+2Cs8l2CXWQbHeeyzsPS7Y/9qI0GgpnVesmO0yWAidiTj1S9oFIqAjBMg
X3O4rHJgmMWpipEOozYHYRAZlIvu3nRW40l3l0ABcOSZZKZBgW93ebfV4YDaG5S9DAafKDc5oY+v
JFDNgtxuUXq2e5m0e1r9GKjmMztKEi/ih8B0JPmxXymncf3BVUBKF2VvtmFsM8bvJJzB+/bCc7gF
2gia7pVlIbGZmyyCJ1K5zAfbI7naAgzoLqJnXDoADc0TAaFv8+pNuCijoYWxHl6T3+iFaBC6MLTf
V9qXoHuycrfJCK91CaZcbY7J+N78piWxhigmWMfdk8KvAwTrngw1lJCYfWnRLfKjVuEYWjCA0hsI
VMz5tnnoAXbYMWZCH0T7AAUQFQKrPIqOEu7Ga/mAJarZ9Ewwts6OIp/Mq32zzK4RVwaAo/KjuK+J
higR4xzQP9Eccs/hnQnSI9+mLw57Vb/EqejaC/87zolI2WVOd2wMATWBRLFuNeyjtw5Q1SYw5tNL
+Cy1TaevUMvGVwLCJMdnt3orn2mpfrXxPZWWssnMSwe71zy7xV4DUDiUjJmmLUtHsneJ7wZcKHf9
WXtx3hBMb6oNx/sjtyT8lYf2xXoLWUUZia+LQKCR7cSwDeJL0qFeIymCk/sPrwCnQALl9OJHgKps
zaNBrNrBfbLhVshT8qFz7g28iUuE7Mw1mDgsYR5DgoLx8gtZk5/Fl3sC9MPJnr7GHXIB1AJG9ZBy
QxMwSUaNR6nyE7tzf6SPLu7ZOHB1RFsSiZyNuBvKe4TR0b7FvfNL0s1n9FS+lN5cld35j7mxDZBv
Ev9H8viQrCz/p4IINfv+MDz0jwRV5vqTAzHrh0xdBLzb4EBrwEZe7MEpYXFbUAGwAG+jjfwkymYh
uX34riGgZQLRWgKEOZbMr+OWlSS4p7w9uWcoII+ASc6J/TrRRlurJmF+khBE+XCFCvfOvCq0mau+
qQ/02J4/GABZ82r7HL5QQhHxjMN1aResdM6FsER4rUQSsuzLF/tMnih98TuDlTwhUpe6ISYHzGs2
2Um8DN/4DYp341o8+bsOXuNLtB8euRJ/qvgic0Kj4mcz2NvXR5MUvcVXtYyewIiesVxOyJjPyV45
d+zIXAr+JV21RIZuIEAWy+A9Q7K4uJvZRLqnq6/TwVpae4ozuhuJft/25Ov2uxbXdaEcWyW4BPMA
KMgGzv63D2EiwTOocSch0SQAssccoLbEVvfzpGnsFHzJQjL66Gef2G36VEWHEh0P6eKMsMLZ0IJE
goaMDj+Olb8fcfD/628gYM8Trn99agYS3YP62KowUNp5Onf7/7eH2z9tzZjvNCbk9hoDFpy//f9E
r7UdfpZIZbDTKlb110Mwf3r7ml/2lOihIz5cNEOexXHY7sL/+Kd/+5+37yEKZkV/vltR+8U6TZoH
IZw9jtXQY1C79SumRbeHoJp/xu1DwcBe824fwuIA7mareDOaITz8+efy30/zz9fcQKn++S1uX7z9
myytoy1bDQSXf/2o29f/fPrXRyGu1eXf/iYxQ1T1DVvTn79wDOxYi9vnBQ6HhVbiWLp9i//48bdf
G0UoyQjKyG3VBBSQ3NNZ6UoPZRTNr7mHGxFFJUv8wnWV7WJZbYWwQxDhsDZ1ozoF2YxJieldTRhX
EoV6tH9oNHfblRz/EuLaFdkKwk04R1liJm6C8AqdaxQon07SnhpTf3dBQo85OsoWQH2tEB7YGS+h
UUMJYmTh4l3mBET/Z1Sg2KHlhcvpxhO9ZmcjM22OUJImoFVtq9bIChIf47YhkMmGZAj1pENgZd21
Y40GT33Ev4TWJ5EYhMzhyQAzS0ha/ICL85D5lGcq6bFyXJF+p8euB6bsGFTJJc5e8d+vTbocPYc3
0EE7pRkoFbFphX1ar11oY2UY3YVNBjvQZu0ygsv0oTrm3u4wuYhY2ZtZ/VRGyodqTfc42sG8f/YS
6yec0QCNgOUSilgTS4BGBVprIXTP6tqT3Wk0QCeaOr79PiAXhRWUX5CagdepS8HhCHUkJwCmr+wi
wgWWg1ivNGnoFL3EJU/Ei29D3h0A7Zb6N0qSkxrYr0GChFXvJhKbvjRtH/TpV97XMAnziSIgJOgv
637D3PlkjJwfOtWQm0KdZtZmNKd0TRXSRCE4Trc6Mt02f7FHkN+ttq+JAkZMApqIOcvkH4dIvza1
JOqTUJS+Rh2V78eEiVBNqLXarjOCgOveohZjufdrVI2m/tS5G+k8wnkiBZnc7U5MG82CyUTPsxXv
vEyfDaI/eDx3mh5/mlRb6Yx4nuAo6+DeSroeGa+ZEWs/Zdx9NoGK52syqfbY42tELrxio2UfWxtX
oFILUCoTdpNWwxqDdBbco2GtyuG+CkrzayJZpPbFNWvH16ys6YO6Hd1UI0VnlP9oAZ7bsFMOoPtX
g1nk26SyN0NGG0wAjoRZzpyawjKOFayJVfxd4MfWcfMHWf9UOuyuYysg1Mtm2EH1Og7ogVaNmLP6
6pKcrbQ8R436NpUwOSrdIffF4DyZ6c9DpxW7JpveE2tiSdE1tDINFEF7UFZoA9846zN9CpZaivIy
qglYNcwfriRP08i17J2PdrTufKbSk41UY1KHp2GQB4mPu7YqlLsyI8JXxVMdPGDc3mcagasVSJoT
vvsr6SwZDZ3UlTqktMYr9VZfBpH5ZHQORCWhf1RfquH+VklGSGLByzVAJA9tCKpC89d9xTd3x5HN
S/qHVkSEqlb4ZgHSwHE9T6q/RuHrnxG/Hty4/dF6V1/5HB7gjz6hJq8RYqK+HSvIilJ8WDnyhaGg
jmYiNkHs95RaZWoxksYJ/Xf0je4uUQsHt/QZ8fOdVmFF0urRXZuB/+sbfXzsu1ehscxV6rAXqWV5
msF0Oxw1BzU6SXdp9lvb/rJ1e3Zxx7mvoeXOoelqLn/NZnpA7RyhY+BYiA0Uo2NBBpjVvEQdp4tM
7yF9o+hlYs2wI3WqxCufUy0jNktM51JRnkPuTV5dvNaWS/KGQkcmUndOMDKrhCjSdfH72GsvwAYw
oAPl2KgKJ+YoFJgT4Fu2CaE3fgM0s7FOwtEOVqRjrhpVUJ8plWofXIofWZfffsucRzCAzPZGOKmr
yozsZWgHS1v3lx1eWHID4ULaQp9LQiYuoDT3rtO9FxPTT6HQ9lRYe7Z16tMxG6JLmFbvomyeqrw/
85qfAXeBxfRXQxczNVXUl8Ch6QX9BSjzJZumjVKWl8gE3Ab7HsC9DSDIz6Jfc3gwigF2GyRNQnjC
i24aCdLglI68msAk0iAmozBdKkKi6LJIEjaJLFFl+qUUDpalqf01LdpbVVrtAjP5TFi8l60RwtYk
rxRp8ACygyM/63da4dEtwaYhCifeqn1ouui3jfTxorVc/VOAWt10e1oQ7ILIHop15siI9iDUkrip
XpOh7LHs53fGxaATopCMFWQ/ItP15bdlMi6owre0/bTCiVtdxfFYjCppEtBPEerv9exe8etzMFTN
GXX1rCqloa4VIycbv976PXB8v82elbD7FLpRYkSeR11zrw4QncxSnNZFjp9y7J8iC0yZwmwS2adO
pnbIETahX4+AHQ5EWu6VwbY3amEyBk4UshjomJctTRAHbe9QFhcjZ/aFFDeHT9y/qAOA0sh0dnXh
z1A7slEiV7yotUrFruZctV1LI6ROHoGZfBUy9Iqm20P2GgKatSWRfiSROKRCJigIRksccVSvx5bT
Z0hHzCtIFllKP5W73Cy0Zd8sDWOvdEfb8Bk3qYwZAt9FazKkWy0R/img5ehmiD5tY/zCjV4t1IaW
UZbRopU09BMHonZBYJHsXJ4tc5I8HyDyVBqN9jK/dg2B1dIkC95qaAE4+l71JxbEaBhWka8srJog
lAhxmNd05RfUku3/95KVP//9Xx//dy+Z69j/Ty9Z0f/NSHb7D/80krnqPzRh2xpeMMMW/zaRudY/
LFO3NEu3NdfWrdkh+C8TmfEPoc4MANNw3NlD9sdEZqr/MCzbFdCiHMe05//1v//X1/A/g5/in+bg
5m+f/4+8y1B05W3z3/+l4Wj7m0/RNQyBwlc3cCmiIzVmN/F/mCbHrG1lbkcOrILkhV0aZQg+piYn
orNyC9BRSGLhLJFHRJciQv4aloKm9Kh/KLEReUo1phswZFguJnksnfeQG3hH8HmTRE/RbJEu019U
bdF2HF0kyIxxsNKaKaP3USpbO4lmk+rkDaVjHEq1PkaS5b3rn/xapTmRJzjXe0LWVdW4H23EMw2L
XUn4aRREEfJdpccU5HPT9M6DWQI1qFucKAk6iKB2jkFNo6OWw05AcFwbs2Je+GaLkdvwlMLOltBc
MM0mNsE/qfUSurEKqibTaS7PzKJgOgtbW8UWB1e/NI37Krd+bCulUx/Kn0i0NI5rcYzcdtiZDrvF
MAVrO22Y+oLiYWBjKAfTHLdwSN/6yFDOEcBQieZ+KXp/4+fa8JRwqC8N86SbXfZpuNYBIuE2KKY5
EClXd1rX7hwjhUGbJbCTCj0GrOzsAY6r60Ay8qwFmV5VSQQ0YniWhzvYHHkEc79yCRiQzO+MUUSH
urQnxGS6ju1snEg7NbZmuhtb0nYqrdkMYuuG7JIG2fFuUkYrJxw/LSXVj2PnqjBnk9l5kJ9N2UFq
IAB8qPN3s26eRjIksEgh1U9Dum2++K5yJo4NQFrgdDFruj4yKpK04sY+Icc8ubSQjvadZcAem65d
ptE2wMpssWdpwok3aWQfjNDTdckqOfQO8bd0FUvT/DUMSl+/bw+5Uh/jQSG0o3fW1nPSkhU9ucMp
HdBITGn4iWtOrmpd3Zsy0SFGiLMpimydi2jYRsUP4humWgF7RcI8aaPG3Vtuk/MbTVRVsu0B2Phi
pxPY1FcqcW42gRGxQfguXQYsXqIxSEgTSynt77wgJdU22QzVwP/WyD7YGrNRIAmcCDAUucCtFrWk
rdr3IqdXIOc2vwiEtnYs+Y61adimZntKggk0BBwHzGktXJxiJ2C4HkDweyM6qgK4aTHelUET3Fvx
1mCmpYWYJRIusE2lmYw5nVehGNNhrB1OzLq/y/Tyvq6lcSI9SB5j7deshxRRO/m+Iue8XSsEHjc5
o3HbrA8WEMADd9xA35kwSrPsdqVb56u2pd2Jj2lpJkB5Qjuz6IN/KUNTb6A9vQUjnn0bQfVq7pXs
GYnoLuwoVfePNTUrA+PK56obGcNkDkRurafOUe76zMQemFM8zsLRUKUHqa46aSLqNPNTpoG+ciyr
3wJPX1uc+bCs4vw0HWb2WuAjEUfWBX9GbEVbkdGHEs+S5oYQGbh4fRqg7khe29REMy2pRwQDj/eI
ySm2dlpZnNJrINGeNo4WLjJ1AQ32ICBzzUg5iQ/rnTSDaNvHCBPCjAmFrqeeWjT3qT79mj7snSQ7
BBFdeXeYUZLqj2MFO6tQBDEkuM58mNNwTr543g4zDHtXFuA6cuS7nkNCjgCkwmBxWhb9OKyKrgk3
bfQ20F5PfGLMm0zyBk6ON6jhU8aiDbm+ZcyaMoNMZ8h53dDVvNYFw6zJ78jgsobkrFyDChdUnkc7
UO53pEhI2qjWlwyBmKVajErKqnK0+Zz0x6TTd8BxgICmsBus+FI3MykhTUrPxJWZt+iS5o5+bykO
0/k7y4WMGScoifBqqsvOT2JvVMK1W00cHLLXcppzUSxRgZSGpKhiOjCr6djoqErSYpoQ0gAFBCI+
JNgs9SBYZ9iQV6NVv1sD14858FtWLcomvKMv2c/g4kFOcjJlavSTGAtg5BTj0Y2MftVF+VcxuEcV
OfwZ4B9jaq1VVqpkro48JAJctC1kz+SwBmSVZzrzE12U6075maiu19EQVotiUJHC9D+JjdtiHNxm
0URG8Myeu24p/afaRb/ZajUzzvEYx+Dq0jz7NC3lSVH9g9ZjXgkExVego2pQ5Es1dAgJwJVpsY9r
AT5Y7jI9SZvgwc3ktZK5WE8DTHDDnIMGuopBQigZY+LtGv3ZqVYwZLHh6t0hK5XPo+H4+y6mJ9Lo
9rDqRwuhXKmNG8jj2Vm1AcAYeik8E57aMrDxfxTmdPGTuoV3UR1hT3H5CAYXU2yPl0TLMOGBtCeo
bzq2RceYMbDdvWMyM0hqStqhFMZKdxHnw2YmNdit9E2owx6eym0RdTtaeNlKdYkhqhrkX3k4u3ib
uN1LGreW5KiH1bFaSYuRZ4lrh6Aa9gRnKMGMpE/OSACzIqsnVUXK5RDW5NmcmhdwiuWqU5FCW4Qz
wSPmdasnuAx4o9OzSShJjwB23Vv1KerKY2YF5gFUer0MGJdYDbeJGOD/9qRzW4Fxnkq33+twjvHE
M/COMlom0Vb6Nhp1pdW8waX/wc5eQQfCSVAyMKNqwZaDb2xAxsuOPGGIKML7SLWRIJg5QSpVdbCJ
HXIr7I1DxDHJqW13o3WIAlIlIkiQxgquwHYHZopYPGwHg0sAWe1wMA5159SVpr6tH5SI1lJoGIyt
o+CRWCYShYqp2lh+KZd9OBRbzNxsuYxThaUdxYy2DGNgm2ZJRDvs8Qpu2zETeJ9TKXZdUgjP6vH1
8CyzuyaiDHBJVVPo1Qep8uBE5H6qrYMzQbEwi4HlOuL13dBWCDCGYfqthgox4dwBv7kY8E7F3UOL
7sEOSn0bTLY2oWwloyIIRrGC5d+s/LCdSIDDV9DVzrfejnRs9F2QhNVfboPbR+bsQLAxDdrqkHtp
Ix8GdFB7p8PbWBU2EvMZ1FTqFlERYQzOl8tsb5XGe5zQlI1z+pdGaWBFKdOtSo9aqN24vz1Maad5
mCo+gN2iihXy6z/AxWo2v9twTxFkMQ3IxNRtZz2NNWABM8MAGWvkMs3pkhxLmVNugG0xwKjMGeib
2OwDieAgrMwH70AZPbwxny01+IJ0LUiH85Mc6CJyO1rwSP0ILnEnOB3KhEl281RnAP6DhnRhpX7y
kxZ7aQeM3hFOuQdSd4wLoB+3z4LSOWLnY1JpcCGOUVftbx/pM7vr9tGfh4wYCaOMaDlrfb2/PTT/
/mjUDWWHFquWfoRqaqatuVfDV+MDXM9kJ1lP8s5ByJYn8TKPkckWApNbS/261szycnu6PZqzTYiA
hHzRYp/OgLTbg9FjlFr8+dwKSLcPfOtlmGcj5jz8kGWQEvk23/YDKSmL+obudmu5o/9Zb5rZB2TK
GZt9+7AxeXkTNR2Wt+tN1V40qSH6n902dLiBQN0+TEUDnHuqnNWNT30DXzuiw9/01+PtC5pZXCYL
IWeuD29BBd2L65MR0PzRnwdjNs/c3EymmoEsJIRimic5OlbGvSFxpYn54fZpPSY/Kh5u78+XkhJH
iOl21Fl5Psfj8tqI28tye60aXRyFHvlr/TGvwWKHAjy+PzHIdqY4Z5fSw8PtoZk/apzfauZ8hX0x
sp8hIUqgx5OOU0nyb4elQ7GzJelK7v88uHXS79XUhoTlTk+ZUir7MgyVPYkLXHMR92dFu3QCMQ+M
kAdHgnlSreaHcJJeXU59NW1CDDs3s5A/m4VuDzfb0F8fwb1nEjrppjco7Vs724ZuD7aWs1w6VrWm
cGTto9vAqo7sKK74Ta2oOxNeE0DZnWjI05m9unY/rm9/Keeb3aiQl7cVXG0zmBhrd7MdTC1w1v5x
JdXzT7tZk7TRYSB7+1y2wXPk9IRRzu/R7b24vVEyMbK1ldsPgOyw3fkxS06FYcuONGtze2f+dv02
PUyDEujJnK/7z2vapkFE2bzTO1KTlrcLeWDVQMI5Vs22piBwbi8I+/g/X6rbq4RnXqKQA9e74zjx
10tw+y1vv69J8uX+z2/Osp2vnTrcZaNclbKGZ60a30Xq0CEeciR9rXavcSK2TVI/hV5TexuMx9XJ
fGuCADq1xIfbxmg0iyclJzQhdiCT6tOEns5pf1TeFQctK2Gl42udJCyw5OzQG4IFlcA/Xc0pNqc/
D8MsILSh+DWo+Vwz7Txros+JHkW1iaTTI3GVIS1GtJOVUp31wL/UFmc3JWSjh1oaQDNfKISAmY15
LdriASMwOyYjdnPSQYxQvBOTup7c/DTIU5znX5qtPauBJhdkV3Ly66OXTH2OQ8QRqVO+BpKAA9sn
hdvgFtCymPSdPAXtMNyryMiKKl73A3ISYBbMBzDoW9KAUcHJs6Z6x+ncrDubBDh1YsoUpN0cvEDp
Y8vHuNTLQ1C3p9bonW2Qhk+VNtpYJWJPhUy8hBts7zSV/TVQ213n2PlGM4BujMPFzZzH2MhAaCXR
wflU6BN4Y5Ztybfrr6JzqL4cuW9M85TWX4N+70zXMmWc74cKQtcsOYZi+ORAQtNagbrbMSzXTeiz
AEHI0qAjmWQkAVm+HdBzUHjH6oc4EHd5ehmd5Jsu9IS0PGQBTYOPpqNYUUY6/GqXHB0xOMvBllsR
l1en3gGB2BDQQMPVsQpervaS2Bl1woBT1czSOU3n1BGEQtUnT+rw7NvM69rAOo0UGW1dc0toDESZ
MYTUzCu7JJghZa8D/4wWgLrKga48tQX+9nmS/dEI+dhYzrvkRZhCpAZdr3IhWoL892TvZOq1SlsU
daPhlfVE5DtnahlDNYz75t70bfzzKGrr1MWbkaKpGYwVBt+n0feRs7kNmQHip64N0JQGAFc9tJEG
dZeslF5YMFoaDq0bb7jhf5uoxQ3TuuEKfkWiD+JYxUAKBMGKXWgutQq4WSzQOZRqc81K4vIQ48Y0
RPM2+pz05ApfAchwYp3SEXElcQVHOuZbgyTyNhsPCZOsRCZE85jDV95pZxyqT1NtPySa++ZaHSBO
7qOpmMRONRCulhViiRKVrMoIMumJxa3rTW11r0WRXXmWC03SbQ40xrg5khTfTFNoy3MSIMM6OiWz
CouTu01Yu8LbECB4T00Kx8RTt5okZcuQlo1cHO24iXJamIjDjcy9REPzOo0+ZgcfPXXTvNbAnAFU
ovbXCUjMHKdDuRrYi3ZIUJZHFSGCk/JW55CJfK1gK8Az1P/YRWOvfYdpRFjJDxWRHtzSzhM6c8Z2
YjmwOg2CUtpeYGPCTZrZH7MCIaBWVgCVW7n22Dg5adm44SEjkHuk18T6EjrFj7cr6mTGipnsD13T
jCumJNsRWi9G5HZgIKoSsijhMsX5b1qJaCmt8tUxSRMrpUuwifbTIl4EqyLPJSXWgokZmNrUBUBI
FuwykEimzBBBRnQdk3A8dJlkPCU3RoIJnbgpd6sSArGwbWUf95VyVPXgGKqw14NejS94q1HX1wZR
Y4hqQyJECwZ1tOGRW6aDvaa3/0tlgcS9A93PPWrrgbYfsmeGYPeci6ejZmIxcjMqa6v7NToXh1dF
Q6I2PgZREzhcq295RM74hKq+sxnzw76A3wvvoDO+zbS2IeNPg+cEPSHOaHBNnDWGgyMuQ1UJMYWR
r45usFq4Md+7VJmH2H7+FEXjpcnpxmYJA2u1NTUov+kzuwZqOp9G4JgfgQBxVLP7Y9GpV4QEn5Zq
YI5E4QKQSLHObSruVBfxVKowuY8y3GSt3AK9R9wX0hZoMxJsfOcXyA8icYtUIghexOPaEXB/oTHD
LF8bOtZHlrVVNPBuknj5S9tjXNcDcHIzgdHo+w8Va9A+d6vfMO0ZVPlz6mv9E9JFwfH468RjsVLA
C6pp6wVmeg+wJlmRMIS3J1OP0IbvzCr9Zos5Nixk64zcEitqXzvp/LCly6UxMBLEXr3XMnUXx9+J
sEavn4DqWBD0h5iarAOprjdOQ/dqHTcmpSxbGjdSQ8YjZMhyTi0H6IIITyrBPvNXheNeNNlBzVBY
ZahqMeWovc4y6ETUo8qn3dUCR6SDlGhmudTRtU5EdrbyHt05WUQMMknU4idpqX1JOVgvW6eE0GL2
Bqx3YOWnwh+Wmmm+14OdU2d2EGozsVWnn9rhls80d+0WgG8MdABLh6dWtCjtdPrnjJO6fVWEb4Va
QfVBkV1hcJc9U7qpGe994VtM6aLJM4YAj3I04Loz7sxuIhWzQl2WoO4tVJIApW5dmxj1dO8kMTmO
W8Oo+qNiOZ+hK04Kp7CVZaKNzM3HPJkQksaJTbOUBS3o5MVH0tHV5baP/JiU2uE8BtIkHcz4jqZ+
Q/TVeDSNXrB96d063Cdof1YDdLSIVYI4DdSTWsqkfCqCl0h4WdvgOunQxpXdwhTalZjGOVDLSO21
sPsv8gAfi+7UAHpZSCYJZDWG7lJ24JYjFyhONtGBI5Mgx+nKxCu6jHIzaJO6p02G/U/FdAZYAB9u
bd1HkX6Bxt+tUvMlob+9aOYsnNuDTfpQleQ4fPLyEb7dI/NFhusLu0XZH9McKruA3BVfkKQyB+9E
CZt/8JsNfnnwe1Pd2L4uMYVY82I4bBUjPbHNLZOwc88MGK0FgcAPsfyM2oOvV8JrKYnQZvpi6RvG
U90yci+Rl7R28uH6KD6ZRdTbMZVvkzZ8Ujd5WpC+qzglehRn9z7ZroakbqmjeyPl+TR2/z2E5o5O
5VHJSHLP7FkxYX4IMaIbhDvDQXk3qRyvojb9ged2LSr0gW3TroQRf5a6+TnR8ViVrdKyFnHU7Ljq
HEc56RFh7KCwKuTiKNt5T2ZaOBo3O+C8r3QWb2dIqmhQLHu0BAtaplcDbMjy/7B3psuRIum2fSKO
OTg48FcxT5pz0h8sR5x5xoGnP4voe09117nW/QLXyixMUmYpQ4rA+Ya910ZOtfMKuevt8BQpSChO
njZ74ukZJZnic2s71W7wO0LpkDkrWZAk5A1wpkEPauU++baGZBakkHgJc9hCSMINkwMCzJDV0A30
D/4Iw2Nqs+aqVfiQiYLMMl93+8T7Xo5juRXiZ1P3ESoMJMG1dvaDwr9Vi/C7qUvUKrhRSCtz4LVx
iSN8Xwfmgz1ffVjzC0OLsK3ei9xv6a9mkAK27DB35YJ0i7juz/fPBSnBjJrouj7nHfiU9j5HKJJ0
ON8//+shqTXHhcdJb5X+eZoxh2jbkE3O4H87r9/BIs4Opd/aswW837B8ndv1HyqnEr7sPO0pePgX
1i/99TCi68KdF6Sbav1H08nLu+PownARAH+W4lvAKAMqAzz7v1jaZV+ynC6DhbiTZOS+ckdq32na
A1uHMxFDhh4zuaI2Kg/3rwv1LXXc+ZQUypzlMBkmORSCy+yRWB9X7Zld/8DCjc3I/VNfrdk5FdGP
DMuac7IOObRoivqIivGBXL6USCCITkm54PlcxyMoEmnC75iR/3nIe5Ggg1nwJK2Nvbt28lMkX+0+
p1JL8nfPOO3emyJD3h8Pa2TieUHhmSbKInSMxjlNYY7p9eH+0V9fq4R57g1GqtbHlrFGR5zjaEZ5
oRBd/ePzv75YtjAivBwBXmp4aRdSJzJFLPYa6bBMtebuHrEsar2UPOu278/kPGF+LQMkC02K6yFP
UbsNbLeslP9PWX53rpsF5+X6kbs+3D9a/wYSqP5Iwqa77XqX5B79HEh/NXoNiHHkkAZn4RC2kqrW
3dxB83fkfC1Azo9pE598Np/jipCPMuMWD54BWua32dP9a0TC8tfWP7VRoT2IQTHgLIfftpQTsZzQ
5wPCTM5uNIL9aX7cP7l/2YUWd8p4xdC3YnJcH9r/+ehvn1Lwdrusxu51f35WNUnesluSdbqzWCH5
94f7l8k5jk5T9TJ0C84H2oQMt3n6aLuaTyErOqC+eCA1gsmdkqTjrs/RnRf7rNaH+6f3B9X0GDXa
16zmTgzgcDiTKXn/9//pSay/JELLfRxp6/O4/wl8R2gTlMzaZOQlB+9u02LjmevNoOuYnuuhasSX
IqZZWXxUp4mGwpBCkPNmH7vCJKMjdgjZ1u4jwixkeRUjbWtkmk06ydV2wKRNQfo9m/If1EBk4MwG
OlUBE7pKkLCXn6qedwnBVRuyXhtofWJg0zOQ3pLx65pK2IfRTC9hsTwck66APj43ezm7l56Opp9K
jyQVvl1r6e0fInToNw9L5CYUJ/GFoW/LV05tYn8iT+y3lfMTqDEA2pyi+Z4RzbMp5Z07+ud4JY/5
I6hQC/tNo1DI/3+1yL9Vizg2grp/pxa5JT/Jgv5e/jN6+P/8T/8XPez8l2uzKrVd+unAgeL+l2pE
/JcrApsKlwICsaAK/1KNBP8FDlg4AIElxb1n8yw69jn/oBJDdhISACgSEBUgQ/mbSuTfqkbWf+Sf
4dZOIDkbULOgTRFQkOXfEPPNZE1osTv7YkX2G0Cz6gYF1DtX0mNqGP6YoKqu17vG2Y/6uaKQfWqb
WV+g4uGY4jNEnsG5yMOXOW/dl0IXX5tqAbu6fuZNSMUsWxd7u45/uoX4XTrdS2VZ7lUDet0sNnIH
yrbk7Bi1G2bNPjZTHjbF1cGAyppIxMI+yqZsXtF+YoLK1MVXI3rdLn5y2lJ+gssoiaMQHRPgYDpR
mjzxu37uyHd4LX2V7JWKKuyNAjNNOxRoOdPp6Gmne3IdUnAjcShYZL7YHnubeUaUnXhdD+jF6O+q
h+4/jWYv9QiedbLLtwZ66sMMLHGXMAc8kQmFt9CX7ssimPIxEnseIwdUb+p9l14nXibu5ZfEI4xL
NT8VWOI3NHJrlZ3Tj2F1qhpn/ogFEJxwwINHLBsrVwLk967D2MQheiKnBsH4JMa3IiaCpwlCzDyr
4V5nxSkareXIywcERkr/MZjHfsvS0Nu4dqqvgTs+1ZgB27KfTyxXsTYO07524/L3bA/+dTBd+BYg
TR4cpzqMY+Y/dNldNhMp/EyaSdiYZbs46car6klsEDo6rDOxDfLl8qnEZ87gSiEIno9oXYKrQdFT
aon1xxuDfcVff4RAQWvWPifOn3LhDNwQwgqY15Iwc7V1EkGsntXCy6K9+CUwIrsV/vi6MD5/ZUp/
mJUDI7mBNElJTjgBNo+XEJ/c6KXpTffWRz4vlLd92FwQ07B1ww5Z9NWF8cuy0aJ+NU1InJ9f9eDz
suAyZT7L/cnHQs7+8hg4TGJTB0XCLOznDpHKxoyMe/xyTWWUvLdrc/6nA+L/Eepg/y3TwQlcrjNS
fn0R0LI7f7/ggg4RFNnp7cUon0iyqCLCIhqvsp9oG4bk1glG1J5M3nod26cy6b65UcogxcVKa8dF
9J9Q+7azXuL/xLfnGUE/t33Xg0OuQk6Cf9WNWUkua4vm4BLG2pzyrEj3nkeGV16b1yEr3JMY8cd2
DXz9YFAfhS2sl6j2Lu1oowiWLUEGjdogasQSXgTPTR4Se1lE8Ydx6eUxfRakuH3zed3AW6Xxe/iT
aHQw5FY4X8YBhwJqIfIfkTceyjRAiN6BE+hHazOiYeuqSt8UEQxNFc57yONoMFU9buMwpBB1VkVx
7dF6+ljzem9YnpD538ahONbz7J+ake1yWT/ZuasuekQsIig+NymMJzI1TtzQix/WuHhbkJb+QVn6
1iLpf4+H/joTnoYg1w82gRj7HWFSEkSTIjbRjm/KRvLr1KhCh1r3t6LF5zpbHyaMZya8cscI6TOI
N/da0RSwFXfRIkQHHSG98FKkToRDb3uG3e+CqiErIUJMKMRi8zrVZPDpdfgYp7l7cvV0si0YDKP5
U0SyPzTp8MluFRd3gkm1kbhBu1BjaRdcxr6oLnGcXlWKNUQW34oCRFliSgQGedhv+8LGe8TeoSoX
dciG4YuvJvT4PamBzNi2dRGSsblqtPy6jzeavBurIE6RKOOLu8oIAzqFI4Kz8aX08R+SYs9Tqo6a
PONdkAGKSpGYezTQ12kZnF1EdNBDPTSQIXy2H/b4yw8NWI2UVWzPHAeqpotl2Sfv1yIzx0ury9iS
JOJ3SBMJd4VXTJyhxxtk6NtvPhTgg8VQj7pSqYOrB0AMPcm2npWZbT3wTdP1Gmk9zB+CXpAgO+To
7PvHOd33o4upnpFkdWlcoummDjn5jLM/D2uc8Z1qHlztuhdnmd/5mZ4WP3pzFZPM1E3GW2erx3zd
ZubDBDZiHQsNpLD7pA0ce92z3wndhIjRNjnYzuexmTEScXVsxBz5FO9io1oIAk4V9iTiimMVyBBt
gP+iVcqK2ZAxAioagUsUInT0kqeWpK+HPvgEat2FSzwTGCSj7144J4c4jDdtbeuDbRK23dEb8GCq
UtZwaAwA3hdh9gpWUqu+wu5dhYdwggpdSibfJHExXHGbXVV3711vT69ELhFuzR0AwdJ8m5Eul+5U
niwX5Axakjc52e7TMuxre5GnTjo/rYYB77Twc2ZJ9C5d/3Pl4S4BDn9oLTfZNWlVXWcU0jZDsq6Z
GKEFHciZ8rFOW2sbOYI48zL57Ngl1KtVjsatONum6TztfA2ToJtHCeMFLyRzhx1uJXhNY4LMw6EW
COqScRz6ccSketNxl2qm1nuLoVEeWaJamyp/oSaBf2NjoAwT0k5mVEE7Ats+MVn9gRiuPboYn9I2
JMWjEckhaWcI12VyaNz8I7SArt9PnmZpP7QgI2nUFgoHr/08luGnDlIbwkwwflNpuVuz/h4IfL8I
ANfbDGNNmi/OwYve/eFrG5J96NlAKayQEmgihnSIUejInlBl1SOTdBCTCobQ2mMon1tAibDy1MTB
PsqfxeJU1AzFdmjMnrHaH5MUvBe7CEqK/pV0idqF68VYRkDGVMvYC3+yHE1yGAigup9x2Ae4GFyK
jM6X13oa+8vcJ0fIuQghbK85u6b9qFiwHq1io+ouObSi/6iBz2/bgL56of2F6Au9b06Jj549yZCW
i4wxwnl2FERmhHUPkUGMVrx6kfTJpeqwsk/eY29KmDzrFVlIqFCzrh59vz3XHQVV2/ntcWyHx2qp
6pexjTY0PO21nmvIQ/3MzCiKIXA0/W/C3Tvk88Pe9gemAU7NutoOnkPw788B055NHTPLcg0OuVEO
yFtxH7m4t5dCnlWjPsiOh4EVyexVzYh367m75AxWqyrR2E7R3vkFyt6GVm9jK+wfuVTHsi4YXS7+
tcFL2yTO1k9XAUZcOrdoTmkJF21tDYmClyxIETsu4lJmxtvPA0lEhutP94h7GTaLy1jK34rT+JhN
QbNz6dc3KoyZihr+BlVJxMzBKxEk4BaWQ/wrC7PypckSvBVV9U1ELvMjObxUfoZMlsPksc0955KQ
3sg0pbdZiISn3J1wDgp4PF0f7sq4r/eWUY9V+ZgJRjSdYOJQ5Ocud4BTunN16Ym52SuZf7eWYd67
CsfCsBDzgET1NieCggy575WUVPIHWT/VzlOpMSzozkHmJ1hENQNOjYUlGHiZGR6DXRPsqJtbgMSd
fCXzfehdZ9uQEYz8tnd2XuyC/A76q+JM2wcjqUQoWQy2mNnsabC7bRHoFR00CdCUPj+bxcXoWo13
8lvWOlbaSHJBpvFqpeYFWLG/vX9mMoKSXb8ml2sZULdyi31DBHn0lkUwEh9ZmaESwyE2PfAey9AV
cpbb8XRKByd6ieF1CHGQQUDwIiEmm3kkXr2fxJMQANSX1Al3ixd8z/06341zPOzambZk7Hp+7tj9
NLcfdRT2u2o9YJP1qB3IKWAr76F05lJC7D1/lcWir04QASWo7b3pUGzH6wRckbx6xLs7b7R+7fvg
d5Zz384ci3XcaJ+HkKopp6Slbml/2ThXg8C3H2tpv/N0oJ1lyW8WBP0zYYQniWoL17vC5B83n5AW
qkPiYqtzJ0ArpukWlha87IlxksfFTJ8zA26eo0gkBkKEFxKEYJ2quXnCy/QnEbI+amgrgveqi9Lk
ZdL6cewybgaL/TNW+cXLSFeRGusOFxkX4ZYnClNr/eXOaQp5t7ReuXW5arYfyxbQD8cu6sMOZtlE
2lercx86ZvGNDOf20iTqhX10+YpEhzvgNICDKoaGuhOYnBdOr4nA32OnHBYyB3GXWSwKghiOYxjL
TyCJGfEi9Q5ZoBcTErdRpWSKMxi/3B+GUvyqUvw9jqVpwNp4vmjYBgxbiJoIyXjmO2zQcJ3IWW03
1uSy4NL8JMepIa6g79iM9sqrrv9oINvEX17LfJ8k4IKygftyvXoimoVE6oRqcCtIr3mY2zXETxfT
US8wjtLAAeoT9U85Aol9bfp1W5/V4KhgyxSz6o9Lkf+OIsWwdRwNfzVjDRWzCUh8RHqTQ7oCkslv
93dlgYTveTT6mgnvKayb+lk3K+VjQhXroF3QdEibtG8hw7fCgTtH5V27c72v/eaLQ3e3gT3WPVBd
12cyWWCtlsr9zjPj6fXACmNq+u2gMFykI0EmUz7r/SLN2V+P/j7oANUMdQPlIjtVoVG0oSQ7T7gf
TC2rS1VKcmbLGr6PrtZ3+nIMrYLk17B7ZAs6+IoTLDjBfG92MqM070b1Kq0EJaaV45sNf5KpgMy/
TX67SfWDFte9EArsH22HvmEMoLnVDQmqBNRuWdarfahl9mGWdJPPSJxjR/jc5LiU+bo6tD3LSRUN
9gMRLKwrvYGcNuckkahdWT79sMmZt2IEnnJ2GOzWePySEhZHiQ1vS2ArGljtBg9kL3PHDXQCWwnc
DzvmfNdoFjguIXMuTPVD140EyH0EnGyPprRfJYMIyw5gf0RlTOpRcMq9CrxbheUSFwhhJK0vn6bp
w8FxIl/IQQmOhI0vh2pyALpQahTW0bYYHM92QZBMS/nBvUKef/r2JB7zEd4qsl61LVmOS+zRJ0Su
3DJU/K0pkKRkvfPWB/NhGJr8Gs/GJ/WC0QoNPnHLKZqWOCWg10cRdEAK84dXJWHsngEirCQg8Pbk
Er+wrwb07U7XYV7QxcsAAyJKKrVxcMozuF6vghCgiWtzAIRF8yPKOnn1ViRr5/oXO0vnx/44lmVw
yw0RKJUO5VG0uI5sz7lVyM7JjPK/R9OClSJyigMpIjSJjiduhHeN+6yhto5dIsczGC4dlAOv4fKW
ReJ+psp9A7s4+g74ybJ/pAZYBTZsYpLuieQGIqe8bH4WDHJspr1nKAh4+/APkqxX0//nN69o64sB
0bstwuniNa53w8vX/aOaK50It2ka3/LIh4Cv6BysluFBT+2+K4RMDv7cIVrPrA1ZOrhK1ocFS6br
Zk+RtsWuTZ2FZIqKONNKHFVJU5s65lfmcCWZkYLRobYiaMB6NeVQXUzbjYduHbsl9Tr4WsKcWoHh
TdiCrqTgOVnVPF5wCaDgCLKKc0rpS7Lmrd4/auyCMLwkP4dujyG8IhBYB1VzpUILjtK2nxKwEgj7
mNd4Q0GHxkEA1apiJc3XCIYeQN2m2TPXSvaMUwE5/UDziJd778dO/dRkJrpGawTEw2hP1KKWzi+U
+gizA252bZB2G1ss0bnNbaCKTt8FlOjpz0XBPcRBW7wyALWP9ozo1+lXJoDZJE3h790y+hYNfXHt
9XpllQoQ5LocGTzaiNFv4IS2jvVusvILle5wSLI5KoDvnCrekti6q2jX1Mn8hGkV2lIeIUBZmuKC
xhJYwZS9WlU1M6yHOIwOcHogAOoSaKd4MuvQy5rkI/R3gDGlIr1qiJP3mEH8GWUI2LlE6HdO6eU6
V/Gvq8GA/CYa33/TDSg0yy7VSc8eaCWWywdu4+lLNWebxCEKTVQkszgtZyNcK8a6Da5kjMSJh8+u
VmN1sJLCeR6C6A2dh9hLD3opuW4g3qbKOhHscrr/0KkkCTXG0z23zk0GrX27v1d62z7RDb8YauHn
uib84D6ERISdXRZGGVs3cn5FCh0NdXJ+bKLxCSwozl7zTPf1EK8LCXvNjktMMFMv++mWYSBlcCdu
uvm0+O1y/Yfo0FKv2DLMpvHQ01QW2fJN6F6bW0/I4aJhehqOJd8VPcM9hxtvW6SHltILFzCer8qL
Wozkp8EL49uIvZwp4crqQsaZBVnEIhqVCa5rhwqeH2l1u8JI5pVC6fFeUlAc2ynrj11LZJbf9Rud
R+ZWLOi3XIeMVos91CYvpblJkdZb0aHNYw0JnSpJCBAeo9diYBiZuW57zDnQuduK6aAX+3dZhPWl
MzlqJ+LWMGjY1iEaJPbisLggbiUCyWFVgxHBv9wf3MqBT2zMmzc6/mU0ODHGYoJttRYggdWel7gl
5r6b7DN6D/7xxT5VDkiDDk3ZFh0z54XDJCa1CRgxv4nigXXUXExpkX+TVN9jCZIhYTa+c7hD7cOe
NRYq7o6hB8Q8GZwsdl1HkU6Aj5cRvof0mmOUPqKl7D6HefOprcUNQXn4CYK5o1AfeliEHovStm+e
lewFy6EjtwwYWjMnaJN1wfPS5yn1bvAy+ESch/6SXUOEK16QyEvT1k94RqsL6+Cvsra5vkNzU4kP
QnZdQ3nucsZ/9x6hFr03klVX0DcOxdc+YKDTdTS3VlEdA9aNGyT3yaGbmaRWqvqedMvvSgeQSLov
1kSesQKqL2Vyi2JB4HxAuVPkE2yqVLH/qiy1mZGKHJc1a7sLd7zIZIqByavZs18ra3zpS53cvLj8
qhPLUHmG34mSgAebb/K1lJ7KEXFGQrQWU41W4ebiLn8ukdAaZgopvbrbOMybIt60RYzuw2WcPbCq
2XPQdPucYxyjOfnybgI4CtxAc6CPc/aInOkAc9KHqJQ/pcSmpzbqSFVJ8R57dYzJowRKWFdid3/9
Kd0wfFsLecZu/QXWTAnFZqEVysd0b0OKm1P5eS4owuYifxyZgl5DP6C7j53rkrNemOfERQHQydtc
Bnt7MO7BCoHxujWDTMRLzEzsDjetC2aVeyVEiJ3JHLieipkNleCE3owL3SLmCHhJvy3U/Mc4qrl1
nEzdEFR7m0nnYYytGJWz8c4F2gl0zemRWRLCZ8NB2A4+RyVc2wFPwNbyShLBAyQ3Y8Sgsk7kuzK0
M1ON3Sa1gKnGg99s4mCNm9IH2gTz0LTgPr0sbY/JzJND0jGIEDluVPJbiJliUukk5520RXwyo/wa
ZGJ5bF31WhZZyzwv/uxpz+OlDXHkWkz3+go9ottFv7IUifY6LKpFAT0PnyKiMlhgUcmYC6lrbm0y
pG8HRhY0GUyG//il3VytPLbeBpY7qpqBYq3DlCFqvrL2eK2RXe6WMR+P4CDIwWxJSFRkchWfFVl+
p5jfEvtiSitXVb9km5whx+DSk3QXpWX5ZzLfi62ta5KjBN2AX5IDTBglJZYNbxhdmkIXs6GaOeRT
tzz4irGNcpnvMH8fdkWzagzxRRO/8JEZst+7inPHOH75gud0H9femcrLheeYjjsxFmZzf/ap7ZY7
0yTRQ/Vd96P5CHvvveLkWEoWUWl0k/NYvkDi2Q4BZhngWiFtpl1/I2YX+VJYml2Z2xiNx5hiynnv
a4Q/sdsnl2nooCuYRZ15n34l0dxKmILeJ/eS97XvNs2j7JPXTtFohwsW9p42N6wwR+skCj+PYfDY
krXJN8ESNLbGImqzI0NjbU0HyRnup1RbQbqYByeHZ2/Yf8XxlzTp1NEXOFgCd2LivdQQ0PwQL5gr
I3B0FH4cX8y4lH4rY7RLspFgtaO4flBy0G/djBrXmLDaeQCmLv764CX+LRdxf7gXLdqZXpDRWvsw
92OSaXBBEvxHgiF4i31sdwjbaXgvaU0AKjMBItZDleFAxywfOgUh5TyUyvqsqgq1bqtBN4RGPFZN
CJGVo7rHJ5DZmd528k9g9fJY+uOHXO3sFuXRVjf+sjO9g6q+i/0LY9JnxGjlecpqouCIGhFzHZ+X
VH0IKybVtMKIq5opeukQ5HP//1E1ffiWcXKxL2l8gl0HssEXFySpnvJ3tZCt2qO0xMmyjo9C51Cz
N8WrwBNtfTT5xJz9zDqab6oiG2IogHS3LSaQS4PZhRPK7mAIHore7riPK8JHWvLx0E4U74sozihd
ihOhmA2TooH9b8SKlXxM7xMl0HFEGrYzIyEkSy6iWzq0zGec5Mx3XiNOguW9Cyj6UXTv0hBtvCFk
97lPi4+2NnsdCOe9cX91sBMQVvvieUmba2iILWmcpCDET1Yb1zAFk0v/SXlltEfAwbDDNvKCMO2T
CHg7h3JhozlgVY2n5WveKFzx3ldZgdFABwRUkmDZnW3wtxQzBQo26EPBMvAsuhrNYLmXjtgq5Juv
C1va6xK6z7HiV50Dd/6Co/FPlC20g0zdrsE47QVH6deydl7jlNlNVhIZuRhuLLxE1iGpk+55JPGC
8cGVq8O+pYk1bKMIi5kuqWqXBERjPoAoKrE1T3FIANso4v2SBfU+neaZUAH91erxn/ljgxgnzzOc
MdI6j6vE7X5Khj0VpioTsM1RU3+rhzy4hBECrfufcs9kLyo2jDHLq7KqbFuxfNzUC/0EUnYTyPlp
KGjS0qE6NN78HA16PMWWdm4jID8kbOaZ6xDYNvsO1mICG7c3fIr0d/R1PVD1yD1Fq5ycnmh1JoQ1
INqZOXVILT+UGil61KVfvOrXrOOUXVvFEDwCs0sunb7EA5EdaVpMlwktX2U1wQvtG0NYVoBLS26r
Khb3Vqp+n5sIYvGQWlyNvvBREBbXebYzVjYzB9eSUpA0bfdkigI0JQF/yMHua+0spcIPs+E96pP2
LQAmo5xnNeCd7ThGtnMS/BzxQWzbBNKWbmX/NqkmBJ0+PVvz8ssMZf8ayx0DfABrbmMQ2aOEHu30
z8RBtW0b+b10xLuKUTN6gsxjYFsxGp3QajZzPMebfkLO2yX7PtfikKTxU+oNb66D047mAzdxhI6Z
t7lS1i9cfe5WW3homSSii/Loya3u1tPb8rvs9rZ1FEIhROy4fLSwL/Q35MhbIGMqYjiCsugOvjm2
0fjiZ2mPBCDlmYzFL1tAIEspd1ilkBlm9nYZTFsU2B+9RWnO8h2rSkrwYpGMrA+svGAmPuBz21dJ
Xn9YdeJwyVC6QLpLay8EQdRcRZFFN42K83b/KI6ta9aZ8NSraRBbmZNPiL7jq4mDTyZemX34Gzeq
0TGrfR7uH90frAXv5ehYR1Jm48e4JC5w6vWvRkq8cl3e6Mc6MqeuGmcEKuvXcGdqsj/H/gCeEZCl
hHmlFJFspvJr7HVU4I/3B1xI8X5Aj/OPr0XLbO+R7cI8cKf0UcRB+kjpT0BCXDxnU5k+/vX1+0e2
qBQ1AdKxwN+LxGKcMtQBsj5VXd0woEOrmt/cyDliG5/wFMpeHOUlpNdxEnu+/2p5IFxNMhAmDkiO
zFgycQ5D98OZgS3YdtZshMiPo4XXyQ1K2HdL0+5wnYY7kcx474PK3sFjMG8Zo8nrmNTAz8JXpfDH
zG6SHh1OhKhn3scs/hlEtkaqaiic88ekZEImI/Vh6LzgqiafKlH/KU3yWRp9pPM/M0/uWUrMNM8N
o5weYlcrsQtYLQlmE6uVArZaUPVnvypYT5tfZflNqfG7zfJviFv7aJqDY7ebNPe/5LbHWg0hbxur
azgzLKa3o2pTwHJ1Gb927FEzzx/wDiEzXpicgYRldRSCDVXoNCycdBpTbpWJ7+Xq6dcfg/3DZ19E
J+WeKzNhy28EW5sxJuYgzR6lA+jeHUFulUNuPTgpTokwhW83jUeCUieIerZgKP1tsfPz7AcFHD6w
kDrwX3IFEMSt20dvAZXdboYRk5pgtkayHuvo0DpFUa0pVplEa294iRiJb4IemDuYtkcL/P6kv0iv
9tGtUB+kFI0Wss8NQJmrr/mGaBi+lQgMxVxidrcaQscBUSWL9xB0fE+Rr11hd8ws6Fpl9QNXOHBx
D5r7uJQ9saiY7Pwdz8PbShvLgz8/TyHoMCiucbWi+aqK2ExbAasKoV85e7ZW1MMFKSHO0NH6rj9F
K38tJvpEnQebbfTewtqHkJL8muwH5a/XRSvAoyYaa17t/1zICX2oclIDNc65vIaMXUQv7I4bMPlY
J0VG+KZqo4sjfa6CmObMDeYN8pt51zTee8CaKPQhfLgopDe+9n6H2a9sgBszdfE60JNABwfINF6l
jkUs562MyoOqy34zgyjcCYJ/+dtvZmwgzA7NxUnJUQNw0tJ3uW/aSeDLqI7ATGI0uEcTY+q1X5wq
g31DpjT3jt+eL46U7Xsnwypt+uzECc8wXu8dNMG7rLTLXbE0r07rNfti8fZBxCJJQnbBActGIYa6
PGqw/WMM/7jUv+xJPg8t00c3Krey1MTPeD3Cq+S379q8kLhrWFYGe39KMWF28baPCIqK/PbgeOVT
x4AHaBwISF0ApsjEB0vJb/xeCYiQE+ZfrXhTwcynnO9Z0MM2Z2vNPaZijFJDH85jQ1Vv8fpESCKA
9JSsBrLupPvuSM+JDSX2WMLUDO2z0XlYSnOsrCrfmzl97tTak2YQpOsmDLdM0LjhOJWBmdy1b8qh
bO7GfZm6/W5MABALl4C9bqi2C5rUIud2aACw0ZXDjZ+4VcR+A4spyXYN6MvMYdiEtLdooAaiqdsl
yJt2aUBIh5W9VEHqbiKP0LTFCiE8staZB8vlICzZlZXMt0Jb4rxbeZ720jyY1a5jQvEDn8BDYjeU
9hjWWAjDprPqX3MKALioGdovKiRkIvpUhc4xL5iltDb6ZBbub4MNcIFIr8r9iSWY7cr8HWXT94wT
DWQgKFmNoCbvWrU3kfhoZkY+TDAemkl+HowNbvu9GOx+D8E6coLp6Pv9DTNPtIkUgzh3LjalXW0R
/TIpMl5/StSIq5ciXgQmO4z1R4vkZWN6HfDr6d5mk6AshhmCoTA+gywiA0WovYvTj8buS5pmP2ys
5A8eh3HZzuTqGX0QQfg+T5dGRt8cTqJtzzpqH0zuq2BcrwOGy25A55tkXwFP6F1cOz/rKv4MxPWQ
ho73kEJC2rnV8lEQc+ePXX2oARKNASnS7bdCDaTcyJFVw0LCFiQThkMMI9ppOxS9tx+t8dnu1lAI
K0pugteiiNIeww178zqtrsxLf6EO+IhBs5xUH/wZl/B3hMds1+REHbWBePgPcrn/LU7zfcl/gNXC
UIZB8K/itKYqZJDmNRiVLNsmc/ClVnW/QTNK9oqJJYxfTRxWi1y7BIiU5ZNhT3jLaPS3g89kHtwR
hheusENMdfQfnhzouL8p53zfw9ngKES+vhs6//rk3GjRvmaXcE67QJ7adfylwgR+j8aLnybM8/Pw
FkooI0y0QOkH2t9jyCoUi1lE2v3GLNhru8K+9gNKVGd+/Q9PEHXx/3qCyufphSgNHSH+Ju0bdaWG
LoyJu6PNA7jbUk2Ueo8rDAsyT3yjOzNhWGTjKHJyonH+SkdWj//+afwvjbHr+74QNq+jDQbP/dtr
aLtDZ8VID8+oaVhSENNZJWqLbe7jvyk7s924lS3b/kqh3nmKZDDYAFX3IftOylRjuXkh5G2bfRvs
v/4O0vucvS0f2FUwkJBkW5lKkREr1ppzTMJpES/Nv8wyRExSpOlv5I3zt/5R2+jCs+E34wodcsVM
5vs7E68KPAfiim6fxDySxojIPhe5W1wV5GrMP3FgY/xVTuFufv0zm/Pv/s0zG5L1kytXty0ofz8+
s+EWcZGnmWQEFVVXZF+nptc2nq+MQxNEMNQyli01POeT+61wJrAFpEEs1V6GTxsrHO60NNmMXkf/
LR8EM/j2nMZ1dydl8ZrZFPFoHX4nTxVQDN++bEHqseuYwuKSeStPHTNaPh6VMS6hmv6KNp36uU1T
MHTYQMvubpg4mBTUBwR61iQI5zan9IIAt0YB2o07VIlxbxaXIGHmrjWkrQCsOUBHfyibsjm3erlt
a/R7DiZ45saIyKcvWe+2+17FDBwYTawyBBeXEtxGqDv2mlY0OAEVm3tG03cU3sbzr39TP1+drrQ5
kLm645gMGd/8oorcqnTeafvU0jdeKW7glS6qbdW1H5SgEoxqGsCGE7+v7UTf/fq5f17deG7HkB5n
EmkiCf7xIkl9s0f9ruyTodvbfBrUDpFmuy0df+PMbdNfP9vPyxXeGM9wpbQ9j2XrzbPZDTYu1JIk
55ja174o36HxXi3dfdBS34bS//rr5zPn5eXNPSA9S+jCRVqMZeHNW5tUGSFYUSFPCXDwbQQgkZJ4
bwA7WhXt3OyYRwRRQds/0B7LsgZEY+Kx8QtyUJaRV1U71lEE5eMiGoX8DgNHcKrq/Y1WkASasGBN
UAGvgapO1NDeb5YP8+cF1LUlyxdvGGhNfooff0F51Pljn9oWHjSIhPQs8n2s6pvRusFpcLzhYBja
B8EgzPaY5iKoIjQ2mx3ssxyxd1GIlPle+S1mbWv0GGfYd65WvphRGTxP+TtfQnf59Zv+by5nz/QY
7fK2s9+/fc89s8eEWErzRKuBBr9k2kEmX35AAXg0/IIgltnoQCs8yPTzr5/a+DdrHlcyRi4a0I4F
EP7Hd8uhectzZ+ZpmN0D8FkISHRR7nR1cjYE03wInuOdgaV6ZcUNs65ZU1sP0CjQ+HW/udqN+ep6
c/VhkLFcw9KlbUvx5tV0epSLED/gKbUr1qtZPTTNmp8b11+4n8p3nMq54agPNUcrfnNnOz/f2h4u
HYmgzmFg8/OywqzLhVegn0pd/0hPsEQ5IsYP0t1nIn3E3i2Ah2e0QP15hKPHAVrkgCFJaH9yIvPg
p5rxuTacw9QW8tphuuOcHxl1uakn1AyBjaU+YnB5HSzjNoWUGKVPjJzXGuekwwwp4dq1kDcBeJM5
34SM3Eo0tffBnPtHn4UAAEfusqpm9xttbxsVqbeJreyxE82hrbz8zFBiHvzJkbgnnxXsYJWoZo0x
CNd2aCL9UpTpkGnYy4z8U6wHj+bkql3sMSjsDZ8clbXLhbKJHFzNQWza+36oylVQahdDdOOnoRcH
LUaVpGXJY61RuFHUXlTXT8zFPIadihNV3AJHttzOveRO+tQECTCLkKjVEJ7Ory/ef7NhezpGKNNj
2+MAsSxmf8Pn5hGnx1HzJVEDlkvOntyjNMC8rdyHrtHPboAMIwF/1sYGBxklyWGN8+d2ADCqTzXD
ZQZVQYWu2GzTvWf09AnQMjIsKQn1reQ7OcGAwKFg/uaFy5/veE+HL6xTHnuucJcr8W8vPEg7ZCvU
gKdFJirRmEza+K0NAvkZYMMnVyOVLJXOXTJNPtYngOVm3t4aj1QrTg/GMxIa8LkM8lA+XPw0WtN9
FqgHiZVi2CmOCcQQ6JIvAdOqbceUb2/5gESaklmDYqxleB9E3COvN7QMsl/KJN9Gpn4yhvK2VFYN
5/5LdsMxxcLoDSax6aBFfGbLZysTD4PGLAQoT+0jet4MacSkkCXzUNHBq3sY+NonV5SYUrIIssE8
LZuo7gXv8DXzBwLqcIMdigadlzT7j7++Kv6NXcfT2aNZRQzBTWy+2cL0SoVT57KFpe7Bo9lzr5ym
wviO/in0UrEKIM/QiGMkmBQWiKrKMYDLIopIvDLY18lvVnfjpy3VBh3MbYOFiLXNevt6qkgxuKzH
6cSvtz86CkmFQ/xVodf3kUUnoXkAoktGR4nucdDLXTihVM8dBm9RWKhLGxnhbyrdn1d9XhKuJqHb
tsdu+baAcicTTTbNw5MZRuAbe2gJ9Cv8nnlDEsJVHEzkdY6tj3f0+8ejTfhapnfmWRiO+G5R/YGK
/QMF+6d6f34taI0NXczFq3yz5me4c0rl67AGAwNfIO4ECKnVPmIMuOpbfmm+aSJ9Ze65aWzN2Dgt
r03ryyt8+Jy4huzGXN/n/5C2COoNhwUSxfM0TJ9+c139vDvZFBTzoQRzEweEt0ezVITRYJdOf9Jq
01vhlgSeG+gX1LEe57TEPdCA7VlilH/1fe9A6kxVcGt7URZetOhRTJhQeke+C4O6PtZdREhw7WZk
Evd34W5A6PtYVkMGxte8b7ymfGKFyM5MLDEc9eXWbFmGi0SVm9FK6u1UeB/9HDLZhPyzGIW/0/Qm
Q2dV5t4mzBGEy9iiuTgLq8PKz3adCzufo/VeoNS3lCOPshIkvo1EYTVmBRANs9BZwvowUabtLFBd
+1als4rMyclfYFlpqVJ3U5FHmzaexiv3dE5XkgSlSZJUCLJ2XVgyP0PFAtk5P5TN2Oy6sbD2ywGk
YKCH+lU0lwm3JO6Q3L5OIxKEbptB7HlnjJTzcRIA3y0/poojbhClW81qjCMOzm+1jh6kE5O7pvdy
F4QSZmjbetdlEY1pGp51t3saq/ajXkx4I7Rtj9LqEhnaozIbjDgDWgrHCu6C8j0D/xjPgeed7Ho8
LCfpyK+/DTkK9tjreDfYCchfDox7I43Y4zL/oCw5/Kbm+PnilwYnffzGnhT6T4fdKMchg5oLDEUi
OK3V66WGLvutiwd4p1UMEPrx/373S4Pb3nIshhSOeFtvNoFuNt0Q1ic3SZqdVsBXazvvHGt5ShwT
UYeTS/xHA094VmVBeaLtN6stZGu7l1/fVOabAw4QfUotk50QM5jUf7qncqwfRlWDFKqQDlaOm1+4
idiCJQ1bZL977BsWydP+nWa142b2a0wOV6IsHO8lTrRdSKRTnbv9XRTlnylEaBybGswCfT1oGbWT
xyh/Ch8E4z8CT0lqnwr4FaS/FsNg/m6ld42ffhzWeGGDRZCMpzijvgH6W0SYRBai7RNJ0YDcZ7LD
lEn9lKmYvvbyOZbFP5kPSZ6uIUoT6D2zG+MGJ/Rq+dD1kTzB7cvS3Si0l2FIptPyEFHFI3EfKDyB
Ii1fklpB85DWBYwPGJHmkDBQaOBZIIRjCFLB408wUFzb8VhXE8OU2BanSM4sgrAEE/HnhzrKFC2g
8YxzXJzi0J1z3IlT9kbtFBUTwCk140YyBUAnGwpIaX6HbCkV2QGw8iGeIZldbPmnFLm2D1hkygiV
WjXzhyNmIQYSp3x+WD7yVMSBEpoFjzOxz+fmIMCqwSxTx09EMOOW9qvgwFk0PQy2tTddHZnNED5V
QGlNVjEUc9VzRsC8rIABMrKa9k74LswCuXcq7GzMEtCLa3ZEtE34vDgzl2s4Ry+I5Y5UdRB/8bEd
GcuUqVXdtOjVaMBPiqy6n6yQAryOhp3ApkVCSBEcMh+s4oCWxGS48RjDUH0GxrxRaFm2g58wKkgZ
sBqjRboQnqA9vLtkPUKGuziAzOk9+7vSMnZLeTb25c2KAWCWRGbtYNCHhwaj2PIqmYHf5czej20E
DgIcsnxqEpNYbbBOO44vTOaRCG3sVGsumijaC6Gz6IPtEsn9TNapG3pNTQ41yq/05zjQvX2Adri2
PP8Jz/86qbiHSPoR7EuKXMsQTixqP+suyIP0WsUIZosEBZbd29AnZ7sO25YGw43RlVYD5EybfAbj
Y5fHrXXgGgxWQx4iXhVavg8HAqYCxXHak0GxU+oPvLMH0JDGc28RkJRUgYYHlJb8WMjsgsplVjsB
dE1QngX4KPYNIldiFmJjFTWcn7wKknvi288IxsxtjLoGeBd+yKQtsFtGGvOf4IUe0RWrFW0owzq4
aWgczcw6BBz20ahP5rbxa+BVPTCPVZJXxoc8ky/Qmz+4KkBY2ob4SnHFwyetd1rnQOcKDKx8QXG0
dSz+ZYirr+7M9whnqZ3h5G/72ooOwLR7njRu6+HGy1w1Nvb47x1KPUF26NYgn1CpYyR7XIyp4yzL
HSrv2UTfxRCGXqak9LvkQ3stjKld51qcb90eeRWRWe9RwpLM6HIZLe5iH4XtzeqYMGnEN/1Rh696
MNl7Txnpvg/R9416akIOg+BoctetcBlwvU7mA4Cw/LlHI74C4BMiTuLTtGrvMPIYrLa6jW6E7oLT
9ohaQjHcopqqX8D+2mWRGx9UpV88qeVEH+B7jlPMiwOGv62ljSEubOhA6AV4+ql+Gs3U2ehS3xK8
iNnLBlMas/OCt2TkWRwtaOpPkBmCdVlXLcMTwmrFxIQ1T2f9EdbbTcOdr2M5RUCQHqyg8BANBfPW
S5Sh1+hIIOvwQrMkPFokOnEK54bIyRbZ1SIBOgcMYdMxwLqzTUUzx6F+6l02fIcJtVcIFHo4C879
HupwmSAVRdtXXvQompUpGE5ShJUXL3/gpAJIRg3plgakt66cWACKt5x1qhXB0e0UVaYdVM/UtesC
eO0DFROWFU/d5Q0US3ChMZ6IR4w7RHfWLWuMUlO66RqPhoo19Gd+/vBk5+Y60t3hFst8vKGgCrkC
iB/tnWonrdC9aYEyriU3U8Vxdh0gxjxF+ODnBm5/6kAsxi5+4oAhWat/KMqBnlzePyem57NTjuOm
KYMrAmL3KUn+YGNgwqqEC3iTUw8nySowsW0i5iUKHpNF53cIoW7eYKhn2vLGTq9AdyZgYk9DGpwz
ol9AuWItaV7TEc50lIkAhlzSbmpkSeeicB+VPkje0tewDY4ePplT4iGCGxG/7yLG2is7NYKVrLvs
XZa8axVgUNxW5wg1+aEDO8yUMT5rki2u9qSPB6RE1+hYlJWEbwyPGikypYb+wyi8a9Hozm6AHbyH
NPtg5bT6GqhQx6LMrY2m40lrUZhDzyLHJRizd2z5LFRoVHm3dRp9HuQ4NITEa1ETe1iQAOKnDIP3
AXy1ISj6ZZoal6iILFedSzy4JLx7e60quZt1ee/F4lsS2JtRhMxjTaY0vhwkechqlQfMuxHOFoRy
Uy4Tw2Hn1ifCMkmKb6W5a1xJ3ZwmV1T3/BriUiecT1pMgHucX9o+SDEK4Bab7hlJ0mjTJ1DYuIl3
IbblLa6YbO9PFV4Jz0jOtX5ntrq459iCVg0+zbWvBU5+ZK1okwhSdOnZ74em3pB6SPRuJlt45EW4
Q7ql73lfD12TjuTPJsNRCpLg2/lbMxSO1sZMa0G6A9XQGZ56VqGtwxLqsgY9VWYQr0XQQt5jVZJC
PlUslZmj8ts0Fvm+J8oFJqmN4aRLsPj4rbuufDDKvJPxVjoSL+WoZstIdGkIDmH6OsSvuvdiJ/dW
1DofbXgbSlYpfq3Cgv7Ud0+o1AgJoGNcJBFjllC+Zg44XmRE4dHTyHv3Nesuy60RNHt940j5BRLr
we286WjoG4tSioPR8AU5B+7DTD0QG6VWemHIg9U692kSEHHctldTjR9H4hU3aZBeTKV7B7MGUjwJ
pLYB9kTSa3pjT4m2baPJPijMEzPEKaIXx6kjhANlj7QZGtWFnJrtY5ZUxqaorKdlLNM2IjnaWm3z
uvNPYubmN519afLqbM1i6yFAt5MmlyK26qOZtIyT/QCjdddYCPMgHQqexcjKHhpssY+CkMyCzj5P
bvqlamLv3kcWJGjw7IkUuFWDgN8IZQ1y/tSeIoNgs+mcj155j74MSbFVakcmz0Be9Jo4ad6OCEgD
rSAIAmP8WHhueCexTxiABi9VbW/cSZCw5/evi7O8IVXZrbKQ8Ah1qdzGJccSgozXNOtlGNKUQlu1
QEaryjA2A9LW7RDRIypoRG+Z56Np1XsgZ2W4cTPjoaQ7Erd/6HJXIUawat87RmhKVqFPHJ7UMdxb
OdZ7u8T63s8WRhyi+IRrwaCOUD7PGQ5lI24oWvPNGNclIoDWP3HIQyePNXptVG598bFn7iNTvka+
EHdyUrNRKT6aevrBH3prxzzUWIUZ5gUHr0+k5825duwnLy3XCYHCJz8Dw2cXnEABnz3lQunn1go2
DFHHdTNaOc1idTCw/ZqU5o/09p6z0dTP6YRepScfII1SMhCxrW5HR4T3yEl2/YS9GUCJczHaBuNJ
30Un+o/GFlNGeqItmHFgljdbi15YxutTT/PoOrEZC+StR+GGLCBNct9O0rvSOrEjBJQRE0EEloz9
CA75RPevfLAfFsAJuTjDbalDEU3vUk+EF+p9EOYFkm6tauqtxp2/0epJR10YoClsuTgna2NZTXtE
5KE2gXC7B83rjzq+5rum1RRKeLBrpbQTyMvONdateq9lKaaZCeEdzAKEKir67HTJdBz6Fseqlz3W
RsKGlmlPemCV+1gQB+lYMeIT2WMGj/yjN1TlYw5OVRigpdk5g4Nf8lykP7zvhHqqsuHFNnr/kW4R
eqgyMa8dJmvaQwBmxlgh5kvc7ADHfCYceVjzuulM9Ol0BVRLUZz12qdRpFecSC04wG9+GPPT1vor
52FtU5vNJaqZjlZEu5ZNYhzrJKe+sbg20tlUhQNMlTiPOlv1F4E/9GBX7mfoACbOsXPVMCWb/DEj
Kqoi30d6AuMGdKfvImAFnADxKONUzEUrm+S2Exyfd+ScbkOvzB9QYxeE6rigocP2wRWZ89pzg3kT
tqA2VfkpQBz5WBJzXrOaEEjhYj8mIhODuj/vGRy1hiw8xdYHu9KoB3OFJLlUpbFpkKydVFlFR9is
t6Caip1lTf4HO0RtM9hEOsbdLegs7rlYiXtnYleukX6PUWjefGFdPTngAelFehnxUntR6j27Ao8j
8r67trLOZT/WD1KV6qHrUER25USALueH5bqFwwqfvobholqUv60jhsehr437uBXeC7uPt5UjeniM
PruxBEjQoY/d1GCAN14/HieNcx4n7BfSNK2zlukYLHUzJ7TIeU8wmmRGx2rrx/q69FCH5nUWPMxI
mbJGHD+S4AmgSQxPWQO0oE+IdE8xdtM2dJ9S96M/SQAohvfUg1/5zhXhtiZ8ZIrY1udxQWtie+Jq
w7xY+IwRc8Atyiq3MWF5KxpnaK7y4ZjpsPLdmpwoq1tCJrpt0VIPpJUAcJEm095Le+gGaWFd2GpG
+BAmAqQy/0Yrw9syVTHXqs7IAzCH8agTu4GbS4pdjEjvThRih5gnOWcMm46N01xMkpVOA0MWV9Y3
vh3i33hEwgzmet94SDUGvdH29Tg2+8LXn3JmAOeRhvTS3ppU+EfeMcP1cL6ustaPL1isWZpN+5kR
/HOfj/e1hqvLooIbcxXjeCRcWFNhfShqvJ4GgTy6gqQLE0HF8iWK8OAQH662/uxqwqqvrmXVqX0O
eh4FhUssX0P0M7hk4iZQdUatejWbVoAk6yamCSh3Vl0wr2H5qL3TkS8HkpOBPerk3Jr3DMuGj6nE
gjLuSC61KW2HLSmByNuDMue8lav7vmmSk9H4p6xJizPhuJ+DptJIrBhwdFhMwQrBPGxBJDXoZ7fI
tsJVk3jriBbUPUwc8upU/SBiCkk/rj+PoTdSaqPLciOow36G99Nk7mJHQ7oBkNKcu6ARpyySNMwK
2Z4oh6OLzM4l6aB3QxX2O0wAHkj+SEMCDubEZsgqQ97DHBXVmr4FdrOhP7ZObR8if7gPEFweBtP8
5tSjvMt09zK6+CJAuYtDNcb9IUSWudE18clCcby1OVFwaOrm7CDLODj1S++yNJiCbb3t+8cFBEVt
pHPjk2QKmW3BTCA1N+5JQoBXHdZ3mmyfK1SLa9XU2bZ0bZ8DOxmDXWCkd7SQ/b4YLr0cTi5niFMJ
AqxFWUe8E5yxtrTrsxObV6N31SPncy7P2SCbRfedm53cxLOu+HLPBZkkiG6t4Eb/fkNoQbV1gkDf
NA6ySqLNqktdle06raurUbbj+3aHpnxV6kF9VQjRZwC9003q3mnlOehCfvPgIXa+LD71Nf9wsR4S
J5WTFpxfE6xCBIahvqxwVawSt3mpWvHcYUPGZjQCO7HWTuyDCYNBtGbl/5xpIR601Kzuep7z6PXy
RSu8T9Qqq8py0z22Wspcmhr7tM4x0KTxXaWy1XLKrHMI93OjlERpccwdY6cMRq+TZO/S566l16X3
lRlS8Lbpky++GsC4sIdXoPongORVYb53/Vcoip+DAc+M5fT+NjQJ500Njv2DKdwtNktj46sm2OFs
OwS4Y5JJqK3VwY4JvRBsd/zFainkHBoDK9uoJMG/OIIQTONWM58TQUvMMFr7C/Hw+SdtEsFdEeac
dlzj2UvtlQrsj6KT3dWM0mOtO+k5rrJH8jMY9goL7os/PPSjpaHA0pJtk9juWkWle4wa86zaYNyq
XsjXzoA0ro3yaCe5uHIWvXDJFzZ55OgBzI0W4TFeKriC1dWImF5EqI75kUhStoEwOl2OpoRM6kl3
voUG/ShcmRi9W2QB/ci9qlCshg7n16Jn2fGU+KC41lchqYhHMXUDzioNoLQ+blkmol3U9GdzZATa
GdX9dxDkLCAD/kTqoq8TDSjoSgyxlcJGpvPuj1ybXYvOGHAzXFialVn85NmzvVIhHETtu3crS9ug
fyvXQvOJ2YmgwTt+fIdrrF8F/pSD3sEiNE3DV8cGzjfpMZF32UDqSwlUzR/UlzIGOg5LBOt5N30m
DTOscPx4973Z9ie7N/v1IMJus+C7oArAThqQ7QdmU556k2btIppkUJycbJqXq0QCdJHBsLecmi4s
xzo3L9Xe6im7vZTjFFuQ3aHnzTGWr5ou2ZpBQQpUk7y2jR3dUcpXq9oW7F3UTcewaB76xhMkgDts
KaO+NE3p5M1f0+vxYmRGsBFka+6CvvvYWzWRcU2ar5PEpvfpkIrkueQ+cbbGotL0CG1CpR+WHb9t
IEkURberOW1VAl8Y1yQ2VKB2Q5r1H2xlHiML17Oj32Oi1eVQHnPI1iwR4MWwagA3HW5IPJ2VUzMp
1evt0Jri6LPItq6tzpOuP0xuYtwTtS42ba3h2O577h0Oou582Ekb/3PdQ01w65aruQKy4UpVrHSv
j08W6K/15JJxNA8Tdbx5HKN65PRFBZ5bF8cSe9Bqgphx8CeMVYZffeLvML+Y7baJIuOiemJ9+sEm
wQ8DOL30m3cqrmuILTbdopLuFE6XY5zopOYZpbsxbfVUpqZ6TOvYOmZWQytRy271vd1L60EmwaV2
iz90N3W3ZWeR5IE4gUaF2+7o+BrPFVvVMWfqUdTFLSWNHdgcbj6fDQGD+RFJ8/gYpeAtkpF0SS2L
7uLHtHLl2W5TY8PycXPsEVxAXwVrkxSK1RSO9oVKtBuv9JA3oobhEUM7fUCzypCusseVtHvF3ZiM
V4HLDeMwaVL4IMWD5rLYWqZyDz6QGUj+OBo5K0tGEfOVW0GFwerb7oGfAuiSecAgnNzWgi0XH3Yf
brPBdHaJ0bKvaSbtai+yP/bjFzfEnaWVPkdMc0jv9Tp79b38UytpmozpsyIu9J3ZTbhN0T+C9SjP
puy+cOYPiRLDQyJQ/17ZrTaWbRLaAahkJ3Btr2hrw1QIrMdayu3EwvlUsBiNoXuSFE27cLA+l9UY
vaA3+OAa5RbMb/1V0u8Mkndu7opL2+rhncWCbKApu5gt4wOXdstB5tPXPipCrA0pkysg+i++/5ET
0XNGx+ixCBKxicLk2rSpziQjGncTqaFbysvkQEF/6XPa6Vrsj091CaTaa0aJx7tqCQvp5Zp0jAj9
QKAe8Hi9mJRAd6K8aGak740cMO5pDJOWaVD1kshWbaqkrj66sxXB78vhWlWF/tAb+Qf8dOVtLNS3
vIVGZvYxCaC95ryfyBemDTxp98WI9yPpJ2tHUk13UK0HoltoioDXWwsFqdg7qb+BmY4omBbbGgIJ
a5U9gwpkUyWXGvX0ySduyU5Hk8w038bPg0z2iJKTRpdHtmJo5k99PLz3C23YhSB0L77Rn8XcGrHH
rqPa5jCXFfV4j45uvDdZyjbaMNDVbcd3SRtYt27kG68sXlpV9VS7acMQuq26pxDL5sHudG6O+dOx
9Nsn3Ttadqpf0yLcF05hvAvCfuuYevaxZrqyT8FU7OrCaN45VUaUabLpbNzuq62PV5nrEUINqEjt
1SjHjz3Qk5fQwwbueu62I10sbZJLNiEj8zJ5dBroU5ziXbs5F2ELfJjnxgFCVhUjaQIDRvB1rb3d
P/Ln69dbt+pW+N/5w369RWu5h1t1lvfmzX1O39tf6AabRJKSSyEw+ENyYWy0aaggok20trDobD1W
YegA4wG8cX3p3WvUP6FjL2EV1xtUs3trs93eb+8/3uMsW70SILH2V8N22Jo7eaqO0S26dS/uB/EN
7A1VL4kCuJJnqCoHMNaAx6rZtpLRxzbJdu7ngXHVQT+m5/HW38xn9bFGtI7PBE8UpPN6TePaVxuc
YFqza/s9vXzcqyhBcJDo9+GYkbJUhs9hW+5I1KlwSzGobEu3PABC7PZ+3FpY8WuP4LJRO7p9fo/t
rrh32/BjX2QDNyrBMnkqPicUAgSj0SDFrOscgry4pEnXvxYlMIB20Iq7Ecndre31lynId6rv0vd8
EKNMKgJqzCh9Tyd5LWskCIkMK7zllvVedDYds5hyM85JQB23OS/i6X29JfgFDuvuRgYBjszTLQFc
5T/dnAd8lVXZ2xs5x3EuD5VFcGcF7vP7p04Y00cscf3EZlyfnCUfkITi0/KpP3+UKC6NNssuBuO0
E5OvixZeMjq3u8okbtKboxmWj958WjMdOUySIGVX5KcicyB5hEHFo8G8bDek7uPyN5NPgnYkazrE
cwqkH4uLw4Bwt/ylX3T5qZpzWuZX0PcmiZnzt1u+XuYOTTg8OHlPgOnyEMR+xs3Nw19fWz4CazMv
++zZKa5lY35OlbNf+5NfEaE4/yQyIjLUYqa7DowSG05bnnwVFPuxSWt11kuz3Rfg3SYp//zuSkX5
9+d587W4AuBk1OToMid9N+VVuKsdEyOTCqNmw4YGEWoOxuTkk58Uts40j6c9OkaTpccMcQgxqH4T
hrF8LXDqlJZecV4CMZYH5rH0TiMv4XEgRnkdakgkhM6q38kIylbdEDI2P1HPeP+7dvC/fhBMfQfC
/0EcfE0Ht3nz6f87bB+3/z3/j3/9iwUo/9dn+6/F/Wv2Vf3yH9097Z7f/oMfvilP++fL2rw2rz98
siW/rRkf2q/1+PiVt6v5J9F+/pf/27/8j6/Ld3kef4n0xwk5a7z/6+/P8Of/nH/G//nP82uuXtXf
gf5//pc/gf6e9Q9J79eRqAItfCUGasz+q2r+5z81Qzf/AVve1L+LjplT/AX01//BkULHr4A02+Nv
eA1/Av2F/Q8PiaHhovGwXQMn0f8J6P/d0/M32fMsA0X8A9cfwQgCEvuNYpGoZTfFUW6fDd8/ijjV
QVi1+sVpesJVXKT2egRoeyz3QLmqDpEECbeWGiAbLEEureOGBvFTcGNtDm3L1+AdkgY8X9TozBDa
/+vTwsxwuNbysPxl7n+KfKs89nO67HJvLB/BJcxPdduKY1cd/vryX3+3fC0lEo+lZbnQ5//fFIow
EcFMarnzQoKZdpEVUNhgCdSijx04FfrNq84HYbncv4lO7K+w64yBU8j3apfbG4siVKECGoNdsQ94
ekojWn/OA+aEBmeuheaKIJWzv21/65q22jsG9L8L8pSDi+uT0yyam+VBAXNBaJa+xzBvAYhHwbHS
eb8p4Ok7ze+Rn++0xtX2y1q7rAA8H+HB89L716cDQcmTAkarpuHqpBQBMpxn1VN7t0QOGYp+q22o
PU284bQ8pBJ1C2Unh2+ruYCnkxzKafMs6/zyoE2gzb9vA1Kn3UM1ssV3SOAzSycCgX++jOW1TPML
Wj5aHngdzU7p/cOb3eCvLaGBCzwAxTrkceUfEAetluU2liPji5QE4LUt05AxPhHwcFWnOaz7n7E4
OnnvBm1gzPwEojUZvCsoVNpu6sKnwYuGUzHI6DTpO/TtAyFx8+ZGzEIfkqPrR3RCK/rM7STS7TAh
57Jkl+xd4piXNB8mx1QoAvHIFY6QdyLMPqbDjwIpb4WzEoVfbHTF3Aei0AnUxNrIImeVTx6wSWDr
qwKtO8lgREH3hECsy8r47BUuw/B/7lLLVmW2mX5AEEgfgQ0toiG3o2q4i8mEnZmK7Fd/7VzLR8Uo
8Vukj2QJv3dGMrZt7qpoChExVIbtHoV9JNVp54Z+RNOOK9OL0TDMURUxde33SKm+9IpZViyYQcOR
D924RlzpffOqTOBjIw0bQBEhOt//dZkFeMiXf2mpr4P66A+YrXVxWJRUBFQ8WIRW7gyselujg+Wt
BOqnFOtngfsCvkjTn/Dx9uzU07gpwVgRu4V6JPPxCDDSyU/26HIvLbv58jbIxCh3elky6f/nrr18
9H0nJ8xrj1YGTkePyXjZLwnH5saeH5Z7U2aY1r/fpoR8IxbLOZA4QKM7CupI+1LTR9xp2YWCH5IU
3A0i9DwwZiFGZlUNJKQBt9tO1PZIKXq1DruqoRUaEnTels8I2zgBdY59curuXarZYBlaj+lxXu2T
JDpQm+8G02eg0/T6aZHK2QyI9QrtzhwVPTmoCGytS0ibDwpz7Y4qnS9yc90PFt6GvCp4AX69BSGH
viiGnVjh3odYhMBnzvdGvc1oB1naqpk/LbPBIJE2eM3+FQRm1l6604bgcwCAGLyoN9FIsAEcRe4h
6fBIKoluUusUPNp02BtzuLiYH5ZArv9P3pksN65kW/aLkIbegSkJsFXfhyYwhUKBxgE4+u7ra4Fx
8+nmtawyq5rWIGgUg5IoEnAcP2fvtS/3Lo95ozGE0s0+LwuBt1Z9bItZDUjpK8LBRSiRVAOBiI7u
ckwQRFVbRhMyChhCr6kzhE1rNhnu2QOjYZwdZKFdHhI+82ObCR4aog9jzQ2z1hsSg4eT3DDBLAAi
V606iNoJ6CHwcV6OgD937TWbvneHw6UwNKR69xmXhNKKOsQcd/MMkrVHUkXhw/gl6JwFNK70J0Kj
hhv2/9rO1FHoyRgTiQX526hQX13eWbkZZts8jymztNmJn12ESYWGiUXOrC+JH+h5A+Lyf9Y8fDjn
yXazP+uyl5CSh3aBK16Tst8wKm0v4/EeOuOGyRIqwqq6hpDbAmrobZzmKfsnIeat1YDN0Zc0xrQk
6sDJGjbI7rh3GQMTAEds2+WelRn0lbXuUPQ+TifFx4FJtCFBjRL98mVk9r9qXfVhklTVdl5/VZcy
dnGE9TVLywhVWuTnMdHlGRQ+2YXo2bnwTtma/3S5e7kR64N/7pltFlIUE3ITKwepVudvkhnBI31W
tIDk0h7Ryxc0svLiPBt9ce6x24dgAoA8dagP3LKLN+XMMjPBpz5GBUxGgMPYPBhjnupVsVD4J11n
hY05iuC/FA9wAoK6s8g887z7EnBXs+TmvlBdd7Iy4LGCFGScuVwLLo+h1zIDtueEQo+s860nZjBc
bGpLfTo59YCpv+OM30d+RazyKLDX59fgU6bDOE7LqdeGDUSDmiu+HQVZOy+byHJikieMo2ei/Ivs
mCapNsDrMgd0k/6mnkLpmwFGlGiHAk+DOrN+UkWj//VJXb5MKIT2aCFPoAWKbhn3bdw/TPQcMte+
6dIhPjCGxCnZdRac1TbIa06By03pYUuxqvKltyWgwrVsydcC5nJTrve8qsiOTkmQbaRr5NOsj5XA
nehrdqCfm2m8LUQ1XpkGI4OE1A1prpvZxnjI1GhuaF1/mMw6aSqi78yH1zRWH3NL8WaNjaT1RkSS
PutAIwiymcUjDkljzyyVEf4sTmlUhagQXnInWRHBfUYv5XWWzNKcPrpqtGpAjkh0B7k3mCdZXxJL
O8DEeC0G90kiEdwkwDb3XjL/dPIqbMm2HTkZ6bak1x26uL0JJKMn9HefVynMk9R/KQwUOOMyH1z6
3tVs/W5NePQzkct9ZIa0blXQGeny0viEIcT2sLOWjCTkpn5hg8c2Mn8R3VTckIJdsEWHx8x0zckS
a1Ms4qaVOvI62rxsc96FIrN6WYNOqJ/CYZGgRcqCqJFlCNwJZAQV44ERaQEbEhWLoumqyIHgOvBR
qTaGKFHDzleE/+DnMQ7oIc27OnGfC9Kk+c0iKarbKCVhwOnWq4/PpWUZ3JVFT8AjHLgd5WofCjm0
AdCQZDPZxROKKRlUKQ62aZmMl5Zrkjfov4H7LRs/1z473XJ3wwrVaDIUCAttz2VtAU3uL6bdGbvA
7skgXhVl1xDv44ppfTkYQUbreeNPiwu1JA2V6vbx0HLSGfGZRjYTxTVrb3Uq68X7xPBinkfjfkiK
ZFuZm35iXO+aiO7m6b1Gq0UbkwzyVcHqCzrUjhCIlKzyaI8zb68ffaxuJ7sj6EqIjNkmzYzAuiNP
PnuQaQFTxsqrXV9A7/RmhsGO3oUTdBDX8SCEZNfA6JFgUzjsNIfJ7tzFz2aNoJWDAIF6SWIxfOAj
V9VdaRO9APnXgiUK7WoR9KeS8sdAPnWaZlzysiQsRWNsGuEAkE9Aqtra8O4RMbDzE/1ldHzwjO7D
6FToxpX3Q0LSZhNj35QQpzctss2h39oWQCUxqfG6dwHFEvNFVKuBxdvrdsbi/8iR+2s+r3R46uN7
6aZnTFSKCdFArnLSmBtrTp5xN+OFYdwAlIfI5VTddeB4QBTRw7JHnj4x7YF+2+LdbN/R3MKyaUJ6
UbS+M/HsLlEF9yC76pyckrRFoVRhhrZGazkoc7jHU5kFYiZxvYHgMTn+rzZuWAiZtWxtEiD27gAe
QtMnqAnjYYrc2yEDSO30/bjJC9DQsLs2nQABUvUT0EsfEhQUpnxG1KpHggCHOLqLIY1kY7wZi+ER
9sIvTQMNYvCH6/gsrTwLY1+9QiL7CYWSlz3CoqUnzACEDwZadPJTCUIaxND/IF0l/2l07gdGU1p3
HgARo39rfOJZXYFwpwPqOa9TdsPPk7kqjoai0MYXXZyq2mXPNK8tmGEiMcDmssEWy6ENv7s84fvm
8qTvL8vLd6q1U3R58B///f/4WJE21z5Us4ks6g718iZem0jkcSh2R2tn6fL15SZd/+f7S1J7/v3f
LjUjzWxx3UQl/baFYu9yr3P16hjrMRwb9xourre7PHy5KdZnfT/1+7HLPddtqd7+t//9/WMy5fz1
y+ZHOfDefP8gFG7xcU7wUK6v6vuJf/sF3z9nkNFaLtogDthU/PsPUFTO+yhnepSR8ADB8zVbr3Hp
pYKPWtr42NaAV6677cuDl5vv53w/puZ1d//99T+eIwbSEkqt+5G7mfrb0/7x8+Rlw/CP703Wl/T9
WNlXiL7+PPO/vrLeJ5RGeiU06u8fl3t6t5Njdl/ZjbWEahR3hhePu9Ig+XYAPfe3G3etui6P1fMM
tijqFsg0a601VGsb5fv//3z93/+PoeBfP+XyfLk65smAYy9rBxE1Oa8OoFk66CQ1XLbC9BjleHu5
u+DGArqJcmxq6Q46S6TQgXDv+yaNzb9/qdcokllMD9/PuNwrtVhumaSPcKf/4xsu3//fHuOMSelX
/s+zv5+j+/59Vallh47EOCUFYSZJU35pbjGH2A29Pwapv5qEd39aWv9oVv7jy//fepdkdP4fe5e0
QPtPOf9n9/LyTf+OIzX+BUeJ0FpfuMBpgL/81bv0/H85whRQSDCa2X8alCVRxySOWv6/DNv08TBT
nbimodPx/O5dAjek4Yjv0HB1eDf/N73LC5Dhb51LLM264Zoe0kU8zob5T28zdtmk8SiIkKQigVu3
OvLS+XEnQmqq6DrCVO6Ayjnlwn4qqpyKzCuTgz7dp1p+yrRxOpZdwxSvyaKdLpBRkBPALKqjTnBH
6LQ2AEF8DOiv88kLEpk9Sq1j+jQVeaDDxs4jnW6Fj1Z0rMcvAHKp0S8ff/tI/jpq/25RNm19NSH/
59/JO0UDWTddE6ey+Q+oyNQ6MxYlzz2SA2kwqO52UyqLw2VaQ2BKc0oRaG460qICfx3oxAaPxcpD
XoQFCNFrfiDh7KUkFoTEIa7iDc6QRZIJQbAZM9woRKXQn3rfeHY7LOJGrx5LTf/JJsa+u9zkBeMF
15/0MPJhmcH9nUz8DdpaLFf1egGHkOfSYt3NixzPWq6ODET7A5E3NUpjMgR00DUoZXBRTKn9Ia2K
olaipuf1Pn07E32aPSemcpeE6cvNpdkySyXQXt5/P+wLzAtLERPs3llB65vLwUrN5XS5YegSU9D4
GEjWJuvl5tKItqLofmKjjmJrNZgalJ47FVk/1KES5tcAIBE0JqEnHOjdKZ7rN6WnxKit4d5Jz3tW
+oB2YldnuqrF8Z4QihtaCOzWpt5zqAJqB59MvnwaNktYp+5zOckT0bDeju35g5sPfzkQ4b5UoSNZ
+y+uxKXT/dP3zeUxDeYiviNxqArgI6nV3k3rs1oOP2KziBSYSBbLqNhALyKZkeiLQmHwZAx0c3yU
xIFEREOd6lVue7k3r72/9lVq9bDr6M3Qm0KBHa820Lw+VDEi/r96qP4MaZ3TIRg1ZtxemmIXgNyN
lqv+wBQAVrSOeUcMNv+zZdzruI7ChQihggTvK98VdGCTAc/4elO5WE+tWKXnQXPSMyBvku2r/uXy
0OUmRm52HooFqrZj3S96gqUy73vtdLmpvN+GKtaLkU+Itf1eyZzJPTmhDgcVIKaVTLk4p6SCiIXP
kfFp7OC6RGhtMRUfaosslOYq52KHXNJ899wfOmkI4ZSQdTZrfUsbhj+jopO8igpelEbZwQQ1O3aV
TcJAaio0tVukFNmpGc6XGUQMJ26LMcXAluq/+G6GArDM0DbSuOiKxT22WZfgc4jdneWn2D8Z2OdO
3m/RK7DfPUFDxPNMEEK9WgOm2iMfAoon58aBQS8KI6B0BbITfjW59rChp27eawBCc11DF4x7Es7q
PB4Zn/R2b+yWyJvJDKHJTRna/Gn4TTpiFaM2y62a1P1lcFj5EAsAqlF0q1e+XxwvgevLauhtnH4K
k5p+HiKPfZdgic6IjAqKgU6ArmoavzUN7IwYAR8HGAon5uBpYFbdS5N2Hy5qoRNGjWnxDKDOmOJ6
MdAxgh0CrfkxroikcawA6dAaOFc+18XiBVUFqqUFfopWA3l/AWUthrrg5tUPMLPWzmQ4TJuw3Udx
0jDlBOEd8xZxFPtQ/AxWPOCNL0SwFOAL8uU4xJ9qdsWpXm9y/4Eu7XyU9Ai3fq7a7WWh5NpXHxjt
h1Ht1PtlKu5b0Yug0NFP23Yfh0X51OTg69vEwdNFlA6VX4WOYJocpEyDRvcmv710whXG8qMfP198
zJMsz24nf/sxKSgz7WoZaSG0y69M6avBItt5ZnbVgiDZabn/lghUcIaByy3OXyw1qiOxCbRJyJHy
PEFypZNEZG5hxzMz96NrCfzsK2s4JbVmYgiQT2NcYX2xnkszPy0z8yPGUKQ11+228KIvGjuENr8D
pa9DJk2Xw3zOaTPhJ9i7XvFe6uDD6jyGCuIDGW9KMYJNh6UM6fJNcxdepTmEmbCBls59QZAdCps+
oeADB2+abruLW/MlSrXmwDrxIKyXdiVqDrnW7nxFYcsB8UB+Ms8VznkxkYPzYsKq1BMGEv06dSiP
foOeM5F64JPeHCx179wYCTLqArNOVuqYdHNktCIYHekc0orNU497DBKEuy39xdw2s3moRdMd8eYP
59J6oCswAYLQr4vE+mHv/QzkEerQVUt1Y3vAO+I2g7s91UffKJ1r16GTWiCxBt5RBYgZ603Fd1hz
J24MS0tCgMZdALR92ZpNA1BVhwdvMsHwplVHIM16r88kniPXTtlP35Pt0m/0WI8CHwFrRUCApctj
TYN6x4gmvBTdxO+Vh9YsD82MWLGaD1mBrt3wo9s8At6n0vrVNBJmZT7dHQuMLXBx+sBD81OQu4bj
xkKtP2kVE82sC9N8WI5wqg4ZUd+JNc6hp7ODxxluHLBcXU/NuFquZRM4ddBag9haVTuFbNJZj5Z8
Dy5AQVVG+5D7Ne2d3t4NC3IjhfBdpPi2IRBp9267/n9GWw5Ql1ktYIryQHM/owj/MisLwgqTHTne
uI2B55MdfzrT34fbBxg7zB28sCjWSBv2cF7U5Y8UvH9EcjEn8xqDUtN4i+5G16wf3Sq/xglLLDRW
cbChTdhY2m5dynYWGbsTRJLnsufXyVf4a1R77ri6DhHhDE1zt5BLGCh5SpYBsLOMrxfiD0ZhFJzn
/b2uo6TQejT0/fDudBgFcmvhgiIFg0kOS8OWWqB3BiIyn3S1mGyylFAD1fHxV2lmhWnnooApKQp1
nN313Eo8Z7r5mqtbJ3nA+DbeAiz/Ua/c4XYp+hC9OLKgneGLN0KDuy2a4CbEdwpPYGasLjzxlhEM
xDhoXC1frnHHwMi8K5Jxb+PuSNLC21fV+FSP2arQtX/nq1l+Ttsr6elgs6jIGK73eNmRrgLRnoNW
kDWVMdcL2t+a7OxzX8abrIv2eD6NY9xbYUl2wGZJbfWhUOuAOobUkroZGYaMFDaOjND35ujpC40S
uI+qUxMTVyD8mkvIk20W5sGtVmEQAZ4mb0ya1dB1W5RRRHYxk9m2ejy+z/q1TWLUi6eKo7emNGLR
Chq35Th1yFwAYnMWtEZo9hDYUG2JjC7fmNHSBJTgBW113eVQgEqNBEFiDhTqfWsOfZG4H2LT1CjJ
lpguGPgqs21plaxxAWq+goEo95R/K3CLAYLDjVY1xbXIiFTo31RT4NHzgGxRu2ftLz70R2UN96it
EnqtxR1JZbTbC8RZJvadwbdhXBnPgEip80hlzRGqTjPMaeKVfy60j1E1JfsSW0xNDIgb2/diMW8X
dPcHXL8GKmTa93C3b9H/H0j1gtcP7DmPvIhkORTJzEe/JsScdUyo5eS5QU9mrEZv0XNlQ5pxA2oj
8THT9+8op6il5NucI8cU2YfbtaQg2MgjULV1vORAujAr4qK9MxQCS3OMHbwq9Pp0dJv7SDuCumVc
mJophQNUaJH3MjAb9drNv1BqAu8o3Zu59ps9ZDCiG/r62TQnyB/irayiR2XC4SEs4icEJOKpF2Jz
/OkFMdZeTDapcXNEH1bD/N8nW6k4spsjklLcLFbJfI7AOaulybi2vzYj4NMNCJKU06nbgYrLwpGc
QuK1u5uhiqEmJO6u9PIS5CxGP9xYjKArUg7bs7XkL3Vd3Yg1MTOm7UkywYL1IL2yS3wOU2mWZwME
ReJ7X6r/GFvzmevN3vLhUrtO/5sZzxGbL8drCnGqXZbmSM35W/T5uIsL9HVjgcSfTAKfZHsMoOgt
xoeWckxZOE/LdHkwzPSB3nm0cQmECRLncyl/VETSBWlEGTSYJKpTmMZO9ZBkTGFz/RlsB+0urzzq
9NP5NLLXmvBd5YKwd3HMHctsoLlJjkPSFc0OdJ2JfBSeSMxnayxnrvvVfSRvDOdYx5Kc9sr6ORry
AZG8vsfeyE7OSQka9magMu6dST4B6t2adbi2UJZRP+nLCK06Pk5ZWR8WmJO0izQ2Tvit9xhdJsSG
Cj2vga+YoQRevxTXL4OwOceLHXlWHUCkInIsHkJ38GsG2xlvtU4hGXu4BXN1bznjeGyMu1FSjzf8
zU5jAXwrBcho/GiuctCumb+WGilEvO6qnKE/TRWjcDdN9qKl8R6z5QbYFDDawaGdtG9Cxbd4/MxI
RZu6oIhpEv7oqbAJyGQt7HRyVPzcf7etyrxmNLMsjL4KRTxZnt+WU/1ikn2KGk6btk3ssJLTGuCK
+UUs9GytE5cy8vdIhzfEjxqYj+017097SCK92eGH8QjMavDOC8wVNJufZL2+payFrpeSIo6ozofl
JEoMoziMsMkBklIaTcIppybu2waBKFLAqW/og6fmR1wOU2gZZCMvrF6MH8+15jznrnVN7PxnxCBZ
ZJXYujmrhJ0TGQowITOEEzDh+uHYGkdOQoCaT0BhbKBbLKl39QYJ5VIe+rzEhxNvYd+B5SFgasfe
bENU6XDD4rjEVI6x4aHP7W6IwKMUnCs8P7/7Of2BzBuniGm8+A09kLk99cn4SUhYhWng4Fs27DC4
MTBL4m3YZSlQ8HEtSgzbRl+bf8JVvII99qkicDw9W0SVqzhQ/bHHb7v1NUY4PsufaVhnwYDYUL/H
vJ2fNI2aQzeZ0LeAWjsq7sJt0EurT2c1tUt3vtNc3aIDQNZOu8Lu4QIweHH37rSGIKzkrh4iDda2
1RsMw66JvCRIs5SBdQowVh/I8oJNgOzHmmB/UMKLAumF5ciUMAW577qk2w/ThI/ab+41N34urZQk
XHKfWikfqrL6Inviy2QvYgPyCXWsUPP7MLVEimTEHZTje957jymDJsI3bsxs4DXgx0I65EdbQrgE
Fbw+omsqJ0G+c6S95e1yaG02DgQeI9CsH/nBlE0ZC1jryTe9HcNKtv4WbdUU6B5FHlmmyY5oQ/es
uh9pPpbA3uYTiDITXZpfstWlho6vXCkIt4hmQVEUY8F2p202Vv2mJAqnShA7AOLfzrpFXEDdJeQh
JqhD2FwiGco4SsZyq1NhOz6TXfCBGVNPyLPLUj3piJN3boEb2MhwLyNe3ubRcrP+KxAipYx5JnKg
oGTIXef8oIPI4TqleNCh9q9empmo2URP3uCYc33VcJ96tbfxuMZWOUCSSUkqBk4HyoJ+0+UkIhBC
wem/vpGywop2hXGXN0O49cZi+u2YUbvVZYVIup1YAix3Q6bWu70gtwGORBCAqk6EadX8CP93nsjH
Kt1VSf6Fk/xMQDO5e5YJgAAnu6MjkyoH7Myus7gbs9CP1PYvmRL4WqJnH/Q3jiXvqaSIRMIRVZtE
RfdazYUM1tLWYVu05Qy/rRfvF9xtpA4P/uBv4XyeollRboylu9UzD32EbCOmE6Sf27ntb7qDbg5q
29J45OL4mRppFChSMSBc4KpopclenusESsMJXxbvWzQiBpKKKNc2irYY32b6bjU78gr66VS7zm7p
LcinmQUW1UnifQQJpLIKfeO71U/f5A8mBeIhWs9IRsCkn1TZGRqGBRYloX1ickHKXqrYfskHgzwM
v76qRu2TdC+usd17mjCoqMSBTKtrKGlbOV+zhgy99uigT8FzVjzN8W3lAq8vOoa4g8/TxoPZRzfN
FNGwG3eR9Kx3SPwE2CxyHn9TWiRa/eBkPTwUB4s6MzNs+gwKa+mh0tIs9iHnhon4bPEGUuU/Twaa
aZvISY8LJVc9eBwun10TWzm2XOt6iVjpIDVscshXW0/NBrjn39RVw03pzxgGoviQy0ieCmRgNSGc
PfjP1scpA9Z3k6thQm+0PFv19MiI6rbzbD1I3OSrsu29i6gUEYnz4OT1i53Y98TXWk7/Akv6tmX6
h0gd2zuZdlN+toV87CzOloGqPynMh6KBHSVUWBaRH0SxOIMy3TbLtigzLgw5ebbsbrQ+pVU1nZ1S
26ZJ92U0I7sWHfCXVRx71ZOK3d3q67lmqa8ax7MS7CUWBuDO0H0SE4AdyjDJ0zLdu64nQ21AE9CU
5nNkPGouKCVbab/bbr72Yo9JtIY+iaNnCnJQX7gIpk+C9g5iEfF2MPIN6rCPCZTjRrTaxJlh/aRg
IwccJUffxm+1mx7nPhVsonvAtUN6h6IHsvxvc5A3Qkl6ZUb8kVj+XcSOM1XVLeyZ35pWPKr1b9bG
7tlVUKx6FnIP+IghMFvj+WSJxvzIe4KzgBRo098YE6blwe5+GTYBHLyLNySXTqBtUChXR0mZui2h
Auwagqx2AhDEln3wDlnJCJeHxhn9fXYg+bTqQhF4tDMpN3nmLSciP616RBRlzKGZdgNd/U4jtsx/
TNkrWLXOVTp70SJjOSB1LAgIQ09ANO6WqVR/nJoF1UJb7WJd6rdxWW0HUaxsCFI+uqjeelh7J5OM
3JyS2UMjtpmKhv/vOyJCF+OHIs+cqZ9EUVjhkRAEVqWmpJuut+fIxVO3QkbXOe5n0WGgHnoZoq4o
6UiyNycGEo5OihKk1dnT3Yw23qod1oWGjbdh7vTUfvEcKhpt0OHgV9h9JaEp0Jt/5tVESAyHEQNC
XE8GW4mdN4DpSmu0EYt8bUGvBVr7UEc5zNwiyR8n/cRC5IZ5i5Ro7T4daqXeVVc8+41Su2RWv2xq
3a1GJlJyDXKEd7psUlgnw3TlJc2vLonhZwENBBA6JSgIpbiOKPKptZaPiTBtlCi5fWMvHAi1N98R
2LYAzIoDrTCz6wroStfERWDOXENYQYvOu00SyRajR/oskLTvVeWmYW7FI5wPYz5gfS6m7iZdOnpp
hrVJoO4GXocOd7TBFIEjMPLfVqKKwO9Ke5vPNCoJYZT83ahr227gz0SQAjNjIJbSRrepnky9j4LF
zt2dAZh5U2BVJHAqYgcyPY0Jmj6F15g50RJGzD9C1jhvU5d8XzWOQVxGJeEzQxVMmT8Fhec8kgAJ
qiImYzzL8NaU85kqmeVr7u19K5qfaTH9qmjLnEDvnUSV3+WlkW2GZah2VaSDF3TdMYwy8RPZVdgK
L3rBAXiDru/nRO/nXKsF1aFrtbtp1DZ+i+c4QtTCcm9lICHa7LqmRnLNiVVQtR8ZuWObwZz6LRvH
5ar1iq9sdvIQDqHamB47AjsCKKJV+X2rGfb1Ou2HmSR3GPdRc3H0dlNePYwNJ/eE6zwd6vFG15KX
qCSd1aumjy6r8dSje9t4cVUF9uQUgQARYmm6fptA1JintVlp91t8nVa3JlyZCSKVhirOypDUzLN1
m9ai3JcmDDnHgLLTi5pyP4FUgVOZEEB7fpjVrUZ4yTbTq/4+LfVQb8wjlwk0l/oxKW0HFMfvJtbG
Kz68X2OdAXxRC8MMH+2QoV0JfUjPAtsZM5F9KynxhVYv133rPI+mpW5BFpUgUm02zshO9rrOOKGI
iX0dsYlvvaStTtPQcIbe1l7enSKyVik4XagJdEQtD1wgOuFfop8fYsBG1Zxcd4v7pnP1kHb/JrXJ
2dcjn6hgD+p3UwdF56sGc3CPCemZ7XJ0gkA7LAwo0Q1tCBStKYDrzaTL8RSTWBTOKZIxbekfbBXf
0Toa9yyFGwdvwWM5aNHOWbwn3KoJHmI1rnmgX6ksDx17JGx1XOJHqV7GFBui4pQE6fBRSsvbr9PC
IB1Xspjuv6WuejK6sruNppVS0HH5s+b4LYaVSciXfb+MMyGBaTIwBCNfJ0rT14opwS6eX+NFnruY
JupSiR+9YT20WRIgutKo7eYoHHvHuqaC6D1qw7hEOZuW9X1m6SN7oGK9TpAI6MGCHkZ8KfQxcyeD
s+oRRJtE7UlImYSNiSRHGMn1NM4Hx4k92GNtvQUfKsNcRB6hhYinpLOrOvIwm3zE575wTtY3zkmz
CfHIorrhEGTPia/7qrqWjCUeWhubmqAF7q67yUROwRJX9pbcDG9bJO2XrfE6E8Rrasggren2dWPQ
DR285bNALCd7LzlYkSJvsX6zRxKRIV1nfeHulCYd1sQ2Af/l3jkjnmHquyUwjcxlkGdo20xSlSdY
NdGSLYh0ER/Pm0InR1QZRSiY2RlghOjXyZtoKT7ZXCV7RP474fofU2VaTGeUSSuxD7I4zY6i+coJ
YoR+ACpNN/2Oc9AWN0501xSWfaXX5YOUbPAkNOf11Lv1/P49Bk8ztDMpoJr3WhfDh0rG5Eoy7Q78
jGmnqeTO4t0aCAZg7lHR3On0gX65upVsm8O6jZCDuoQ6ohYarG4+VvjuN2QGb/jwpifhvMtkuUkL
O98xfutPhmMDLUyQdZf1TvgzhDzdcQ8xbLet1bar+H08dguklbxSjz1MqqofD2By7A2NRbAJFYtA
QXsm69e+/SqEXFHOOyCeZG5MpQx+YNpUr8lg892EjzUolMMUJutNoYM16zo7yJqy3ySjy5V+rMHI
qKvCGHGRpooINVhigZmODwhb3aN8InpsCbOaQO8RtTSuhGnX6QkRGoZm3s+oTd3Zf5a53ZI03ZhB
raOv0ma1NyF+4WBJPykblqDzUrU1hXUva+yqiBlhChhUIBXuUJysxYPURop7x69JgOobxvpo0dGW
/4rt0tiWnfbQkUHP+yLiOyFzAM7EjFLvoEjMEbrbgK5T0t7KRTw4BVcDP12I0uQyOrn9drCFONnC
/CxHCvVpQnIbmWb8Krvbpv8dUZvfL2bp37TaEparFH9B9DBLFLO92XO43aPzeySggfjiiLYcIVvt
ba8bP4t5zsNUauTZIauk4r/SDC7PQ94lmFQxRdclNKuxfmnArBsxSvCxNBByy31jiqt8AKfS+18y
+RiFhGnE2VTZwHLiSg+FArA6UgP2BvHmswk9gZWW4j8rBKpkJ0xs6RP5nZE5ZLf52dONXf+aLeSm
NT0lMknoeWP98B1V/iKn+OQUYT836jpLRIa1ud+Lxaj3jcbyUjX5eSmMgFSoZLc4gk1RROk9zhve
KY8TgEQOFDRbbSF7bVAeHelU2+RAb1TE8tNNkGWdqd3OLTqJ1Ip/ijlDQjwYZoDu7FpqLW34mfTX
dB6uHBi0pPcWWPplvyGVld0j1+pgjrVjXvXD2QDe1PeOvOqnt6Zs26NObbTttBRJbaJfyULF26Kg
r1dhAggq2+vO4wBSpx4Fn9SsvdMyxrhULPfuKOcAZPVPqg0NFPwHNnCUmOM6FSpdAj5TKKx5OQbm
ZO8xbnDxm43i3lrrGxfah942aViNmbhxaZfja2GDPQAzm6JF0GPo9rUdmtI9MFv7zLCkhghzCdOK
iNuEuBkYkIm2vmeeREv6h80kmF/f7qoyf0jb5W4Z5HDbazQpbAIhOcGWn4wrr9H1Zl+L0I/s8biY
xSGMgTmgwGkf5jm50qs2qBxH/MxaRAC9B+pQV/GNY/dc+xZo8zFOiUxaO51W0TVXjQ2ztu7WdaHa
LgantKyvm5TfabJWtLoX0CRw8Lr06s5MaJ2IVLNCuBUYbqLqwNSdobFJV7ucIgJEOXM1o/zhZ+Wt
owoVtIQ6ZF12lU+GfBQ4AqE1XV1uNC0rrhwRsbMYzCCpOBZaNBwUsWiQHcBE0MWYoadZf2oUm/m0
MFMmR546LyLaQrkddqJy31MlmN0mi3Xn6zWrJnNFVANMImDmnrvJeYu78oyiFkd2Et+WTla8FsSd
Nh3D99LF4xd3DjqSddJpMK8yB9d8llgx5tuGEeHJ9yi4Zt8jypcGPj9ZlefeBaWb1k9WPwv0/WDq
6NThWjlpLU0vzzFJgnat7TiobpuO2hb1CfplIac7aS5ba+ow3JOvCppX7SU56otvjWFNGUgR9zWV
C3NL+phj3w+h5TM9cGGvbsiQUGFlLOCIZgqUhg6RDZ4BXQoks7KASDNkN7HmPUi9oGu9DBplMohH
vbNpfiHOPpBlhBl0nRyqdNNWEn2hax79NqpvLje6yEKStsPBsdKjXQHnUxaZy9XEMktPjkRNP2te
V5AbOIhyr0d0cWpMBn3pRTe93lp3E1ncV8nqiyBneGMNBHSWEQwITyyYTS3/yirYCpRlA9oOSfvk
npRL7TR1TEDm+OCVpbkz0BPM8XLusvwlrh3ninwMVP0tfie07B/4i+vwf7F3HktyY1m2/ZceP5Th
XuhBTxwOV6ElGTGBkQwSWmt8/VsXzKzMZFVXWs/brAzlHkwG4XCIc8/Ze+2CfFVmO5AnwwWnCryM
TxWDzSXP9KAZ5fU8c2Oq6uasvabkqRIkUJDWuTbTKel4uJOWxUWGj/KYi5nJW43Me6byhqADiYHo
uEcj711frMZ1NGTOk1es36D+DdJ8rQ3KWkBCellPu8Ue4Gf37mUgLdElqemY2EVxAbEFWEvR29wm
8ICZ+xrRDSfwOT+MLPlwGt09NDq56rXTmoGVLA4dFJNLYK3q48rZVEnra154CG2KlC4m8jNdc667
FilKGTlnSM5vZZLQXeq9G2yH0VPK4DEtCwVP4s6YvzSim24Rf8m0CqQV3TEJYUVXumfW/jxluPEz
hgUYGpU+DxKahRX0WUfOflekp1rypXesFnb5yEAtafkrQwQnbrYP4MDvBwZktO+WTjt2DfLAEucC
T7HbdsKYEQ/dVbTKQ0izECIy7rk2podS98jVaXfneK+P2uLkBznM7KlJ961YzowBGVZTHgBYSoB+
PEZJuB68JDFPejmIvbYQnOw+G4LRkD4CZs1hS4aK6EFf3cMqZJTFe5FLVtv0gEC0PLLkD899yjRG
eAgcCMnx67BtHx1AQWnanem2EAefEic4S+syVR6teMYRrJEH6ludYI0Yl3SaP1RdyUppji8xcr4j
cWd0uInOZgrKotdG7wcccrXhJeepTqRN3r/ZmUvOuEX9MCTaHSHkPWx97rtrQdtMd+2gMqFtjPbk
+G69PphzlwSGEaLCrEZIrRawy2L1roohCU+q5T1DqDomvfnhLaztc688QXsRx9JsMabnyyUtxWsm
UiyRypoKhmvhPsTGVC5AgOj4XFadNI05ZGAq5m6/aY+3zabGQJoAoSjXZ4bQMRqj1kgLulColC6s
OBj4JBUFa8x6CnVY2TdweuyGuRB/tP35tunmJjr0mvvCrjPy3XzA3lzS+hQdWG1ssNuPItrRWNam
U6qkbRjTX+LcAX2Zk27Qcs+gEU8cBlWnylYBVht3oGrYoClEAJJaOuswgxXfMowXOtzDz81r3vN5
XaU+A9/+7LRDfyBEY/35I49UqZ+BOf8nov4oErDXoAWTb/2f9dBSkI/yJ8WuQkz8BQBxk8CAZpT3
b/7S7yJq7x861npK6L9qqD3rH47jAcUGaP5n8oON8svWJUgGqaNj+7N6GnqDZOQhBEMgMpT+N+pp
yZLir7piYk8cKcCFk+xoOKRV/aIrboWdNkMTxRfZD3jUoodalP1xuz5ypXnF+keoWRYet3fbxsaV
3up6etKXrGZIjY4CKce2ofPewftS7/UWXYfer7cYwPbkaQAt7XPkH2713uthDKewbK8FSK7YKL7b
HcK+BKIx2Vm0J73psNAc9Fsd/UxSpNfhHO2jWSIcGcQd/GPmrNDvr8nK25XtVCMGG3iGCnSb7rA+
jQuDjHpdr/A6oUPLbO8cagzdG7dQUIE9+Vyo+9C17/FSkwUG0pilasA96dK03voJa2kJDdcfvJy8
I/5yGX7tatsGvh1er+SKG8lwsDvcg/bKRKhKMsOX7lLuXSFtBqGUANLCSU8M/BjMGm23PvKMU3we
WxHupoZBqSJTSI0RGvowP+k2DHKGnwx0niArZY7iLyKhl04aSUkbV/9uyGewYMshXUoZdNqSBR03
t5206J+s7oAqyGyiIE+L01qPL7WOkQ+7JUZNuRxImayNOjuSF/jDTp3HrJHy3NNyTkDsBr3h3Odx
dO/Wy7kXKfM2GxI+2k7fbLorIYfxSIJ0567xXZQj2gh0B6ByQbOiKZN6by9TeDMhB/VjGYWU6c69
ozmCe2UPlTLr7lrNJoWZ5vAODnuLcofjwSgGTC6P90RM4yWJ0ktREWmCcL6TjN+n7yAewjMp3gjj
WLRD8833Xc44OK/yJ2vy9rWLvbgqOxMz8cBwMWJNnSnhPtUxRHAl5i+UrD9RAn8eXpd1fiDtKYaM
iQUgwwvgFS1hK/T9zdG9KVow5ByaK4fAo6vIMr4jgptQPwHDRm2B2NbS7pOR3bQEmmFxnHU+XZvn
48lpOzj+aF139ALTU2iSJkVZ0dGvKZfzxCM9yFrxgGQVY3sqY5TujGvB2PpSpV81OZOWou+1O11y
MGm/nC19fJsHtFx4y3iy8ogt1bOWGCapnr2uegpH6nkMhja+lDyik/xhUU9s6i6e3dtTnMf5qJ7r
Ew94mBeFX8GXZDzbnzWJZ9ow2kc7SulBS8R3PdeZ204ccQtKX233Pg7djzwUxTs5MF1jARinsluA
SQoKEFNVIo77HCF+EapCoc0HJEtVLR3VC4FCh4pyxlN1TaOB05K2Sdm5HFO6kgcrzoxjgU2B7s++
UfUR7aJ476maSVsogePhakxC5Mx5jd6Qi0fVWb2quIBWju1xoAwDo3JA9HewzYGxgKrUaOdzhavq
jWAtpeWf/YbCLlYVXgkE1J9a0hty2DMDCiFpwEBjQnyDifpOokUJTD9JjOm2WF56uhxHC92YryHL
LrToCRu8d5O66a2uu2/O6J67aWj2grK0ojydVZ1aqIq1pnTVKWETVcvaHd/xdVKPqZ/wmpUR3LUo
ecEfPOwGvFtIjrqHUAxMMPEMKv6bsbJm0kvQoznm7WNYZJwb1v0yruvd2HWf6W9/Sk18m51ZLcHa
NdUZ5cOh4nfQU/vaMhYiFDhngoxaLFqXAFHXwIxc/xIJxAIocItEp58/RUHXFz9iiAzQBj5CRgC3
eO65N42xRAKokAAzOcr1ssZ7qWsu0ArWUU2raIm07sCx+6apIcOp3dbPnemG9sPJwrZKMSOu1tW+
MzCSHyu7roNs6L6aBWGpled9Z9b0eWhSggVKkmYTWd+JBdVMPK/NPpb4UvCoE4VipvuSW9t+Sexz
nBKusizLF0bfBiGF6ykcne6kF9UY6El8gyCWBscml5qvq4SI4Kac+oObFRfZwgpEv3+PhKM1Qoze
enWse4TTHWku8EuX24b1+fqKiA26Q0c6hMtAf0IvUkkeESIcruOpuW+cqDnBbfloxuRbWrrpVTjS
4KPvMjIE++T0mRu0C9oJy515wWzDtNYvbYIYWLS0Hzthe8da0/HOS1q+mOGmU6ZPP5a5qgKRmTdT
5y0gYsFLp3Pjj+WqBeXcNmceLQ+6+cTUzfpwplfgSp97ehZPU+JZBBzx1CScJqJ8nb73XjE+ICZ7
DC0bsY/HIrA0vKtuBSiCoeg9USS+7CYtw4tezfu5r/iOi3U/hOIi7IjwEqSFeRh5e0cYiAdqjlI/
jt8K61OElOpJj9Ewdh13leKWZadx1NeF2EpPfzW6hwE6Z2CDYNslHs21OQK04H0VAOGFhzAlcqfx
uCTGk14VqGXimBtzk536ekZLyMjZnKOOy68RQVQ17xpkcBz6aOmIm8CUxawU4UllBLE9v9jx+jmB
tcGQIdmLCWUX58e7EuIHld6/kfniMm6LSM8SzuT3eXroRHVwjLnk4mehagmaTiKGmIyKtvc9kXwm
3zW9smztw3L7LMgsNN5tihbNdJ3Rp98Kr3dBMEcKUHIzeai4p/HsFr1xX4mpOEclXyvTKIVw7wh9
cLK9DXPEzjoCdc0VH/mIEjCrLRu5Hqb7JuNJsQ1vRXpnEcLj1i0zHUTbF13mZ+gM035GkI2YtW2w
dHSnpmWlioHJPjiV/sqy8rOR6DxC0MbqBuTKOUMGXGXGt3gBY9Bat1qHb8WV2bGs0TKD++p9lJpn
Z9AebXdEZw3/HjWl3tKcNJNO+0ZEtmFO2rOnp3eRAUN/RYup423r1/7CQnQJ4gT8PviMz6hvWmDV
MPGiKIXNWHafeepYh5JV5p75I7IBC04ymc7arkchC+eGRqHuRndVpPourFyJaLlo7Yx6sxKXskd7
qWtld6B3f27n7p28hgRhv4NJxhLfk546A5QxAW9NerRoYUKwx93aufrZioo1sIrKprJT+aWmEPfk
DiD6tZRkpKhZp2XCh6qJGGUq16D3XObyigoKpjHbgycEnfdZE8Zn9nLxO2/lXi206BVQ8RI43tGM
HAOVIEVkW5V+7SASz5AVX7i88LPqqKisaj2jhQx9i6f1visK7mDwWE0AMAz/E56CdaQBIcyoSCeZ
PVS1vFjgYjydJMusEIdiBWHcEpF9LMFadmTBdKNBR8MSxJgk8kqfwxz/g/nRul51wuO9h6/o3gzW
M+enxHVMs2yx9WxvVsVFGwtmUtMg0EsIzgyj35OT0weonnHJNQRo6fGVZxAxjumBAkaT3yHAdkEh
7HezJ6Fwbrs9E5IJsenM7JrhazqZy6HOiFIzq5hFaWQFLJG7IOF4wmzdQT7l1pk7HmK07s6ozfdZ
cq4kxNCtXoHQI7PeUfP2WAC78ZnBiL6nmVoft7fNSCYzOV84FxudJ4jn3acDxSlG/XPPxUHMJ4jR
NK+e9NYsD4WTrNeTru7fuUcok1mPtPnaiLtg9dgYFjnKMCIyMh9egZhdZru2AqvpaeWZBA7oenmT
9hTslhXTjG/2DZJ2fSJHuHRi1LMrExeWKZ3dpETbYOZmjeGHGj1ug6+8SLlzF3USchJWr2NT2KiO
kjujWD/VmtnxENbMK8HAnwmPC93IBZ4dOIwM0bVkKs6daphUiOtVZvhF1tDPY0gZNjavfe7JKxM2
wjWFyJ0Xw+kQm2LZY44/5AcXif8NxrX1rmuugfQ1xOQYR9NDTWbTBmbN0X1aGQrvAE9eMdehKNCr
p2o2wkDEsJj6qbwi8M6+nrJ1Rt/YQufe2x4R4tKVj/Ci37rEO8vYeVuqKkZgFxuomC1jV6FiSSdu
o7PwCHgmgmyEQrEaScye3hDJkBH6xAchst63opXTrOuCNXqPwa1f2p5OPysYFg6f8XGkx07yWJX9
eOTW+I3QFfMhF8VVW8DLpV46Gz3Js23N3MG06lN0iXEVHeNo/MaY1b0RPNh9FY6SLmb4pKXjR+51
zQEGXE/r6nGM2v41tuwCFfoHsiX9AKd9vl4JDsk1CXj9spqIPbOBeU8x0t66I9KK9j+OF9pOoMoS
NPNtiya/WT+D/7K+LMzfGixdP6JAT8cbvvPFx808HGHF3dVkBSCIdBFDj1KCIlmJLPUOeEU4lYAT
6WAz8lZG5xYwV+3iKeMLB8Efud+kDSN40iSzcZs7YzN2L1HdpSer3iPSLYO4bD30LpxHq/foxMN1
GYH9ZfjBc8Bxz5UpliN5YI+anlY+4lrzS5FaQUWrM0m18kOmREKMgku7bhoq3NLny+FKZg0cRFN2
Oy/kqkfJXdvL/BlsGDdoi89fCzRxxgyFWpPhGX+VFbSlTq3McfElV/d+1WtUocQAHDPHt/SlQ/M3
PQ1q0s9yP0IOMV6HGeEWXcFjdan6u3la34y6uJ91OVyPcFsOieypZ+Fs51WpCqsOxL5ZcjmKNWDY
NO/ibnmQI/K/Us9fC/rDB5vF/WxK+9BaSw/ZZTzPY20DdbRooBYRDCpbfuqNJAtiFI5nLZeIJ8S3
ziUpwXKKH2nWkNCaJjdiHO8ki22qzIw+Yyq7M3lzz14mbOQ30BjijGf8bDj7iLrgupQTxVhBu4/m
pHFmBosaqfte2xodzLgPYLI8JaTHQAXWEGu7xHstNR0ABhbNTaME8lP72jpREnjcBw5wxIje0Udx
46KQ7yFBj41X4ZmGxoAxPfBAYiRd8qm1idxcNUTzRMo8xT3ck250YAthzltxnMUqNTVRQRUR+8bX
Nn7vEhwqc2SeHYZ1bXSlh+R/9TVLGD2Idp0W7/MR+0PtDdZxkNkjY/IraS7NYUoQg9KDIMM4XGJm
HGV1pWcoKRZ0fUjbWJxXgu59hqKj7iXqh/KF2cn3VfLrIC2xPAYTls/5VyrfL1IqiEvYXzOTRfVc
cbXphSd2Zlubt17Er6f+thcHGhLFW+MMKpGCj1BGIUPdRv8EDmiMsX+Q6orZo2nvNPc5mTIGfyFU
GfBj96UtJVQxTV64Tzk4sdX7VaXFbq+2DSLFcAA87todenbtoWnRGnoq8Hbb4PgUl0pttrfcvKFo
yyn3S/rn0PbYxPmE/KBv41vbBv4mzdiiavPu7TBDzqr+tU7twrapjaa7IEX5Yyf0HnQLvL8umFWk
7qg226t/97abMBzjcTo7agd1hQztnC+VXorz9mb78SwJl8nG9rveinJPCcLSe1kpnNTObq+MMbkj
R0I7DDOirZ9/qgFd5LSPzrk6SKTNyp8HyUhRvQkJh8gcUvdiA42iFgGcjvL/HuED/Zke7QpBof1p
aMug4cZzqdRme8WQ8bdXLV/T9l/0FAAykG2Y7O3JlMQc4fCgZ8IQESbaDhbJtNdAUwmf3M/hgkiA
VJm5YwHK12SGnn5qGUZUZTMql/xvm5kknJxj8/sPR54onCUCpzsngtYiecIwOlJG8spTmz9+VlKt
n0oTidscTowAoFNum1xDnZW5yfNsq3abIx6jBow13b/qMsb47xiuJ4y6gZz+sREKB0iRXV8aD9K2
qzOLnCoksAInDKSCrD4tPJ7xqSuSKzU6J3SN5LGFYVAWJbnVLm7F7a2W6UysB8w9puoQpoXNpJAr
8SzsNxLWpgtmJhI74uR6xg58GdVm+7lbZRi5s4T5SOWull/1RIL4i5oCeA5L+EaNApg79FgbijeR
3pCDMVwyBpfdCdvicNEcNyVtZoJFHdU9/t3fN7lCOGK3mA/VXD5sP+ffTy/kAaXYhiC7K38/EIfu
go8Kh4WA+b4soibR17ngpqh9kvMGhogK/vjPzTa1VjlBePDUD+9R9XQXbG49AYD8wkbtwLDkOjW0
et9qC9GzudP6YVs9QyeiVjWJLNVmOOUOt0kHB5Ohs0wqSwTXbgTyJu5fPcK4fSDY3NOFiTkD2hq0
G/oiK4lMyF7BzRvnKdNQnGJPbB18D+HCJIrEW1Rx2Yq2E7P0aIVvrlM9YDA/jvpoHdDwPzWG92kp
SmSWxYH8DRD9TXqPOoO4SNH0N3Fvgjyy7Y9Ue4L33KB9j0lPstxXwJLXBjrmw0C1TtrI5B2KhbnD
nB9druNiVHM1md/mmmkdUjRzp6kknbBk0XAivFrubfeiySINKoMBsEtiGLmuXpYXh37wCHsuopFb
av5U1eTlRUX/g5IOuw2KRT7Ra5IR+GWn3C/145gv1t4EI+jbql3OZACyZzgePNcZ7tKKX+tqbqVU
ZTckAJZ+0UzZAdmTjXAF9C/KvnkwPnqSZPKe3LrchtOZSu3N1DkvNpN9byMsDucQCUlj7GzP/qLl
r13hrHurtVGe5iy4JKrPwSYmHTrSufNS6+KmmGayvLVvnLIleXF89crxZmyr5dJULM9MPhl6rWZA
V04OlGa8NMBAqoFimbC8T0ToPiN2hDDIZL2lV3YUWoj6FuvoShJU9TZ6BbI2xznkl6JsPyVAF+Ai
2/Q2NHl2hHgbDJ6qQLedoCpneY6m17Sf2mc6WTtbTsfMIwfZyye17Mwf5siCwYEPxlKQskbhyhy4
ZaMFwGyAZMZx+sLAJv9qj8Nb6eBhEFDPEGEluxoBBTANvgwtQo0D8+ArB/yThJrm5g5ZwqQowCCG
yyc/xmJ8SuCsaYQURXDXVgVgwzxGZxsmWw+bLactgWRgTo6tgyFLAdxMhXIbFNSN9vtdOZ1CHdgb
Mbo4HhUAzlMouDYCCpfP0XdSZi0MmBWRLYDjSghya6OtJwHMEN89Kzu9dnaiIlHPTLH8dd4LKwSM
VjNLzJ4aAUYdvYL3iSn7HjVT5U90GBmF8CiJk+oeWywEkhrcnYFWER3my4gDgYymlkYV/VUwfvFV
Ie7bx1XywTNcrpTgb6tC6tk1cL0Cyl4Pbc9W2D2GoWS0IurxW5z8+ANtCH0pTn2EVNabWSTFqRwe
qwJ9/GzMr7rAFxiN/XuoDfjRLah/VI9ih8KUzgVYwAE+YByXbxFfDOtwa19FCALTXqdtw4qxgy7Y
KsxgqYCDQqEHkyJ8Jn+kZnrtVgfhpOlOWPENF9dOjTJyZ+gDU8EMR0U1NNDS5wp06CjkoXlfbwBE
B4wMrS1cK9K46I37JXIr/VphkFmeW3c14sydleIrGGj1LbYWXTXp+wKm4BLWMPYE+ZBREmMJycWD
CPXPdpq909gmPiWqwGrW59oF58i9NSjhO1LEBXHbk0Yxs7SLyWNHVoQTWmEhQd3gKZXtc8xghaUJ
ID/+P4xxmY2zhk4KviTYZ/vgQpy0FHqSPNkfLSzKSUEpK4WnjBWoktro2VboSkLP6BRsOEsFtiwU
4nIZ6T8r6CX1NDEjCoRpKyTmjBgOQmYNKXNSyEydRO+gUxjNsAaoWSm0JtYNKPvVSwlzM3OAb2YN
GM4IHmcDxdwvM0IlkgWzo4J24qRNgxJ5rxHxOE0m7uBDPB7cfrmWhnXLDYtsC6VxlcbAv01rksXl
bZy/WgoYarfNq1QIUQ1HEvyVnv4seFHkL4BGIY5yEljndmOQGrRo5aE22uWUQyk1oZVmCluKQUgi
Mux39EOK4wLbdFSQ05by04R66sTL10hhUMkqQ3wKGZXC85OuUKkpzFRi4adLBUV17DEc5EV0k0Dl
CHTv00DuvG/hfeeamV5JnaWb7Fx0BWfNFabVAesxwW1d4beacjF2KfMYFnxWzVIZQ38+foJmi2Ap
xrIEBzZRQNi2FY/drIwlUtsVTdj6SASn61Ef7jp4sjQDzdEmDBkk3mjSF2NuiTuvCpPzRsjb/mDb
bGS9QuFoU5gl9DXTA6qdCdoCmwY5OgXQpXALuLfWUkanBBbuBBMXPNVjUXRkr1h+28DBHdsBWxWV
wbbBcgtaV71dwp5IXqV1P3Qhess5cDEiI1tltDIA6V0UrtdlMOGK9TwkehQkCumLPzzcM/5sdiEj
v4g44YtDOsEpD7ObQkGBPejA8cxj3EsFyB74kTPaCfOc6fpChQ9NHnABwgoat/tcoYh5SCK7WChi
bXjEUoGJt583G6wYanENvbihfR+sA+PJJHucwt5GUwjv2LA9CuuRvDEA9Wj36RRCR6T5A9XXcSmE
7A6xfN7jdC0VSlnqeo0vB8aygaLlalWgZTOCB8PK0482RuCk0MyNgjR7NrMZWwJu3liAGwZwe7Vt
SE5iSbW9LBWOsjqMCgddKjD0rBDReSq+1wPalsXl2s5NCrhFkK9It+wjUqTpXrOhQyv69PaWpR4C
PKjUsILof6jvyFE05J+vRrjHJjzrRoGtXemRMNem2d51EO/nGwCbxZ+fqH/KnEt651G5WzkcKXZn
vUi0o2Ha0HdDKygWysA/NkZJqdjJhFbu9nL7kwXdTShZL6D0L67gHpM0WSZwW+u3LeoEaxN8mAw4
Jxn0hHep8/Tnz3q7u8FLn3KhsvKzV7ILZ9g2G8jpj/AI5tH9eShfp9Q2YEnNxqUYI66EbIfrh5AY
L6l/blADQnpfTVynJDvt0bjRm/k3sThWOsudwJO6B+qbXEk0iWlJnzpJW2O3Qco0IkmJm7kkHgw2
25gdX9aYR2jrUdYTcgNox2k5x1Spv20c5NAHGTm3hVrW9QmYg4UuKY/1s8NofjBiynBKuJJAQx+b
2HAB6eOwbFEuNoVfZGAHiXHDOA614/jCXnC/KnT9HxvP1fOTiFjCluRg7TiGBRAO7YepRFFaGjc/
N94/XxmNZ/mGwzlq9XDOCMm7zZRI/KdaZGgCMp/qE3npyHZJndPlqbdNvIZcXoVaLXqWwXomoo+7
fSURVLTLz2iPrlX2LcbXdD76iSE+JXld4SRzCdq9Akh/1TMCokFZzBpOFQixUQoBgOv9FDs9k7eo
rsbjsJinQQV7FHX4GHpeedj+nakoonw3YSOhy9IRcxAa00PvroxzHFBYRVjR+DXBH9mjeXKxGU3b
QkiznGDMqs+dSigyNqlLYlG3eg6ZIUrrteUcbIkH21uzbHsQFP25V4u8kf9iHxo66ZOryY3SUGtB
L27AyJtKW0hsAewtBk/uSFPYGL7acnlMCYA6SLUK3TJTCIoHG7e9n6ORnmebcCzGarjCEZKca9oK
mwRnJncOl6PaxUqdn/9MZ9p2PW4+L3benrc9rXKawz4J0jdOx1c4bgFDGzKsgcC0Nt4h4h+p9MU4
x/Zp+5WYQDmVtpfbRs+Sn/82o6rfgHtyi4j54/04GuQqm+uDNmTvEC6ONly8YzcunGab5I4zRIDv
WLVTOKubizrjWhP7t8MUYr99YuBA5W+xM6nWfV5N0AbpjDZZHZ74ukSMcwFuYl/6rvOrKTN+Xpvb
LmJQGJDvAkREC0JtWbhfcWu/bAy0rlmiI0Dxu+1duCQf4wwkzFGc1JDxoW9iM/I3ud+2q9v18ocE
cFMETpjk9+OWf6D2fF605mAY8trrrNvIzFGX8O2mjqW+FZxKtXHIEhaB4zScx6IgQ9Pgkkf66NNB
/8wTTMPmXOTHOmsftPyQN/WTMbjGycuGW1EKlg9RuIM2A5WGXgvwx/ZmTPR7Kgiakdy5ZN6TDTxi
Q02aaNkZNu3rRvG1Ju0iK46qrMdvNX3NXUUWulvLz2lvv9m5e9vUwtuzooSgVeMVdRAi5+m6HmvU
o0zz+osFRIlMzjdrwBLXWPqjZplkf6Du9ZcYjUFXvEcAGf1hlEWAJdcvYxXfTWdxNNzs2CTmy7Bc
GU14U5Gtg+R32idyuE2n/L3qcu6z5s0wATJ0suob7fjucaRXOZIK2c7x8ghz8wQS/tqNGjTmS3l2
Gg0ahwt3q83tG9r09y6hujvnQTjhHNQmEQ+zndzNOZVxguUS8L0ZGJKFMUUqhUo/neu2+sYVSUCA
RlEmkxBymY7mvUtlSzgQ8gemBeXV0ljkk4M+X8pm+Frp92j4zW9xiC+L9QlP+YoadQS/5E76a2Rq
dx6NiyAVGUaEqf+BHhcySzw+zE1n+F2leYftYqTpDAkNsMlctvoR39Fxu4t4rUzxx6v8mGyO5LlZ
zj/jY5Ze3Ilc8RLj0rvMBX6ITcD4fyLP/0nkKTzporP8n1O+rquBFvyXEnbrz9iw88d//9dvf+t3
laf7D9K4pIcQ2jU5LW1+4W+wXDLAdGC1/A8qrvjJ0f0dlmv8A56r1BGB0nVADOr8U+4p+YUeQELP
kVQ2uuH9L4O+fqHIIio1TGmYgm6FMB1LmqhBv315TMqo47P8v2Rpp6FCyXwuLZZvSdx5R7ddnpsV
Oy9BPb7NeCooY7T8Szv71lygUszRcUKCJhl4vYkzeVgcPAWenV278MaOZXMz94P10IbFCzJsBiCT
2FesYaHz9N2+711OZSJZMcjE50JQM5n4goAaXGzZvuVmUxy6Vo5+UmsNIbmgdNpP7h0CzeyIso6k
c7o5dfU5t5P1UKbG6KM3O6cj+LrZov2hhQ6KzGkgPAFHZk2We0bm8d4d9COSAA+sLzvRFF+a3BxO
ttk+t03Xs6zmsyIX8TC+0aAyhaQLY+0wf2IRLbXhe8/y9zxA1MuxXwTOQEeq1hBfFk6PHTP/Uhf8
grZeLnOzFAewWZW/zM18JVQTqSJ3053u2gWRkqgI/cTjGiQjsm97hnb2Fou23nuORs2Q2hq0Cslz
QA1MigRSyyQMtK443zzTbg+FYLxQwgdA8eeupwFOrxs5xIy45vuSWcbpT2f0vwENK1nznzHDnCCm
CWCYRDqDcw578l9PkHRx27Eaa1oLhves92JEwssmd5nVWXZX76JlAJ+VD3c6wyQWu3QVE+e3g/mf
9wVE9L/sCjdHwzSROTriV2WyJDsPPiAK40mjXk7q8o0q0WxPlTbcR7J40bzye2Lmf3cE1CXwJ9Cy
OgIOCEeHdD0L6rXxyxFYB1usXWzn505LcMTy5ODEVk61WCVp9bI9IgZK9ilET2Yd5CBp3VQew6m/
8DHsM+771/98HFTW4L/sEdWjLmwuWFfXEYr/+aJNddnxKOzysxlzIKDDmihVGMgtU39EQGYQSg4I
2QZQENAhuprKfIUwCgQxpZM5G7b0o8n7Ps7MJWx7FUevyo/br2KkFcyGlACt0qf/vNOG2qlfD6Nl
CmINhWvajOj/utMRVwDRKik77bXrgWX6qU9dgMijBsAvJUJed6xkb0zNm81c1G8irsMkpLtvenoV
tPKjsZdSlc0Ma7XqwcYGCUb2JQ+NoJklig6SqbDu+3mTfu0r1ZGTXXYh2I+ulLZ89YbuFoMsB0Im
H7NGUl1oVZjhY/mILwmhTe49/80nVifGL5/Yc5QYAe6EZwrzl088Z1EeF5mewBOfzkyFIUJR1R+j
6SV2V3mNlj/wGEvhuzbTC5Q63dc05OD5atMrVt7MGjlwO47FAYcJGRythV2NdOaZkbacvecR8gqS
itshhDlg19wEvBpoaZmHX7xaYDcemgxpkdAPpTV8aap5PbUa8AfmiUETOn4SmaDywr+7Xng4/fKx
LeRbjmPqDl4Cnnp//aJz0Tn0ZQ1gya33XHnDxCFf79ow/6oNIfXmj3KpaDcLLZhxTSGhR5TeBk4X
YXHqAMaCt+rBv/gFtu/bv/lK/t2+CWFJ6WJvIDrtl1jLlmBno28BOTfLSW8z57Lm1ecKBgYWAPu5
1vArrhpSB/U4kCMOARvhXBkhEyQRefSnkcxgdZkP8r2jrW+uyO57YI2clt1+GBuXWRxjAbG2PyxT
d3elfF695WKVV65r3TeRaE8aQgLkGW2xh2tw36WjudeiBKxkXVwAlr0nZmjf/OePLf71FmZtBhFP
2LbnABz461eCg39KIrtOz6tNkKGVp/dmt3q+bvfEKK/JQ9kYexOXx9TjHwt5s5ICq8rSx7Qw6awj
bNj9zS798lwxPYvdwGukU8pYQjd/2SUTHT4BmV5yjkP0Prm+3umxbR7bojwz+DPPMYv1UzTqV9Jz
rX3vtLeJg3e0K8Tf7Ym6DP90mW57gp2H08F1dNMSv5yvKVAdrdW4TPsE0Z750cUkBShq+SFJpwkf
B8MJ6IuXFWs5Ov49kqj6RP7kfFmm3PaN3nnJXYkPFdLawZJob2z5N/to/GLK+bmPJLui+tvuJupo
/qlMG+y8a+1q5lbCwtHrhceIFIGfV71q0u3eQTKukV5cOQmxmnX81RnXemdNUr+1kuKWgvIjSzvk
h/VHZnnp0yxAkbUTOju3uJdaHqHXR9lVeSbroLUg+0xqL8MQN4z1ZHeTz1R7OCj2mlP/7dH/5bGg
PpnwXJ7pwsYKpf96RSpnTtIwjTjrJoFZDX3+uBmXq8R1o33fsbBHBsZlBCmiF6zOqhxfT2gs2PNZ
K9ENmy5Tefr/hJ1Xb9xMtkV/EQGSxfjaOUqtLPuFkC2bxRyKLIZffxdlYOYb42LmwQ1LarXYgaxT
5+y9to9683+cM+5f1cZyYLbPpMJjPEUtjq/qP15yjSWyYuqWHIc03PsdrnOVVnQMjekZPWu6Hhkt
r5NsfgwisRgesIITw2nvHHCRNkbYmeSFVQuxZ6NGaKtumGyqWvhIZSfrMOdqN0Np8PwhvzcBZex8
TX4CkY0WU1jvkMC+exaLCbefU+OjKmpMnZoG7dR9jplTbx26wmilemJ5bfQHbvHQN5XcTQxmFkwg
JmtbTuuwGtqLDLrPCJT+Oev7u9LOwClo3scuY5BSdx/BTNwW8pUyh2ss80NI66UP43DPQBw9f8VE
7StKO+JAHv77RcD/fy4CeBzYHvnskBC4/nU5plyNhtk3jIND+XEYNDzBppCwBnniee96N4GEPQq9
aB1Eutw1tEJ3hEfUO89C+mDF9h6YkWAcPqKxc8TGlUV6mwKkV7pCO1yVvyrhNHhC4rcIeeCB8zlA
t9i6eBhAxg3hkByDzkHUmUXhrjHr+1q3zrc6eibSASizfancPN+1c/iextLbkKyF7qAkEnlCjXGa
lUPZwRw9N+iFR2CoSFs7D3id6374PSi/27iDu0TUwbL3zJAWH2Qtm3P5A2Hb/ZzTQm8D9gvCZ8qr
wvjQZdg5EwPbbhy1QGKa7mAF1bxCZqY3A3RTNwYhUlbTPUfcrRAz7WajSk/OPCIbd8P1f3+DrL/W
S06CgAwzQbI0HgHkTX+9QWZYdnRfeJVQhfWo09R9FpXmoR57JtkID1O3YxpMu7QJIPWYY/ns5RAU
/KB6kK4FF8G3oVlUiOYyukGwKbrt/zjCv4qsryNkHafesANu/94UJAaukMhQOPSXWrgZ9FMRxTHS
f9b2IFiaqgiKEazvhohQobyl/omb6vuUUCb7DBlWFRIzZ/aBO81swP7H0bG9/2ttCUzfD2y2Di4Z
N8Ffr98UKFc5IxjSoLWdfQIwaR33oEIxBTC6qOM1zMbpbDjddC6LRABEORRzapMUuCx6EibRfz8g
8WdH/5/LXSDgoGE+ZSvFof1VleYY22zd2NFhxFGxcYXKHouRsssKjviMjHd+tAP5W17iBBZvUf8K
c7v+EBU6osFcVfjEfva4xg1DFodhDuTZqX5RzvTnyB8w04Ko3MlE3KICafEgmwB7V8R5rTkrGLmI
tUbG0tNC1YgmNT2sW+snbKk4q4+8ldd0VJ9VXaUM1qv6oLr5FtkQi1RMTIrPK7mTcYyhI9T0itsE
h5OUl9GF/ZVVrd6GKVWwG3pEh/q3ngrjJEOOU0NLUU7w05zoKqOgYVzjiDE8NGV87nMeCs6r2rmO
j/nHjB9Db0ZYK1n8C5q0K+J9mdul0bAW1TzukWP/5u1W6wa2yc6egk+BSnmb5y1PqkDzuEAMSznr
gynMtQ3g7YzTwdr40kmf7eAbLzYepXJ4jEwn2vkDPM24yxjasoFmkQsskM4EukQ5QpQINECvoKGE
ZbtJ9h5a8sCu2zML6nckoPODwDXh+LQk3BnpQTFI95QvnQuIYske8cY33zLGc5JjiRySgnq2iMrT
rJ1vBe44aj3S10J/UzNsvwIcH88FDNNVw+p7CHuPFaunwxrKCL1TG3nvsw31xd63UuMMLezf5PrY
j32efvjzhEMXlsyexujSWl3WEHqWAJCczTsXwbvCMsIr2Ficcl10ly8Mpq7EaJ+OA+9koHd2mNpQ
sYoaRELUbWs/HAhdwvzkYHm/1XaBBsUpD5HtWHt2N/a+szmr57InuN0hYVoYEYjOyn+NcbzR7i7v
1DACcvMEMh0T2I7pet+CDjlHGpfVacKXhD4x+CmZz+/IusguFP1LfEgOUBRSwjPb5mLnAbzgN0lV
tAyi9yIi5tYSccXRa4dPBur9PjY8C/RXTdIM6S4bBd+S5sXVcRV2Wh+w5EgqUzgNL86MNIGiKt54
M0OBxlpkBpa11TZU57z2zk6oaAsNijgK5TOFxvyc5hLkGEIrO812vVcaG8vqMlBqHvtisqAPXuI8
2EJ3O78cqVN7TF5zBVk/HSEQ5lER0wpubnO//AnPv/h5ZT6YjXWWmm1jZ2//FN1tGe3SsJ83jVWA
qPQQFmeltWeLYx+rvMau3eLEMkDN1S2aKgRj2OewUO3B6xNj5ORvkVXCflGQcDMdJrecafYKO2KH
+Oe1Am7y0KLKwuSYE7NUmfoaWpP1KiJOSGm/2EY8vtoL0sRRKE0YEi2IWoyHo47tXeWpfRbF0QWw
F/uxAKKnYCSdjU+6nLwrNVCdFhFIVHcGB+3ch9Cbr2bxU5sg3WcncjdjFsZXRng26oCQLjmYNlnh
MlNMStYeu+RdJma51jJucJ2Clq8BoQsZ39nTTw/M0wTf65rp2Vg5aYUnwUEYZKSli928KtgMWvE+
mfWzQxKChEV+0SM4evLrEISa0BAVnl0SSC7aGq8RPf+tTZL0gzH2GEZ54oQQDHtLB+3WSfvxNajx
nEXp/JJZ9oX60TjAbG/vA5uDywCBvEnsiYClUDMaoXWdgwZEh6nJwE7cfTHM4rX2kZsbldRnLdjl
shomMsvXnFa7WrnlxUMVvvaRBr6VduxtBBLg82SDn6wMZX5rIpSAaebdMD85e7buvE4B/QkLA2+S
gWmxLHsBZwQ/q0FoCCwO4UQIp9Y0fR5bUsaePAMaeDul9tly0+/Yq+HVcLpSSt5h4tpSaLD1x1bh
tFx6GlRexCjQmoh+FZquAbvGTxsd5q5xRX8UytD3xJ3wEhbhg86Ux6ePcS/bbHY4SEr6cLQ25eRg
Wi4Pri+fi2Fs703ybTcOWQPsxyHiZ8PVj+55K/OjNRCbEhLcU5lWfYTZDXrV0OKONsm7RSFTuJ06
DRIbaVHmZ6yi+zlvHlzJOVi1ArRR6I5c65Vet6lSp3wY+3VC8nM7fJSV89pB6b1mKbIR3frNDjjZ
KclSdPnudPf1qKPy07WJeW6b4QjYmoGQO8f67owt16rBJXE4N/fkdqmVLs0a3x1wW7EEzgl7RUw4
4ad2eIIbzUcc+vgqsAZ8jPI8p2mL/iSoVoESp9mKLNJ/9FNbeOkuj0WzLsKWtOHFzT9X3mM9tda9
pB3u98gRmVLkp2HuIDKI1kTJXJmY+WCkYIbaGkNO+e1BMc893ERJTeIOTdeoIuga2+90Har2hcA3
amih3/P+oyto3rBjESucrnejhJuHwnM+JCTmDYXrETeRtzuuF8g1cwwT5MTdV617KVHXXwZZtJRr
A8gctCBk40pWNRbBpqjEkwQY5FhnI5y26M7bY2pU26EsgovSZNkJ/+A0C6hxzo8IDd7n0LcuEoPv
OsNJ6S8BzQUlINkPKXEuVcc2su8OYUk6evAcSnYP4YT+wFB4FCBPbEwTfWSKdnbZgjLhrwkaFkXf
nk1krl7SGttI2mANplocgNKTiZv5Ftzc4IWEj0+/l+U1dORpLmhy9WndY6EC451F03keVLs3dLrF
WYUgPsUJqtp+XXnxeJ87ZQhjn8wm/Vt1ZnrLZuMxd1q5VQUzlImwoE2eTVgPdcb83gV6OmJS9NP5
6BBUuPeZ4ayYpshdUFSwzLCzHeFUvQbJ8B217Fh4Y0y6Cy3iad0EkfuULQMPruNHzoIAty6VodtG
L/WwbiENlb5/UIC91nbsWBdGt0GQ4HOhzcgpp1h0E9JnAPIy1pkxOmJyz7oP4rVPIyvxOBX3Bv3v
FTs/2k4kmBh5s2PSDoiY4K5Jea/xMJP8riKXnln04DfhCTslgqbOMACAg++YxnjXd/WdQF/JrBfL
fms569RxnyipN3biDZe+NEjcLYIdtvieNgz+k21U9j/qmLw7TTNmUuJb7KMNxzl5CJzsuaU1sjKN
/r0f8MxploHjAD9rpTvwg9CTSL+b4FcYEWWbnZ1brE4bssP3WTKDMJnThstbGeKz7SPQG4l7ANqS
rCHVmyNIckTjm/ptwKXMepqRSpCzNCO2eR7md5tokG0W98nGEZUmLsYR69Evuu3QTJ/1IMiqyr1P
y6lf06GVDNwUWGEj3RkB5QTE6B2ph1tyZr8lhKE1GRkBeasgfLpc3yFxrQZ4t9IeieAeEV8NxruD
rTvxpg/29hC9mmAvFdvtfDwGKH5XMgMsR8hMu4qEepFs4Cgr/C3322ltVJtY1j8sT5x9DynrxCJH
A0ZedUnLLvX2qcDpqRpZbNs0XBLpz23F4G5GBpyOxn1WbsOZDAswlSvfL8jLRQ2wAmnkIs8h3SkC
fq87+H84fjfZbBEyQ+cfkb68F/F+JE5rarPVyMapl7Afl2ZQWNsfSV9fm8nI1x0QztbIf9oAk8P4
MnlOydlIHpJlllQKfXYHXbZjuW6REEY/soC0Rb94qr324On6paPfQHI6TQ7USkhUQXZlpJSVhXkI
Yy58IW2ZVYRSml17+hOZ6qYYkKvN/YvsIMbRS7Q2gnghBSf86KH23HxXVVE+FEF4kFwKYHcQo5Iu
3UBT23rf1vKpbjFWTZHbXhkBcko0o7GZ5vY7xRFLtnaxisvwxUtMlk6r3BPrB+Z+udGLWikg1GGd
EP0IfpUvv37wdZevL//cfEUrfymd9Nd/h0hvu8D9+LqfVwysY193DBkf8t8vjefyYBN22+UqdP76
6Z87wvMPd+FoXv58+Y8/tfzakAUo7hoZRQfLAJNdDem+bgreiv98ZLur7Xn7z4edlL2hEV/+OZJ/
H8Of3/zzx/7xKOhGnuCvA4O1NS6mr8Mw3QRyWZxCqP/XU/jr+P7fp/l1n79euK/v/eOl+fM4y8PG
ffkSAoFYTfEVrDnz2c4sjq5S+p6p8EGnqAMGf/wI8/5ArdrvUf866zqQM/YjH6aqprMPGRXAIVe0
XUrcBw4aPdxEQIGfFsN7IfudzJIPnZXXvKUNqmoXJ0m3a51MbIjWfR260eOj3gdYC6B/INzpttao
32J0Hlef3KrGhNOiOlmytDnEfxX4uEuE9ytL6Js5Zy2llVHABZEnFdTlpVq8GX598YKiuEE9Gb0g
g+HKFowNiNwGEgSlZ5u/lQzjx9T80Q4AD+0sCQ5l6xDREzrjLjjOJfW5MS5Qi/whGyVmUr22TPTl
Htjahm7fRgRcTdN8vAJmHo44RZGvDybxsuKhnZY5REQCYzBeOilXdZKbh0rP/rqZcrZSQYcg2G/3
0vHAdObiak7jGscFcSwOoMLAuMGZbWiRlFhlsOMPNW4ekEqxaxiP8bZlx7aOKydaNwZhKA0pQ1sV
GUw3+4lKFYK6+ZTQ6t60s/8z0CBCOhHCEkbA7Q1Hj4/Oyrc/c2o2W/BqdOQOEHLfkH6Y44COuivC
CdAjmCX3Y9m3VxoT1D2a5I7CuCvGJsSseGyK4Upf48O09L4yezy3kHsKxT5IDu6Er+4lFVFwkWGx
S1pePRFO35BZ3VymSfs2BdDSFcZOD12/oVRsyYRLE3q02UMNPBqpV+gfxmi6OTkXVCePz0Qxwkxo
74bSzckBHZhjiTdEpshH4eGcGqRTHC3tdJGqS8uO+j4glCJu7nwzQso+YZe3+NSDigwaUDPOeIoV
7N95Svld/OBcQHdJPUZrMZkvGaBCrMRQXmYCfiVeCXSADi6zfFpZ9B4iawj2ZVvD3pjaI2r8q5BM
MqewJCQJLE3RswZO+ABXgYnP9qtexEurIf5YapOD0N24c4xZ2ko+s7HE6m+KT8Twcj9OAzQEuB53
EkKepTlidCZAsv0ERVlf33hq6lowTSiZK98ZKcyhxP+lcgQuRgT/y056a526bn/oZboFjFzWUDNx
ivDK4JG2khEyNx+soInTJ3/8dExlHvklkEIjQYjFQlavvO8arv25hSs7P8GEzA8kv9DAF+o6ASLQ
SYvxHV+ZY88frkMlWSbDPViI5yx2PpkiOS3qUOkvYaS4OwAurZoijw7aD4y1dNBR1nHAQDdyBYTm
sN6y2L2PPam/wZJLBI2XzOGuuRcpMlQ6RwR7ZdklsiocH0wETBfBaNJit52aFndvBeJ2/oFZMViX
1lYUiBhaaNo7M/ffbKXAPpKKwbrpPCuVPSzjgakfRlZtL9mJRD1nKr64oIwEoj26PLd2RtciCyLW
fAGRNZ/QBJrmSPpkrO9bqOPrnKRW3traOjQNvIfe56LhEMBlweiAmYtmxB7gy4q6eycz79z5Fv5t
MX+a6YKGnJ7setgnv/sImyiBEyfdh2rr+dZvPoDDekC3xwDGeQXpsouo8+ETO+CaDX/ahcImO2ie
DpGw+QAiRUGzvIZRHe7YJhM5gb6dgVKOCvEHNcbYxchYc+c0ezlhKx2YxWX4HNvtY1immKN6EkNc
nCdZ8hqaYlXbSKOhtaT7JLWulT/u9UwCphPSRXX00Z2SZ4MI1DUzxXjjN6CNA8Mp9i1MPLzpFb5L
ZErzpkztam0Uwt/2hX5OaVuIJv1dGMFDABFj1UXOSIKZs00eVdE0KD0V58iUPxRZcZ1c29wyLBC+
hR1PQH/ruksRN2/hREJDuiQQIJV8rmcCQdIC3DVOMwRa+BG241zvCHvLAcfM1DP4MVuHZoLVbT1M
Tki+VHVDsRZfDfMuMUkBqhXTCTF8RMgmkI/i7Zr6idH1HL+mmfPLbiacGUvrCY8l6E1KCpXb/qPo
JIidtTnCSncbX1wUZ4BsjR+KdGqMKO9GW7JhIZTliuWlWbnuKy46LFHkRJoNsuNIc/GbjrEybmaT
NHv89Kc5W7J+Zh9qlc/sDIllvzfK4FUuWdGNWXzzKPQaLFzQVH1KePImNsPoPZMEd7AisqEUZ2iG
dJk3J0UMXznkAoIT6AvmpFU6HuA6bDwksmzoow/pSAhyotPEqVXXpHe/9zRwcelhN5r8PU3Rd211
yTkL7V/eyH3R2q/nik1iEoVrVacN9Td94SDhkylDlxxWu2xWCPLqQ2HvvJL9RpBMJAH3qtzh6Scq
BhowpNgNZX4TEJmVJdl0GZZMM0wDZII23aPt0dNonPxZ9TvDM7ANcPVkqwoMAxPNMU9t69zKZYun
FH6AqnuuQ/b18AAJxKxdvRWeNveJQ8XPUnUyFbGlaYLkH6oJVInS3wClyg9uF/+OoBQjVPH3lCJc
luHGbWeFhy7ulmAOuomrpUM1ODhiQwgI5NFN5xHcYBXrY13iSsViwIXTQ3q9KTOEeGStvcDgzdal
PQJJT8YbZmcCtTRNYUFGT2XSzePyPeCVMRpsTH4sYLeijdZjdWi9EMpCAdMtAw6nl5PUDKN8y1+E
M06eaxgn9NtQzQfxIUtlwQsLKrG3QFkHE6xs3NT4SvBgbGhWtIxhViVjuksT/yqT3NnMrR9sU7sG
qh1kj1Bmgn1v1dMGjv2Mx/STvnjeIJWGw4nZgwHtG1m1b72DLxYNNMWR1ZyNJeanrI84T6mBQDC7
IMbvYduvGlIyz5xEn24VB8xF0KRPpQntT9h3xlBIsmMaLg3afo+tZBecYgD9kIJ4OF/V3wuFVdiu
6jsoX+ld43vHNsX3SzU/7JRPbLLXiF2Qws+CSLhh44ZHojDJlrLT6ySL8DCZ0+MY7VHPGVvVtnsv
bTXbGVgdyXcbu9yq2Cb1xMtj9TUUM0ZCXag3rejrdV47r004kKaiXhvJOLuR3huZOPbOmO97B1G1
iUnAlJQkTtFdHSc8m7G4gbDnFRh84mTlvcfpv2bgfpe6GiuY20REWtPvVOot6r2RK5u/cUYHI9bI
0tgs7hEEQgTxjOCcFKI13yr1yYov1dg9MydI14ERFhv6/o+zdevaYpFsonhqOsASzoQBOeVw8LMc
ZqO9oA90tnrUlFwhSTiu19xFZi2vbjE89hYmMruiH8nk3TLuxy58+rKof1nWad3SlC4TD15LTTfl
zzd7zXi9RRxk+xWDJYLZV4Vh1CyxtXiJbWZUfWwYOEhSm4kMoQDdXJWb3qnwaBD8lx48idV4Ds3T
140f4wB0JKXT4mj5uvFAXm2kTxax25tYdpYbMOUnfzbhqZRGuap60msrQjngeNmnIQfZ0nUYPLvF
WDR4L10imRMY+fwNde42E71/sLIQk9vYokAT1QX+KbTL5cbAjffnfyxXOIVoCK2/vkcSpDs2KUyC
xQdGrtEpWf4HwZwhqjXE3b4ihNRRUwMdFBPQ8PUM//216IE6TjH2JZI6RH92+5RgoboTdH66CtsV
U8ASqwoajwG8+aoL4jdwTRGw4+2U1gCrl79ZCqn42b/+fEL3TRGedvjiJdCyThHZlzNJqTPe+8U8
o74xaIaPvPAUvu40jijeRpss31lEXKA7ZRDtmGEi8krcnzX7j9jHc5db2ABhgkL+cehGtHoiWFvi
EBAJhtMGnzOJr4AJTA3Q5ssKZS/YZ3O5yXBOnuY7mInVqXAIsVrN+P2TGtNkiHd7Tzvo8OeHy/6d
N5JB4fhjDgTZ2enib2o6gfmoK3gmDLsfxmX/+XWTslQAUnMYAi0QCTwTDeypdIPa9w43CBrUuks3
VHGAs+KqPY3LDRESSGYYl+PUwwBVdJN9Ik9KQxoK7G+ZO3fHIMkOaLlJlMrij8ZrjK0o+fxCad19
GR2/buhnb6zep1QeGn89EVVMRwOH1tcPv/73ZYNsg5pJShcCuO8ZekqDcHex9NZ8Pb6qvGaU05A5
unRwbFlTXL5UnphopZFjmU3fuAL+LAf8KAEiGp2TauPbyAWyJTTC/B1XfHvWw0MenLPIfCU2kWlm
pOnymq8z+9oVktWbPYo3OCaLo1fBndFriFmPUaJ30zwCerD7IzXxryqmbv4eu/07GbLY33MeGiTC
vW8MDygwXxUpvMh1XkCC0InSH6YO+dsgHjZG88N3nA/Elw9j67HZrE3gDxNSsaA8GzT518FAy9y2
iXwhs0ovSNWZgRajvoKSkasSpit/uhBtw6Zu+da/bxT9KIYOvTyWU7f6+n7uN80eb93p62d/3TXJ
Fx/e10N+/djsO3/bjs7bX/fToUZf//XNr/vNyg3IgnWuVVYwFYJHcogngWW9NH9DZr86OWqXJkze
SW1MNi3dpqJeYt+pADCyh91Jt+YmMM4FCJ5ziwF36+Uk8EWFt2Yu+GCo4D5qPfzFOIxUA2lsiHlD
ioGMQR09OmKZhLnGLs5C9rDEe7iCH6mA0YZOiNMdu9p/4pSzzN89YRH3NYmY5Ths3aq9Wlw8Lp5/
coYk3wSZ3EyhTh+JJEup6CluyipLT96YnkdVjHeu5LRql95dnJfMMeruByyJdl8h+Wzs4kAjwYau
3zyz7V/IC83edR0ud525s9Eob+CCz1uvt56stBkJY4opuiPW4oAaY2K53gvvTrQkpMtG3cY53zcK
D5SM7GPrSrJTA2Kz02A8SLYslIooriUi8z2dSPb6nfXb9wlby3CwKaiQIKPS93pc0K3OvPVZ86fh
zbQCfSI9Eepz3u1ANv5UeXD1PfUAcv7mdfEnKA/zbEpjE8cEdEqNld7ew2tyj7gM14NJ8TupfecG
+sh29qVoA5vZMIM6CwBJpYLXxhbAE5dBgKr8O86OlySU6A0sDPCFCHDPyx+pGt652vMUq6MjbPYS
Uj474XjzXUROzPtnWGfrAhbNrhvqna6agZnLDBXND38Zn+yzhksaeM+WB5oLEaq/wTvxjOMEx5gz
zWujy+Xai/3fdTUQsjYTy6CQrbXixByzCA10wS1BZdn85CzwGNe29lbxJjznp1+SY+/SF1wzV5u2
ixa6Yxo7+hyPiJJFS4XLrGeI1BPMgiWyuNHqpcplcy7kFuIaFlBoauNc7VwDbrjh6LVjJjdDWN99
IW9DrG8pYgDgTT0Z5ZK4zigmlydsaF1nmOHMLVlA7DS3Teadp5o8JcHwKkNJYrs9+2R7fI4thsBl
Kz8NMdt0F4xzCS9pDvorBtVvDtkkKymGW1b5D61Hr6JzH81Bv8HhfS+lJNpmPKT07N20hhIzFd8D
H/3ZrOuVMDgtgBxeqrL84N3PcIfED8TD/qTWArheyqM9QbV0UZVX3ic49UvvQdG2nF89I3ku0B9j
jqBNucQ9J/1tLot2bXWQ2rAHXPxi+lGo4DehHhTE8DraFnZkZ92E+kQD80NDh7Sfu16ltHe4UM5N
9XMyPV59+WsEcsk8yR3W5ITdyUJ8A0JEK8BmZqH06xTamPiTFLEAbJcW9vbUEHaLwP0bn8tkm5o+
TfZK3E2x+doFntyk6ITpw5u7Znkc9CItRT2xJdOYnUXQPlkBrgfFNJHWCdhBoL2ktg2LDBAunUfW
sgl2hCE7ynp7vggf7nrFgWeKGDuipp7Tpqv35Vwy6m/OsgcZm5slo/+3JIABD4BzVVgFzT4dheeW
sNashYNruPADRLO3Sps2aEOPAg25VQIiH6zxTmiPLhi+9qnP9rptLt7IYIPN9b2MbVb1+3qxDTnN
S0uT14vdSzfRu4JkvG5tF5RbJI+mdAhkDmJaa87PwUSGY0NhmQIL/nLcU/ua/XOg0sdBDTADmcfX
jE966AGlQesXJw9XKz6AqUUByxM7GG1w4CxddMLHdFAAeo2PKAweeYUnKhHWdn2bIAdPRb01Jm/T
S3AYfXffZ9Gpit0DcA42DOBFi+GVBpPwzd+In8s+ZELgZ49VNT3pDvLlAPEitPITEX0XAryBTfP2
aBf9o0UDyyJogQ1cLh5EhkUFh/gPC47NOtGgfeQgdioxUdS4Gj5tghdeVKhcFVKSjxgt3SrU0fd5
MPXW4jhyzkpp3FwiDzNzRlDDvLIXP2hNnGcXi5IT1T+7bnxz6OuktYKIO4E6QIbWehGzK9/dG516
lYn3wtSCJlpPBxkO86+uApmgreCBtKt933yLzIgkGN+8Mwvjmlpk3wD9GGNGoUwKEcQRiuxCnYnK
V5BjuCvC+ucC1NHUfiw8bbPTQWTtFI399QTDiuyxd4ZJznpIg/qAVQGbl9bo2jCXYuuAjW7rT7AX
S07gfGs9ALqRLMwNshma5eVvk7Yoi6t+IDmRkxI1wZQ2hJ3I51n9NBJsR6DE+bR03dnSER8iBP27
vHgqWnjzZYOorZI51nXQlinZfVPsJ1dwA29xaUFnUWZ4H9NNXTFL/mExFDjgfgIkUFTFUXItcQwG
EQgTio2B020zwzCjH27NqEFpgc62uFQzfVbTh6YKagLQHzJ6s45OceDeBaPnPDUTuXAZSr0KeYWF
Gs+NupQ5hbflWaL7WdpLZLT+jChqzs0MJ70a8Ir00bCfe6jbgo3Y1s+AhRPyaq2iGvl65bG/NE3T
WlCivzNrOOQhsqckK7i+2na98dEyruYWaVXZF0DHwLXsxqBu1mRWP0dBXj91aUYLxVEaklkApLEn
4tXtsuRcutNDwzzvEjqdf/GSxt7hLQGP2LjVxSrCBdNpX0M7/xFrf77Ar+yOIzOxIfSbS7/cBFXS
bUeLtxfvnneyF9/JNObnaqRFbtZzSdYzG8QsWzpLqCVPbQ7UYbFhTnlhHeif3Xsp6rmvG+IsKGaL
TdG44T5z/emUKIEmiLZ+7A1Eo/YsopbTgwPKFP0xlpK7rxtrQrlnhCjNnfkWMLgntGtYXImIPokK
Di9LPuku90achSkhrhrVr91UzmVkMSQtqCfXrBpJMu6V+UStqp98YnDM+SlY6MVEMdhnr6/sVdQx
/dIFAK3OGosdrgiqxDS190HKRy7uXONBVC9xX5EKtXzhxYRYWMsMvzIgyTsu+Z02p9fGsVF0Z0rN
d3KWrKse1UxtEqQVQj7beXbpXKQufymnS/bCbr1LPuOsstrkgD1cATkjeMSUiH/8SNyF/ohsro8M
ONzYInI6wWsHhsB2Huxub9ts97p0xsitSWaaQoPhetHxaJrBMJS0rZpMei5deDcG+0HU0xOPsrHT
7jCxqN9nKQGQjl644iVIOA88y97eE4JgXeKJJU7ZGWJG26h5k/HwMydhyyAJAZt6E76lOBohFiNJ
OQGPJT33o2bBIholbB67WUgagdZOLj5LTHQMMWbjOrZuvwkktbvXo7xDHtNtOM1w5nfRwQAnzIe0
mRCMbglLwNir+GXyHnYeL9m+9mjEGzV9RaW6YDNo1BeIBzBROidgLgbtOEWt6J/i3LlVOj1aNP6o
oAyFe+kVGAhXucXQ29eQRQEgwoRi50dEIv48FtCtE6Rby4mnI/aDazw2/lWm8O7mrr2vZ+cyq6Lc
jX77LdPGJ0wyBy0pUeLxIm+pcjYEBS8Eeh22rlF2zkvMxxSBxSoYucLM/Q9nmu5mXRIfrgkaDcdo
BS8q2EhqOFGxbJaYWkCibl1gWdugmGDraOd3FkHp6ejmIXEa7/w0Oi//ZpfVN/UHIufD5k0iEmOs
KduBeMjIfia4YroPBgJVNNd/QZLpOMlvJG08VspYjVYcIWTJUHhN+YJjlPQ8q4CoTi7VTkWEGQKo
NWFdM3Pjfsl/jX/kKQSBUEy0BqZqvqbJz7x0wyObfRqonlJcpKZ675TIMAEOJGvDc69Z2Sw5r1iy
45AmWJudaLwCJBMprIOIGY8bmczIvDdcMumti4f3hrAMUjP6QxmzYZuH9BKmsF114ZynsV8s0yRP
h5RMnkUQXpyJmGqmkwcxsrNOCxM7ZEEcQjNEJ+HlnJVm3j0Ky4ZISDZEKKnBUVyPjFbPUSpvvauN
Y8RMuovhw6ImwKckrbNKx2ADwQ8BFsTZbUGPcPmMm9te0Bqew6w5T521a0oWjGkMjrKv26P5f+yd
2W7kSJZtf6V/gAUOZhxenaQPcrnmIUIvRCik4DwZZ359L3oWCnXzortxcV/7IRNVCUnuTifNjp2z
99qYrzLQEaE9rvCgi4cEsPax8sBZMO9IbyvZaLt8du7ZD1/1ufnJI0Sas4bW012Vd3KMeIe4U7s3
zfrNZAp1sIf+s8oy2JkyfUJVvLlN5tslI7l6SF1OwdQXXTW9qVwRXTahOmHmMds0Z2244kndE/Oe
MSFZ148WThVtRXnb6dgHRMOJyhx4vpkiR1gpsxvur5ReXvMg1erP7YD5x2lwn1fiNKxIaeLHqhkF
/nF5donNI6sHiP4q3wsUEZYcAZeoEUN3JT6N1dD2Ve7SQ2ciEaZzE0Re/3m1xl+vWFn1Y5in9yCw
u6jDFrq+NvKoE/68a1zn3HFpg0rVXVALSsTCIGM9p7JCYY77M3WYhyuaFK7IbjtPPo4DLO6rheJq
9tOnXp5tbnA/kvOwA/exHiWK/rtGPF1/SvUKhaaHpxVMAWLvihpkTDoUUEnr8aUDu5c9QgTTPTiT
7R2wYVAVZO6dYXV14LUk3Ykquzhgb4YWqm4DMdn3EMddaq+z+F3wAn27v1oz9Vj7jJfyhbM+M7M1
OTJ7OedGTrGJm6bOP5Mp1o/kVj2t3WqEuUw/K4GIFUkL2OXNa2+MYj/BYmFpQMIU8QTAbOPcufbV
IQm3XD+/3FACGMAxaSLT04TEs/BhNRM2b2SjYb2Qjxwx4HQrzHOx87OgGedzwnwhYxA7vNUQcN1C
yra44uiibkqMVrsOB+xgo5lNixfRzrx0jtWYnslRNOMDSQgkZnf8Olw3C1RZE3ZeNOyuP+nkHGiv
S2ou29KPRfQzG6OXuF9Y6ZghIV/jtAszNZg87Y81jh7ATjIPx5UJTY6BWmENQWflr0iMtJYswBaH
TpflD0ZDL86cKmtnuLxG3mZBkiCFmMw6SLPxNpXWL4fML6pqdVcnVNQ6EaqxyTqfMD9GzsizIO+1
SfAlmfKp5SZZeFdup70Q/O75Tbb87AfOYnbD1EdL+bIF+bzJklEYaajMui7YrgzDSBD1LsUdYBuI
pCg8aHAeHMSFFlC5YDCSz+t+srbOqYghrGQPoyl/Jw1HB2JGU//avlMWmiB+dKaWnKvxR7Ly3Rm1
RnBkXWGHRoRCZB8pI9m9MKzqYDdzec4Avx0VBoJu6Od9mXDIdU3KebeYNCJF+vlmMsSx1fW7tQMW
ptqhv9TM3Etmpicnr+bTVgPbBVkwhcWimS4CZu8kHkbKSH02FYa/ItQsc3zI+23CswbM2qpgApd5
rAb7ZxeTIXz9lzYOH0mixUC9SSco6vQWPKi+kd6QVxscQs5ENL8nk4Z8Vi7mZZkJRohWnOCso08M
28fDaupPjYQ3x1oiz9YQnRGjUA+RbthwxD+2bvvhFQZBOJ3xmAzcov2ihZPNJrndVPpGdEgG8UNz
GCZmYOp8g/bajVxwponoZhU0QfmUt7N3YtjjHbYz/zL3zg6Bk37q3SPgbo8IJ2asaBEY3LXgCSdd
nZYcx9NVdmsMowVnGjrCwLdHYTDuyJINp+2kZkLGDzsGMH3N6I8HMT7VevojG1GC5oSUBNSPj7CF
75yZRDNwsgp3T1c6qE1Vyr00aXcE0fRIHCiaCjt/Fr2skOF847BzAxt0KLvhjN8L7RDvrVn8WhFD
Ptlv0M8UxyDKpRh1T9W1b4rK2G9n1qDrQkR7BVKpZ3m7pmM7jgpN8rB/rtV2Gh0czv5pet+3PP0O
cwlm9xS37a6dUw63MIHIp6BP44xgo8r7UgdZMkVLe9ShRFApoheBJn5gCky957EaD934bmgYriPK
MgEXhlKfkXHfkFujbnC9oLYd2VSv18m2f2gT2jRBXMhs4hi6vuFmndddTLWlT/HrSiEYULqy18NA
McixTBmiAz4dGNaZxjf5yDPMThYI8L/hOCCWcKeIohUMLqIxqCIDz2qqS+yJVUbPgAXLNFhqcuQ+
oCoHqh6GDknDzNQ51TljvLRJbpQD8ZYHvO+Kz7LibkJIi9jb0Mgx2Gzn7vgcG/3bwm2FRwmSyj9v
QV0x9M7wfMdieDGCMWfFyhfWx2qvqvYu9xb2R/eUGkS0mBTC1YQRDSoEZQk/VPfOYSklR99IAdzO
9W8dAzvdMjeAJ8nae1cSULTr7OlC63rxHXAwforyU8aITNAHdLut7Q1KMoyN8olz/J0WYxB0DARz
23o1EkmDKALNPit5t3Dgy/lxoSj5MIjQqjSzT69bLteWOjYSawcxDiuFqGnBZUugCfvW2fqULO3r
Pmo2ykVePgDJJE6SV9fKz94YWmzEfJpGh7EHmr0V67GMuiSQtM932vY9/rUmDiDOjXzae1P2CdmQ
OG8Ls0xBcCuBCeciQ0AhJw8cP0+7u9xzJknuWqZQRJYMy/s4Ji1ukTqGex4v7yWeQ31yt3bG8J3S
0Dm2s9QfoNN+z/Nz7NXmB40KFM/Vut6mwiaewloVMU6OFWg0qGqd5Pqa9LFUmgP46PFUjhz+PEOY
l5EapyxISRzrJTp4tsdzEkFIqZBvou3ndm5AHuxap+APTkUA+bRlvlt9ysoA4FHwPG53iDKG3723
vJpmdYEpcDfV4EAiNRIWwr5LGsyJ3jeHnIGsCxrKAWDZbCf1lkWKKlHfVoLZy9lmWVQsAi14pHji
ROx+rATDOgU+Z1vk79t6yHOC6sAJmyT9TJzopc7bx2oVP/ol+SqIrEymilUtI3SXroaPaGbkK3We
W8pra6JDaKVbZ7+g3BXbQ9TClqTFTmNvlZsVEgBu3CQ+Vl9u74ayA99tv1sXmm86K7JXqDQonON1
w4442+rmGdNcBgdaFgEedBDP5/FsKvez0d1TLjzcgeYJSCr2rL75HXUu9yw3lz7Il9llTi5KHz9z
5ZUkgLUs0STL79aKzdcdubUFgxQ2v+zTxky9i1fvuD27IE7XfcnbmYldmHuWO6VD3Na0nmxrasVh
KyeIcNiLFreyW99HDQ+DXuGWJmGMZ0rckWzU7a7vHOQcnBp7uW9d7XkYhcY4HvsbVUSzenfm5g0m
wQAFpIN9s/dY5BK8VrNz1+bc/lcQ1fVxiTNvh0HioqGdprfI9xtjQhiGDMJdw7JEvEyIYeONKFCI
HlY870ZlEWvOrlLjrw0ArrY10TXLIu60tuAqCEexgOnRn1SsFThQcUeSyZYwWLrEZCAVQjKkopZv
UjAxXS5iiobg+lrbz3YscOCRdnXcwMzZjjsNcQxkCfIkDekFR9TWpWfTSaqOJFILIrZJO6TSmJbY
LLbNwE3h4mkqbFj2VEvbwav4NEvrRuUu9rGNk5Wl1bFw6ChG8Saws/nYq5ct4VKepQufKtnO9qW2
XvJa/pYNJ5WoZH9OaEE7SeMdCk23Qyqft9GLQk1xuOPuh4GMZeBqzXVJp+MG2jqFcxVGebxrO47i
ZUGJ4LikvwE/YriDIUObrOfWlOkOeZvNLq62dgXoTY2jwLZtcnPUeNLXAxYNLVxb3Gc5ro2q/aj5
5sIs9147jDVGqj2mHQCllKgfTiBEsKO7A/Uv9IPRpnzQrnsW0/DWb6esQjnnfoRLTSjound1xuXJ
9JDh7Q6KNf2cTB56iJCHwSNUmlhHTOC4ODAgqWOMxB+N5YqkZPVoGW/343TlI9Wj4N3+ua7deOlo
NBgo2Of6OPYVSdY1X9lsWc9u22R3ziK+i/ITjNn8gzGovpA9LiuE+AWaXpzMJ1LMQdUbilDTSEBJ
dLLGR9aQ32f0HgjCbmjC2A7oopJATqN2nxnn+NWUmAF/AmDyJkrEfWfwBJ1EVoSTN7/mw0ICpsoR
4SwdI369T32ah1OApCfUJyO6aCsrluksL66FJoqHH7fGyGil9dbj2HUPBu/xnDkI2RZJQFs6tXu1
3Hd0vFZ0S9AQwewb6tRgy0GHYx/GGNfg2sDTgBlhwMrGauqpfW8N7LExBRDmhtp3k2rdz23/APYI
UwthwE+GhfKmZvnGSDMi6jOH7NJxgvctmniVplcPM6fFpxUB54Ce5C+kz/9iCf9rLKErwAj811jC
y6+0+v4/kYTX3/gnktC2/+FZthS2ZcJ0sIig/heS0DH+oQNRwGJO2gF5XxbgsX8iCYXzDyGJj3Md
TweLCB7jX0hCAa1QOoT4ASTz9K0q/X9JoL7idv6dT4C4BcgbfwgqjGcb9t+4K72T6Vo/E0QwLDu5
2wpCg2FGgMTZ/G3cqI/hRTvFwcraf8JX9G8X6uGvV/kPOvwPdVr1G+Dwb2Q1CEDgGqV0DZAkQBmv
IKV/4+zUlaxbQB0rnTAAsng3+nNBBGy9p6GLqx83umt/I8z//3zZDZLzby+Lik6OKuVlFVmoNBzu
B+0AkcxfaKd3ZwnvpPwfXvLv0KO/f9C/QY/wlJMTO/KKqLGGFSoqgtEQeOySBn329t9/PJQM/9fL
uQbUN1Q7pu6gxPs7ZrIrtAbBYntdkqMbVBEHcC2b2I5arHJb6t88Ca2aKsMGvx8sHNkuXjmRWuDI
kti5HKcLioxMI9yWO9fzq4WR7NQSI7GqUgKvsLBpdvpAwKP+HjmjsasxkxEajhmSpiU7+W7mi0dp
5lR0RTdvjVUSa85omJ4M8KZsuo9ok1AiIIOxjS2CriO+de6qwL664caRQIQT1i/9JGrzCZq6wNoz
7+Z5wW+ycu6w7PIuQnh3EyELrIR6zz12fS2dXy2XA6K2OM+zU0TPlyE1OaU06XGaVj2MHHKYt6aT
Qf/saKtf3TJz51ks3Hiv62p5lToUyGrocXnITQ8EpRubgUP4sSnlTZUMJ4YYv62aUioiYdOrrG9Z
cqho2g8aEK/TAnC86y6anN4Xc3J8p+fKrhnzwI6WRm4wUJ9oudukhvkrGuHC/oR8SqLqAoBuHYmQ
cYfpde7YtppGfehxyxeDfr1KtxxejeZZDTnDhh8RWPWxzX8zFf+2NH4PhzhPLx5I2+RPmTF4edct
faNaH2uS45qpWEI1TFHIZTtq7fKj0kDJ5yVcxZUZdEPvgOiDKjVmmJ9pKET94dBPzoh3c4blm6yb
18TGuRujFFLz6zKRjlGg9hgrVKW5s37jnSZO76squ19DB7l6cbeyKutI69P8Jc/K0Jmajwjfo+bY
e7NiLmjZ46tsym8y+8K0B5i8/Z3Sml/1Rd4v9YPdUlLnneAouUIplXS+KHuYoz9hEWsgJGCxrjR+
hChfYXa36xaZh1FrCgatYdi7TdgKi95O2XHVgCwHk43bCr3r7jQT7bQra/FNQhN5Emz6otTzXa5B
QZkMrJHpn24rDEvo5PTS+1sY/tjFLMgMZqF+0HhEzl13X16N6lJLnDkc8vymzPlpbbW+9SLFrBFz
z5krYbokrBlGDczV5Y20AszSWpHcqI/IXfXMvBQ4jBAGkudC8CHdk+rRM9QTrCGqGsO4rTMP+51G
n8vSkbYWWnJCOhGi3KXb2nL/tDmRPEnBqZIWxJXlmOSt4pbhF8aWwAe+aM9l0WmjX8BzHvhbUMh6
1viIizFB1iRIEzUh6jsjmS4U2Y8ABP66fSvTYzCO7sTI7BF5ZPEI8oTEuLhbd71wn3LssLha+HSR
Bhi7XnMYfnLFe2Lnp+2+mZfqJS+nu8WE1W4V/YfRku4JbiCsa0b1wvHgGnhQnEcTP++MZhyK4neh
YWdfEv04DgjMp/XsmE52GsjG2jWWHY65ekCyBjpj6C6QHF61SmEiH7h81ztPJ5uKdbfaRgucqHkM
i7QtD1kWhamK4lBuT1yNott3DnQv9h7xrMyceGZbYWbHkUbMYJKgHaP+hmXC05nHxEdr+ndp9M/m
lN3lJrlq8FB8Y/uXhXPF7wbWeKHU3rOn19HhGpNm++FsHnfHG/Di2fEu8xb4uDGZMBp6kPEtGknI
HiT67RLUHa3tWfisn74R47SKhvK03U5uDZVqMVnM4j5FVZ++Ftabak2x190m38nSfpTk7GQ2D2RC
WOpSL3TcEBVFOt88bQ7wLSz51+UIHcHSbfYSNOSDHIihLPDGlxEfimA13eZFslh8I90Vu3HhG4FC
XBOqCEkyenLpeu0yvlSxmt8KJsPO8rzjatlPCSHzNm+sn/mPlVc/pgIWyTgdyLJ71cxc7WkC4xtI
1fX357Xfk+z57pnTazsur8rbOtjRPaM5jN8pMpk4m1+34RiyiedhbUMWVXThE1aYmveJSpY1RpUf
KpWvbRWOMRlKnrIgJNG5kNyNrGXMuKzHSRSPhl4+ll77x1udYMTJH5vbcyz4RteZy9Vp+V4A8d/p
DDF9pgA02lESC628idbuMuhcinLm2xmY4SRcVrSpjj9rrEEAuLisCQI5WBS7eALtnrL/kKJMTGuh
sWt6SNnou34zKGXtzNKXor+HZtOu9OVyzKysn5rHR4tdAO+ztpw6TzH/Wl4X2NC8SXoGeBR2JX4/
kC/r9QMaGtLddkhurjc8cLkPbEv4wmnUemsIcZIOh8E+mtby4HT9T3bk2C/NJFQZX7gXLVGod+Wj
I7oLW/tHYsU/VI5tPXUEZlBCmuEq7wYHBIlH6q5HlkHQE/M9qOJzNWyi57ZVjWFovZuMHFGDWlto
qj1AiSkNo035Mk35ozsR3lM3SAT6JkI96HSP2VLRIfCA3LjKJsZHYo+seIQStfhEej+qiofCnKcH
Eo/h5nSXtpLabpPBF9vOl/TFhWHso9DqAbFq8swefeYrjIJsJGQhR9HpTq8NPv+9kOa6yzOyo/vZ
+9PH1aHErhggfWkCowKT7/IRwG8h/5cIsVb6SxpP7I2LWBeB9fLqOYmfYRAPWWW1Q9OUEKHSBNQQ
RqylO6vpZUWapDv5fW/iQCvsdg3c2f2hWtimg0lyVoJxoXVGvB74Zh1An34fd0WoS/4Um+pXJ9ew
KcUDmg2DDXC+zfmHiEGCP6L+2Jij+Y7uKnBleShGypooG85T1g/nzEZP08r9yPT6dtVgQIkBokqa
AmeZ5E/b4VZu64mXms2PiRTGrsYLlDSkMqiVwANyjOsp9u5XNT8i+cBfPaC3joDv50x//HHqYJAU
FUMaiw+VVC6Xs7BLyEX5y7jSdjexFDBrBjRb5wM78spegSR+lwyazqINL6IVUCDq0kLQGovNUgF+
Y+pPWVtZvscMmcneI0jtT7EUkIx67UMjQJqNduFqLOMxdfya1hJjtcklPct80kb3pDya9ZnJAAmJ
F/K7ee9AX+Jei5ugVNg/9GF1j5pQt+ba3luTXZ27NX+LNRafEVFIaJEJTyzOLEf96HoG0CmjCdC/
oSqELExZFuETMkqArEy2jqM7/V6dhsglS9HAkwCkpOsv/fiCZ3pLed8EwSMZiYnu7vjnZrHY05WY
6Mh0X6x209keyfy1GJX2M64mdxqQCQ7E0MjoF+bweffXm0hbOAOLPIrl3tTWW29OP5A7pZvfHCO8
VQABShJqA9K66Hh6Jo66eJ9p+rsWk6Ke9s3RhmB5XBsMdZ7ebMO5BBFjjwqbQ+guT8TLYqVPVuKU
gdOP8Y0yyf5VPUgsy4uqwKgpf9DqqsM8u3eCDiIhNjeKvTdr6bqkGWMH6ZwAjXxGroBvpZXmAQyX
sc5fo8NDFSVGc0khTrMAUxSQRYukGZdbEjf6sTfrp6pAr6e13e+OR5P20BcyN5y0Y/JbYI6lJQkV
MCNFBDnrGnhUvEG29FHIKD6X89dKem84VwXeOEQCNPZynhaW3HZLUgMznP51R7FQpI6b8rxEl5Q5
QODN+8hROK9YPeLl1pgaAncGYhmJEANlSq9rO0kYu8SA6JbFWLNnLXoo5Fdc8GV3dk0QXlVd0EQX
IX6X1CfKK5xrmYaLG7WhlaafeT8WRFCmnEAyFIcewCVPEmPD4ZbKxs2jXVT1oI5bgPLkAbHTGygI
NFN/TS3w2rGZhwWnL1IPW6Ank/xVlmNAsXXC9js+lOnCMiC3iO/oELGF77NtfGGRZjErNuJpzj85
FSFKNenGNa2gFi4B3lj0KZsmZkdH+M1tDF3UaqoNAL2vdPNtk0L6PfFLwRW/bNR3MKo030poDKfX
kUiSPzU6nuqtRw9bg/Quox12ClUgzLAW83vGetSbvkcqAQa4MQsILSejDYVAxcChJSLMMUt/2Br/
sxB3di2/Bg6szAQZXzIw38b7bPrC+Spj8w+5NCB2JKUtPMJ015p8r7YgIYHE9RMas9zvdDrP9Djf
C3t8chqa10btbBrk5BS7EJQLM+ofVbIEo2NMYeJkTJSGP1LNUSibjoPtkr1aepFAyJ6mEzXqnaSB
bhawZ1LXImXQHNtzR2mBTEbTW9LlZmIQqSltdI8dJvZu4LBhcUvbxBxyUtjbC7LZ2In2lpqRJXTu
jz43ZKCE9pw2zhP5LjanibI7FNamdgMyjlqFqpnBHjoxitil6Q5RdvRGmV4sGT1HFwRK8qkDr4hM
Ad8FRrwsEyjla0m/feR3M3AvNYA5TEXVif/36ax9EhiavZ88xC4x9oqA4T+rzXiwxDsath7xufeM
A6g/UVkxAZztCBXTRlj1HJbwSd5SCJeHcea59ibvHrY+J3JaBskwgVrtVMX4xHX3mH1f0DlAW5g/
hSpwazLkHoqY3BhvOlW0ZKPCnqBYzp8boZNFkefMQL1DQmbF2d1lsMbV5XbvpxB0mx04IvZO/YSR
2hWKYQTpk/gU+9sZcmBIttl0tPGzAkl2d9dhJqdNbk8P+88cK7zVUjuM03anFQLnlCR5szVRCsv9
lHBiVIZHC5rVkk4ritVUs24Q+51WjVofVuay56tK6jigA3GsXB1zmgOJh2TEpyoPyQJlrckc3P/6
evTc/FxPzaUvcFR7NrF1DBudFOhQIlboVcm+wfcW2JX1k2SgUBnwokaGC2RIf0wZyqHfSl9vBFXN
rpHtr1pAP+1mA22ZuGl1aHvAnlZ3hlPFCC3Ky0d9bb/zZQEztaUYK2z/SaYvrP/cv/QLj3ZX/dQX
kAA1cdVL3TzWqfarwfrHEJvDV4mve1yEX40GexplDpNY76mHphncG7WN1ECpL33KgZcATCKCDP4N
POv9CjUIDuXs+XX9RK6tQGFaJ/6m+8msmPChSkz+ItDO8zLPlaBzmG/u/ygcQcAHNkPr28jBrlQR
gSvftNmpDqstk31klHemSwssRasMcrIIyyqVIWJ+cl/WvWiG77JrnsYyeXaq6O06rrSLliN7QqBa
XLCoOtrZ0qUWlIlQjD7rd8CdBAZWdr2P3NCkH7VrJ+aNDFR9BjrruQGAWsS8A67u7aysxy4VF8tW
0Jt04NJZY+yHwppPQvBuCts9CiluvRX1FROUixbRScn42qhqrYcGd+celeU2KSsBUmniQHAhBpu8
3JdF+6pX9E9m5GHRJgfFZ0RMa1M+2JsIwqCbFC4Nx7semFMwUNgDPmERjBoUsu340Fuzoju0Dfp0
+82mSILYpvmlGpTviMHGeaGf8Mowyz8uyGVAZg5/7IS41uxwHaxXDdNds4upkbaZNcBPBHwF/GxV
MplsjeimQE5FUmNQlHl1tAlw9+k+vyK59Pbb+Q7ZkwqX9t2kg4EAD3tAxfIGj+0ANZL5/iY0bZu7
weFxTJYiIY+K8mcR2k2tm0/F1P1wqh7OxoJDaCyXu9xRHgsKqBcrtQ+LkxNgii1hMIzKn7puCZaU
JWxj1eaVgGyW5EyT5pEwmxl3WZrgMqAleFzKjXRq1PNRs5SPkhPfetFY70Pm3A6o6/c4jquDQDR8
rvMZ5TODb0tvtNMosyesvuWpNuWj1VrWuaIIiralPgdWrEf1Ht1uxzMHdYKps4HEgM6vFcel32o4
MCwdOc+yWp9JB5y0a+5NB6uZtYkdvGVBSz+pvek4gsfZuyA4UqdhKk6jad4XbS3PM8AHEbfT4RpV
U4LBUWNCwwnPC/6Ov/Zqe/AKf+KYliWcmjyPDVt2CaVu5Hi00wj8ntb2vV7LQznAeHSR6MGH4Qhv
bAIL03ap5JzowbNqvCLEWV0VL41Z4AShkwlJ5n6epvcoAwlnmzpmwCW5uQq5ascid266rovZK7By
dfIM1Kd2R9dV1fEBu2fvj2ZZhErQam3lOzhnKzSh0ShbfTWl9rOAkYSfbsaGm7MrFJIY5O0Cmoy/
DMxzFJTuvmHiGOeLQDWXeofKyZQ/svYaSSThWHhvrkTYC9+QDjPS81C6+b50FThVcVMs6mwDWk80
uoadx445zTUVSx5kdNq4MqQIbooq7pqdseSMIDclo9A1m6SYZb+MQxcQGcdxa7DSA9lQaHTLlnEf
d06hMUNdut92JGjXSfMN38QlLaqwI+83yFXM0einrYzpNg44cc+HWalTXQLF6Ceaj7jgeFaM4s91
1J0n2bCXkrIcYBw6T4N7npt7PtPx/SIUhKZgwTtTmrgUlnY/Zmpvz/NtVRmbWtDMH0SjfVZMM+Pc
CUy9+eUp3EsTgjUGi7VxE3/Y2h9zZbQMDQm3ElJTZLKJh00Ntos1MlRw8GmBziwQGF0MBRNiE0/x
UaiyhukRLuetJjhAeKsh/dbLv6qZ9X3x2uxQvcJYDtF2Rf4odbVrnRaUwqagyPEez0wQfWtTIHVO
eSu9hPac5P6DmY+BcRuWm5X2cpVWpdYkfVgqSbhGYKsckiV2yqYT5MGo09t4okuLCnX7y3rvvnTu
gkkDOG9u5r+naYaLvJSP6fJrJaT8QBflYmt4FBLUA9sumsIf8Im22hHqi0FskGQQO1sTcKU3Xk/t
/WQyH+Ww14MAqF+nHkpqrBgHgOh5R8i11damDcvQvp80GtC9fsJx45dj+aJ9yQhh+to7PrIZh/g8
Cdkz3feNhYhKE3s5JvuWRKZBtL9aeVpUjki15UjeyejTjtJ9hM6W4mrvCSBEHjIVJzUYPdvuuzVb
Z7IkmNSSklv1xi3w4l0HbLXseN4nPoVbq1+5IswAHjDiXhkPuy6s1fhFWhryMaO4s+HcyzymcM+6
JayfZvvWshdEeuashb0sKREd9rwe32Zjd7dxEzE2HowXrYGG7YIxBJLEhdRI/JHJY4xTUaraoDMA
ulDPrfcIuZ5o21+uuTC0GbRHKtRfDcpByDPvWezeMid47AwWO1ILm5S582qqX3O+NP7U1Ec75aOp
uf5FY/A9na2XVRMvE5neZPpdNGaOu9zy0Lk0MKO5439hl3wWWvVTKP5Drqmz1w0ECEiQdhrcJVtr
nooGCmnHZpmvEo8C0hX6WD+u+pwm9W5L7gWEU/VvS0OO1yuUEFcV4fJWGsYHUFYuizBJjmG/u2pd
nJqVfCiB57VoMGAU/SXEUCln4MLxC85XOj6ig2gztFslnIJ4Ti6bfMPgWAtdaQ5KZFu+FE+1Lbxn
olUxcXIIRGfnVxGQxbkjU1E11NySMYudKdsfexNL92nhkfS9KBoPuq7c3eSWDoLdbHqE0nzElvxh
ZkiFUuu+o78UZsKFZ2fPDxwkHfrnKBNJMkxN+5J32BeWznlfpf1DJyYzMEtKpySppxCUYrJJL65K
8THj5K7HA0UndMWrQCPZNCzXQ14R00UQIyWdTnS0Bs89X+a7TrLsp3jqdyWx3ldx37qg6Okdh/h1
r342RstFEEpHb8FkisBnAR5vNiQ9RL33OJUHvfyeRu+zcgGRYBQCCd/+nEdWix7z5ui+aGrm9TI0
LIVHsoeM0fxQGBF1oReuj0+ZaWK20FPeDra9dZSRAg3OY1VYBjrS8tHdsuyGjAVyTuobdxNrewNl
iWM4L6MRPyEYpoE6TvjUm5trwdKinIGaMRZnTE9dlSlU2c7DnFX1LZqU5tHWT6Olv5UT/JdO6faN
nNP3bGhjZH6kheSLtddqPTnXzOrIgrJfZTuJIwYd2gLpATp7dC6pXQQjprZtzKMq8ycEGe2d7Q6n
Gv3oYe3i7AA9PQPbhljIekmW+avTkGcD81/OFHvqLPF6aXPpIdxgBBNxmh/mld2kq9l0Y3SJZmSz
UnHNXKdGWzQSoCdfSy2NT8hQ4qP23oJEwVVygtlMaj39q3arU697IQRx5L3mEwoAdoPZvoslWzZs
ojuL/NcdUlEtLOSltVx8gBLqhdY4L1fdIyGfcBrwmqZRx2x0Zoyo8+VdF3oUC9Wum6LHXiJpa9Hs
XW9dEE8c8fVCQnHaEgDJ4rKgX/wp0CQGwvJu9dJ90NG5B2U+3gEtxfGF/spB4AVlfPzY5GfuiIzu
+pxzXvljKb53dHIqNegrt82fIU5CN+LPwk0EY9rUVhAt6Hm3u2EkT8zb3mO9JQO2+Rr0Lq2LtuZo
waLlt1ldB3VV27tkoRGK/sluGPci3DjOKbKnq/QrwbeKm2DFk+/afkqw1Y2Zeb+8iTEpWqOwKdzl
mOVUAJlDbopOUjgLUUaesKDfUYzR4yCeLRqLkARWGnRFiNQODVmBiZDucIIUN/RWduW1Gxh9Q17a
c4WycVpuDDgjQVWtATB4nkGrXKlPeJMm5w0TsOyxh0LjbWIjzl4AJXUtdGf9T2rAwfESz7kZnRuj
t7+IziMBvYv1HaoAK0icfr67/i+0zkbAjWow0J/TPVEEkGiJaESxiixXZ4voYyISBSksu4nqmHBc
twq0pXnFlpmfjPzozI+mxjOb9SWBB0nXECm5QPZ3Wa1j453E1jPzyuLGGDWeZMLvNq+KcY+HEH35
NMY+vYYgyYi6idgfj0qbH4hDgX7rlel9rxffhWCXmW0Fupny0Y7M4kebWQelewerED+BU8+Pq1w4
SqYPCZ2ZfbxmX5XuMCY1XaY2BqlaQ/SBO8ph3G+BBSw/likeaGUXVI3OpUoCDG3eTrP77M7bjDTt
OmL2SNv3inyX0OUwBaQLlheej+zHwjvnmUT+KRVnuyb2AiyusG5dOACSzoLZWigI2yY9OLX9e2IA
L82CZ7YBySnxklfkwf906vZh2jY05JdWo3Q2PCKHEysjPiNVwBTT5c/QEwLV4zxEF/Ewco4g1hms
TtUeaP1/RU160frKCApLp/WWoAgsyfZFoYcmmAji9xh884cz7h2rR7u/vtQtUvH/5Ow8duTGoi37
Lz0nQG+mYUiGzYgMk2ZCpKX3nl/fi3qN7qosQQJ6UEKWVKowvLw895y91x6M+stiLr8SoH6q9HuL
BvElA3q06FFHgcxodaVGIWJDQ4NKJU9bMc4n3hTH/YzWuRSW+yILGCKlXb0pi/iYFiWMPxkCvhbX
dq4wwJK87g3eXXYdWlqxVgyao6pvQLrzTR8izaRinT17sOmsOVJDEbdeDc6fxtjRiMdZ1+yPDtXN
3AUfur1aqAE0PRCRqneTOZ5h39IIGQ2uklp5Kx58JmXgqG48/smr7Mh0fOvpItBgAyayn5kHnNHN
rkilt6RBDDkAu3d6ViOMS2o55JbTOje6ykkFhp9qFu+VePyWGYisWtC2W5nekqPG2XMWMOy0cMay
eUFgDQa7I0xghyp7U/u55+haQ3Uky84QCSy+aaqZE5G8I/kd410Bo2nfh5DP/Vk7ISFLNWiUjll/
KUTy+HSNRyiFDVpKZn2mMZWPhgpLu0RYmVunXqbRqU8Dh3ATN56gxHYTdQ+x2kvbYkrJU4jldQZM
2Q05D/klmBliFsAc+BLHDiuot79+yXmKbxUJdCza9un//iiLLDAJI69If1jV7TKrj//zV5kf8ke/
/tuyqSbl+df/IRSvkScvEsQKnCyAFzcqKOeK60g/nv8tkW6hrUTeTfQLDVLt4ZqFZvWQ9ASpSpmv
OJxs0iUkKAsFymSdLe6ApVJII/yKwnIly46FzAcw6T9YQAvfHvUpr/DKWh4BBiyWTH7PGuMrPo++
IG3ChpyQYvQeirrfxYE1nfgM4VYscHJFGhLasF2g9bceRLkocPD669GXydwLmR6TyxIjgPnSNPax
VFQNhG0x831e7yLxQJ/QS3uAkeLE2mO42mRak9tRUbzEQdzQSehfolRapoPXHUSsvU5vAhskJQJz
vKUc/EoFGJ5wDRXcgUPRtzZz/QyNfBjv0nRwrJBvJIWzspBTrTuUOcA8AJtukXPWkymZ0iizQ0vZ
VaEXU1nDhUvzyhbi/DbICDMiLwVmolJBKgNXMG2fmhxKT1xcRgBUa0luTnoFtLjXyTz06mpHTwok
34Qfpkk6bSvMTK5AitUNKXpouDF/8q85G0IDLDz/prVIka4lT1aO4z007F7zCi7vFnwfndKSDLBo
J6bznQ65BV/tED7CjDh2vWEsAjqHa4lYrS1T/E0pMl3G4mYjbufo0/urKMVk64s6kj74hwESaCJy
etM2DKU+thMVlF83R0WUYQtOFoT0gSC4mrEa3QetvaHSiTh4j6QdycWGBiBWTNFye7jknEi3uTB+
jfAwnxBULDANbkkXGTZZjfYjDJg2lxl2t1Gjl5d1GDl1S27tOGOxo9ZalAkokrYOGH0Vsb+GVyEv
WoH7Py6KzylQDLsIzMei6OlMFExxy5HRdDTLkLpAi3bqoEF8qPTtSGAE3u/+W4564gfwNVjM7owp
/44U7a714wd5NMiKQnWvGdqO2duKxhDNSLA1c2fpCVkeZOc2u7KItaM6Ek/aVAk+6mBSL/rJFML2
3JLuHsk+DUtRilZgnTJCcDwd4EdvbDLQUIKRAltlurWt0KNyq3TGAYp072hGQtOMA7lbNam5w3gM
RLgWrG0Ha2VTgmPe9hofg+WfbnwLDn0u5jVnEEve6603OUMsK4fIK0wCXDrtmHtM2KPgUJeqd0QP
RUiNHIknQ/KyNRGXmTsx7UHhgmi+wTL+KNGHXGmS1j3SgW1XvaAJjwo+kU6ggDP9dLg0KqP1SmjC
a6mSsitUpXhtrXLEj2mkNyQ7QA6NnAKYfGDsq82wkTwOVCp32FLPvOrec4zBWxpXdxg6rHAtLO4+
DMDlILbZvSkZIhWkJd0lE6s46S3xXayKZEn7Mrqju0+WRIEE918WUEmK/bs3Ml9qKFJvQ4aIIIks
88bGREO+Lowb8qp8idm1OuHSXuMwl+lwI48yKxSJv/41Cib5CHhbXA/hc5sQI1T0zNY9S2C0WAqn
INK0TajX/dHz1e7YNGEPT7pQ9m3AHHP+/absSWey0o45laEdaqnZYcdzpVY3701s3poeXWQ2vYNF
DFdgR+mJ4FNap6b/Ek0N7rmgYnzs18ZKHyA+6lk02HkPLrlu4e2bHRdCGHLisvDGM68c7bCqcC13
urouc2ajlSiNB5m6hMZIrKzjJn0TxmkP/CM/RXoEJaQ49r2SO0kZG6eJdyxE+j7zo60VlcljqrEd
MwFO6b1a7Gddhi6K9+/F+AziXvZ4EDERVAuUEipm81nk2IBMqWiAC+sqDHR0AUZ30NSO6UnvmVtE
O3hMqvax8aNdU+WTU9Y90xotPkGbctuqj7bDrPnyJjb5rmOeTPTa3svNftlMW680dFwXIZUd5RQP
geY1E/PJZchWr9Ox+jS9iIYb/tV51/aJHYfn01akNsBgKSqN2eh8rmVKsgTRqrG5s4lgqd+XFY8G
PSiZ+unO5CPEQghWIBCQ6fIECn4M4nwgJmDatpJOZFWZ4JE0XT9EFJscmmCQKGO7kyA0LDJawA9G
Hu2ZfO0giEK288zcLswQp2BSDS7Lb04XexC6oUTEitGxC2meG9AXshGAowoUbKklgea2us6ZfshW
OCmkNfYHTg4Rg0U1utW6VJ78cYAvRFOMbZtMkbzEXKGgHQ3v09RNjz5tBGx0aFsyRfQOddAHSwUz
d0tYwRZJHCQ4Mse8IGEr8atl3JZAKAd6AnzICWQgiXLGJMl06g6mKMXHmkCpsW/VfUIi+5q8E3Or
diQwt2GQgjUZMUYI87lMfmAqiFBVUZ6EqPgak+oWIGRmZWGuKxiWD5qkzK6MFEdOR049u5ab+BpN
y5xeLa7XvejVNAWiEeq01T8gtBgMtmMLcNaWZ7+3HvUgW2KuesoH5iOjaGEyaTO4K4Pa72BKKo5s
PEDfzVd1wMCmLeR0KwSdyK7f7gfkZTiU4BdGZl7uqcyO/uR1dst6Y7Qeg/8I8ivHOgm1EUkdgzVs
m0Gt6N13gFVUWNxj09qcTJKtZgjVuh9R4uX+iyBayN5pGTtjW57GYQ5iw+Dj8gx9lmWOQYFizs0f
tzKqoyVjU1brJLKz0kwcMoHKteXN5kzd37ZmysOzqM61wgm4oyAApt7TQ81I35mGgVmsJ+6pbCBS
Gd3eMBob0ncF0k9/+HVw5JtcVKkuOEE5uUYCwzDRUBB0moMmVT8LeoXFudWSmUzS2oCoD5qBHDfJ
On0di5yjS1FGGS74xymVi309cbwQlBE2ha7S1iFogGqHlmufohvvouiu+F6yjScAu6Ks7yy9gRuh
Na4aRSctH+mSJD4JwKXabjD6chZq/ETa+Xkr7aaO+SDwRBqh8+/9+qWbf/ImC1maVo00q9NaW6U6
RLJKr4kuMIj9IOBMWGKuslWvTDfKMIq7cP6DXz/JGWP+zJrhwkMDQ/dgYt45d42jycsJDBLrdBtO
C1Si5rl77pG7X/1VuQlX0il7Nl+7D2tPcKoaYDK2BRq/ULRW6p3jgnouWQjquj/jcfPeFBxw/bku
HQstobCY2ypAAlU7sBbSi9/ZhRO5ops42Vr/4Dce8ovOX0VGL3HeyBfpXcbgdZxejAgK0RKRnXYi
LofE4epm7EN7OgiiLbj3CuccFlAK/AcymawrI0Lx3djIx0hZKpf4XTdsNV9NsA6cYVXGq+yzuMY0
2sqDUTwAgdbP/p146rp874oDG8LMCOE5wigz20n1GiiLIq9aLK5YJg8oo1NwkBkNu5VlOmHBiSGx
I7BHDlIY+bF8z2FRuGlyMI2rIHzw0RHn2cotbpZIe+gx9Z/lBmFJwyjyDbjqcFSRaVXLYls4ZXxN
L1TdKpACGBjIFdk7znhI2k12j+7CK1ICWknYHta502pr5a6+J/JOFhcKnPfgqzkoN2sbsVTdNkV7
7PoMExfdDnJcCvx9Eb12b2m3UM7Byjzx4cal+jE4/RMh1AAPru1dssmjQGp7IEuhgMZ14amGhMjh
xCmtkYt0R9VYgL1OUGEsshtxTKhJhGsExQYbZ7fumpXXHKeHul8Bi8mY5zDwoV25ALTfR0uYhZfe
xf6S2wx7hGjNdGsHL41rM26zfXqXHrRr1i9V/dzKboLC96BuIc91LbQ727qIZ+MqjyuZhSNsiFCh
vHxut3gDJnrD0VLYpzvzQOOYg+Q12iTDvAJ8Thyj6z8xsOvs7Ks6lC/CeSD7zFacdDOt1d0N4eSa
oDY+zBPQVwQ1dJM/akreNyJEjuJR+hxo9y9gVmNzeIAO37xih3hiA06VTV6spdDpVQclRsND9Wht
AsTX9dLYjOlCVDbRzRSXLSfZYWvQZOZWXbXX0s6OnMPREoxQkrfBnSwzS19xRWpGLNWq3suLaOtf
hpvgREfNCTfGrcpOWrgh39nzV0/SWT55G2rTGDLkUwNm46vapUu2wZpmCb1V2wcDhRL0BXTLc7Xz
UGw+tTYp8Y8zoB0d26Jxgzk0bhEch7dkWx2MU+G8DcGy3itOsUaVW64wOz/FrxhCLsYZjUv+PCcV
A2Neq7FNWmhAhMR39A26BvFEXS4QIR5F5dS40o6mT//KVqa8M+ebBfUowB263wmyvKPCF4NS080u
1rsWLzF23oQlIxOQRddmZ/bIHVzpvX4VZ8Db0loLh3IjtktUoNZyWJrP5ca8SKCiPqDxrSqnfUgv
s6MHKS4hYW58SXpXuNIrihouKe0g8Qrh5aN+jt7g5JRrw9HOk7GongoYsBfOidM3lMUmcdO9eFHO
1jmINrTBvM1EA/nIN8RhHX61uajfBSL0HMqNbM2YSN8G2/xBf+5t49XbVzvfydziu7YDbxm948oe
24VFmjrTE/7ni0JdtOLCy13mdLvWeEzO8PFCuxMWyY2+/bOoLPF6qitttnOvahebNWJkpHX9ty8e
YMtELY/EhfGJjnMkNMU89khrMKCzA13xLJQ8a1g0QCpHsCZI84ggg6VOJNeGb35R3IM3wcBrtKw/
OLEO62YknXPBMDZZkArnSieyVdCOkB21a/dhxcVmMRGQMD+aZu3DwnwozjjMzRyEELOdndA74FsR
QCOv09f11ruReamCY64eEUQO00m4yMwdH6Mbem6BVvAiSR2co9JhdDHeqS4z02bJrvvhH81DAetw
Ja6bvXAZTtZ+ehAYolIxHKy9rx28rx7Q4J5wQzrATESvPBEBVmTP2tU4GS/+hUfCi7FRPoV97XL/
RRzqaRik+NGWgVvdqy1ioBCl6FJ8sNaYGZbBi/7t75CJ+wxfFzK5xEvQvUwkgCiygEEOLkKHQa61
rX10CsQAcTOvLGttXioCf75Ffy1so1fIQ96jtJEeyvYt2qdPAMbo2pE4NyeoLzm1IZMBiNPzdh4S
trLRc0v2Q7F31E1drvxNOtrRt9UQn7EwV1rPI1MlB2jJoFewVr624s4iPBiMzUu6qQuXkRKaCoN1
vhEOjGBRWY8rBbEMAxB3OgeZI8qLbE3qfb8M1gbS7LMyLmS7uVsHSXSKHSZIzViUzrDXHYvbRHoQ
nuN141K6y6fwyz9E+cr8FLuNzp56gnSBdqFdGamDTpgiSP3I3GbHjDPlI5Y3wHZjv5Sz5bCbk0/X
+TF7sZ6p0aV9KcDfhuq4Et7o8yPH9T61YwwK9hST6+lN6FkWzbslotNDYHyoPLaFFSC/i9+d9WE7
7ZJV7dRLHwOQUx5I1XvPnuTr+JwyNHqn9RNszR14FnVdvwT3YlzXH9xyYLuanfIuPPLt2hKJOCu+
MKN/4IuYyiWUl/AaB65lnaN+0UobmTEaMaUCV4l7eqE8ieFWN9fDRov3cNBdyZkQaTw3boNy11wA
R9U/PSBtwwoyoLgjKtg4dN8N9D16XzK9ICe71wgGl91NeJn4prs1adckJMFmZN60zsZHcJXZjpxZ
zv6Lch+46rtqnVtomShbxiUkoQ9vowhLC/z/Y6S5AtEMN1Ih8S82wHzwbPHl7TAojmuiVPzC7R+0
dq8HDm4MiLvfBMuSOqVBejswk9fOsNoV4TJSb4RL7V6de2Ty7+Dq8fDj9DhB0UZSg7LWQJkMmXHN
jQnZzzHdFG4eoROgF05psZGyVSAuGVghf2h3SQM7ezFmW/mR/94gIgm3QbcmHKLbEUk+aytjmOUL
5kh6YCuZDR6eM3uon6kUovymq4emWdXmlYOk0B4o2Iqv6rGxwGe6HmXoa5RupDMbFPInObzRFMwe
64fwIcNTue3LtX9pn+LSAcnIHcO4ZkFGzoa4Abv4gNYb8NC/aw+Dgk/F5lSMMkB3/RwKxJbmHOUc
KqTw6L+Zr/KBTSL5is7dq0HvziXX5DXfl5tg2+6aF/WxSJyRiTCa0gtIQLLpSGdZBhNRuqtiXRqu
9dqkjomiKN3lxBFkDwSfYAEMIJM8+NMl/yxeZ44N7k00Dyal+RfZIdg9sm+8Xan6hbdsfMa7iA0r
0aEgoZ3HwrikZiSJ+aECprKlTXrNnLDd1Remnd6TAEXwMH3ne/2SP0fm0nPNq0/5tc3ueFCXSrMc
8OYdCm1VcLGwjujLkpuVq8RiO5fSskKBskxu1HFN9uYTgUtr9DDQ13vifWIOxTzA42sL4gSDjvnI
xM0rnrTuLJzSC06ZAaYitxmnDqSi74g9py8ebCXGiB0YVXqU3k58QrdyqTl1bCFEaMzaj6ZLOBRf
H0nd2lk7oKOP7qPtUaO+s/AF8Cxb6lYMPwQBL7PXsFxVX+0eFDK3DI8nVHUI8u+Qugm5cqlbVukZ
anO10ux8m9iwfA7mvsALZlIFL+FEPlA5+K/cM8muy7cFFhjVIRuruOgTEez27LeNUbCvIZSQGYqa
TtK22tGAPL2jr06fQoWniZTfhgTCxLO4MP71XyU2LCqqaIWxJNvFppPcPYkg3M8X4bUYXsX83JGj
90zX2QdkaFNBhQ4SBYTUlGdEgQ8qCUSPbUFKC2V9A1CM2kdcWJ9cDJ6qMWU8B5oNNKhDeh1uZrjo
Xsk2rraQweiyf47aQrtiaGE6KZE0c6oY+dnlEym7kK0fiQvi1B7Wu4DCTya8yDYJkr5xg+Yox21Y
cmffQWRrsn9uybbd52+dufB3ydU/FhyhLGqlFsHOF42AR/Wd+QwHUQpWc41NxtqjWAb9h1h8G56y
R962dBJf4VRdaWbwsrijOCO84PUBA0otLu7yFRdX2CWv9O44KCRftbdDQDJP2a/+J7sxwUEoqpqj
+YRh9z36rtyIkd6mWKsf3t7ErOlx5qNGXuQH6xEvI329Yt9v03oJD3EdfKYRMyzOQy5xhtxH1TZa
84xivbQED8zP6/aZ1kdTLol95tCw8h/UR+EltcUPcbThGMIEFk4x+yHCT77y5o20DfWjgqqPJXzV
TEuQR/0m6FawmT+8Xf3kV7sIMe9G3gsrY5ticwtWJcAPcwNV/MUi9GTgDuXL/kZCL8A73+IDMdBK
rLzB1hzrXJ2bG2LOJxM4CP5HhJ/cqyhC7XEfgFBeR9/sflKy0iH3vI80+PzFV1csKREom9Bn85Rv
ntpzoOyTT+2Z1fkYvnkOufDeaghX1s44SvgLP5ktILqwpjso7HxtKEjhF+qrsBfdEqP82gKCsmL3
13eMTlYBmQQIfdbRpt4GWOBP0mXebGaRGGc4YyOdivkQazJhcOjn+cfxJj0/lxJj+RVtH4a2eM55
MJavCVr25WCrRxYOFyk4y7vgC/ur+Qj7M/yOrt0HDwHhItnZS3YdU4dAS/3sOcPGuLBHcVMYn0zd
9sp+3MIIMl6Il4MuM5GksxxeGn/VggUhbFShSlsGGypi7wvlOMd1tLfRl8oRg8pIRTm5CA7Yq8RH
dnl/MWC3OER4YK75MX9Djm6RQbdEGECanffoXwLup4X3lHyxhrtnSugRBNVSPIcPbEcyWw6WswXj
rvqpftJe6ie2x+CR/MlFeCrt/omzq3rI9pJt7DbxWVwbzxV3W4mgNLfZPNkstRdq61v32rtMY56K
GwI14lrRkW47Sml7fObADuiy3hfoJMtVbYuM/Bj23a0tq+m9Opdk8PpLQJBsGf3VfB6HnbXqjt5H
PzxFtS2kjiY6ObEyPPWXjWsciWnn6Dc7fDjE9dgYF+LLfAMNoLt2xTdJCLI7qXZKBdAS5OH6Dv9h
7mi78Vg8sAuiObS2I2+2cqpHbTs4fAPiXlnXDARveIyDBZnEtCQI+8vpC/GgZLh1nMtnvITvGWVZ
sB7W4ieZA3G9ZgN/EtjIZ+HConCNQ/FWP2OnkDl4SmfhFmpLX2s6bqVWdQxE0L2VQI1nNLP99RNM
2g4HamGtavJuVkbFLY14H0PT65yDnTPXJP6ZqZsEZnsNLjzehb9+P0aElcZNyVKx4l0tdSRzVTzH
8Tx5MCoxTClT8iwkSm0bjcbn1mtB3opaxo++CZBXpXdWRrhLQmovVMooRPv2FItR6SSkPa6CosPq
PHIz9PMvEbKbZctkA4/3pCCDq/eqNFAuDfn/+WUwq0OrFroT60GyHQgCVhuVgjKpknJrfVlfeW11
ews6OlT6PKcJiz5hnRYCJ5Vfv+gTIemC7zBcoImJwJhIxyqkfAjMJ0SWlRsUFOboHrEg0nhW8Z6i
5KBFO5KJqEVXIT75dCz6wjcRDUhYn6tjr8qfcgxXPItm4LV59vi82xB0G1qmdpWXnLmIeGqXFu7u
0h+/lMI7gJaXKWH9FvPYc6TLNbeKiP+YC9GqsoteOSXsbeLxOJyNmvyCCasFnRkGZ15xV+unUUW9
Ov8cmgNwwrD+FKLoasFQr4b6sRGmmD1SXeZD8tbrBS3U8WksBMVpVLCnnW5Lo3GKR98tBPmocPAE
6v+YSerFIHBuYcjEA5AYSoaMQjqRd/YY7qz7xrwX7aTZsY8ayBumWz/JD1wOChhCXukTFZ+mAEfJ
6NoVeOcPUyZV0/ICHH0BQZDVvs6GetPismKfSZINWW9sWoPbi2NwrARMJ5gxRscrW6cT/XA508Bg
ZhgHM7GGXZdRZBIHbStgwRgDTapjWfIHgdMKoX6GtwgRZ4CB9/CPPk2t9q32lYJIhLsubhNbSygX
5ggvDOzHqAw4DUvm8n/9P8TP78g1IICKf2FzTMRLhqZbKu5MXvQH0EUfEjnrBLNyexU+RG6BKeh4
XsjkT9UpeS5p6VRqtC0UgJKkUN/+/PL/5bvMr25JimjqTIjUH9AeY9CGRsuNCuBX/+0N6kqsfVoH
EV0MYRYokQpEt0vEK/3n15XADv3nY0uyYlimxnBLlec39g9yjlhDc5UHqWLSQsBHhVOs0p3Q6E+j
jhd+ElHTp9UBG95Bt9BzMk7mZJsrG9Xqt395K/Nn/HkFJJlkDSLuLN7RjysgxZo4Ig+tXE8EixCV
AlgI4SsAgO0KDwHIP+aTMxCG5TswPetuJFdMpOLZeeePf1kOxm/eiwx4S1FMVZOtn+9FCz1JFvKQ
WTlMYLYHHvAzViAZi7cAL5onmOpfroTyuwUoY/EwsJiIuqr/uBIxE7upKASy1TPafUaf3gxFQydJ
pdVOQDbnr9+QmteiIOo8zZwaJ2o5UNojB8BlkmwV8geQGEfkCXKAga/Pt6Txl7zYxnaL46qq7iYa
kGJEmdqkXN6CvBOklbR1M2KSynVoNuc/X9TfXVNZUQwssuZMvfqxrkdfJeIg9mvXTHkQEsQGJafs
/3Lz/FqkP1eOInPvaCL8LcOQ/72IB5zOY2PJldtV2hU2zblLjV1v0PxuuGMKWrBGn52nogPHYPFD
b26GSDvg/wBw2CdnPWBFJXVx6omfMEkBxgdtql9WMzNLitekrA7TCECj0EtHrL2T2AbfeZVW9p+/
LPk/9Cz2IEXWNVm0TAm257xE/nEzWpoKMVxWOA5YlKa+kUMrgG3YMmoZU67pVIWpCyV4M0B7Eue2
smlnVXL3JWCuQQxhRB++SHv/MuMKUiDMBcWHVjD1/slLAfX++e3+du9QVAZ3PLwMWf/15/94u0pt
6bkR8nZZWctWgmqD4Wo5zdgpKe1uMSP12dP/Omi7SKF36SOAoyezSEyx+dt7+d3do7BxiyqKeoSh
P5aAj7BEEsyxcmON6YlRxuNqpo2MAT2hUi4dX+N+ajpG7D5jjD5IP//8Zfz29lUsTVZFOG86C/HH
tcNv8j9rcEBQtKokmSZzFyISHW8mfM2FrOSLer7z8GXFAEHmi9PJl8ikrzTjZAZsctjYhy+Sn7jS
iP2XTSR9NUZMw9U/FEkBuyfhlE2KK0Hn1y7w3uFE7LBR0jCNuu1MWWpmDNWfP5j0+2/W1A2exrJq
/mdfQoPKAhIrt853WkuLXVdwBaJaswdQM8S+xJtJsjYJjfMI8sufX/13z0VW2Ew8EwHuKT+eCerg
qa2a8kwYZ06PQGuin6HnXR85km/cIi2jQdI3f/nMv9u1VBFikgrfB5LdD5xcTE54NyZ95U4D1xLB
zatu5q9//mR/e40fnwxusoxPlAWLyO8w6ZWjmulfNt/frkluBkmxuC8Ycv9ck1YEq0VuuClKyVZ6
RgAju4g1sMC0PDsTpE3jSw3XWtke8MucMTUxjEc/nCT7xCt3YdUdOhF/qClLhOElTKkMOgbBGLyG
hW83M4yULLgRFth4g0NCZ3QGRvnGYxF67zNwzPRQafz5i5PmW/nfu70iipqpwOUULST7P54pqla0
igAsyPURpy8aHuMLlTRyGREUKHJuM6NObri7GTmAu/GFkqlJQelbgI//81uxfvdOQLhSrGqyZPzc
dErdEM2xUEq3zL4Fn2F7INO/NhqJOe5IymXj7RSAFYGy+/Pr/rc6QTVpIqwzdKD65q9v6B8br+VL
zVTFSUmaS7AyZO7Jmi97mRcdfjQ23Tl48s+vOK/4H985n8/UDIzzmqL+rI6tOgwnMgpwh6mgeSOU
2ZSyz0UV3f8/XkeVRYkLzG6uzp/8H5+MwAPMZZWRuya9m8kjcAkEN3zqv9SapvK7z/OP1/lRbAlK
ohO6yeuApGgES12h+eaUry+EAVmAlKvMFR+TMN+QdDewbxcvarQxyujKx6fX0LWdLViz5kpJ1wp6
LEkJRDuiElpMxEWTukmeg0oLirTN0C1VADetT8+I4Efs94VIiIKMvAVEOIpe6D6tZSKq8PyLD2RZ
lj2O+ZGy0crat6fOztMgJSecCR35V/nS8lUE8HmzDvLpA5+5sOk5UOKZ7JFHMssv2o/OFJEXxAFh
zmWGa2eI33pjxfGUUdsMQbYS80UyUEqAfSwwN/XNKt8gQ5Ku+Bi3ph+89KkuIlyFrqMN6hnc9rcI
E28Ve0ywDc2khzlJhl1p2jOJn9F04tBcOh4d1txiAN7p2G2iGPGAOQT3cJqufvjw55Ui/ebBREFp
aGwGIsow7We1lCSToHBMywkyBgggB/2lS7Kz0ssXs7Le6UZ0C3GMz9h5nqw0OtVWoAJp6rH67/NQ
246ZesG8/qxJ5VoKitskJK+STkimrDSEuyeyM40BjZ1SB+Dv36tOJ1cx8NolpkRnIDGoqvFXG/EZ
WxtTKjW45x2jUwEgqGK9J31/0Yi7mpr2IoOErjtI31HGQCS1jlUZrFVshI3KX4gScjiGdhX0eDmj
cyqre7wkZ7npLljm/OozGrONokifoy85ngDTW6XRoVTyW5tJTjEwegz52j1ifNUwTGg1rUFII67A
s7Cc36es9vGqNtpLoEufv/5ep+/rvD6jvl3VHYQKGTlfk1hbcOSuxliwrcS3Oupcb2BPk9RnRc42
+Cy2SZgdpkA++Zr64MewIYLqJkz5AbcLzJ0guAV9/FIRHbtvApg8ni88Nll9UFvjk/Byuvlm9ZRj
RzzFHRk3GWDjqc0fOYOypmai/V9WyG8eFLIFLZXmk4Yq0/ixmXgp1FK5GlFHgyHL/WrcNpBLl7pF
HzKtNBt89meIgB1JRoWcReSyx/XAENRTevcv72V+nP/YQBXZUMFNWLA8rJ9HFLosXdcXae6CA0Ge
Tr60EM5GNVIQ0cu1utQR1E3slVD0b4PRfEi5eKkrlDVBYKrrvCuYJpqCv+mb4S8PMem/pw6FE5qo
67JkQsX8ubdX/tgJQasTZYxlgH5XYSKVZfCCuNzfeUP14qUTdEJDTtzagLMVCP2mJWDlLw+1GY78
8yuCb8vzzDQJAKRi+ffe34wx2RljC17WvEEESB38f6mw/sUNwdSxGKJh3GUJ4kSFqN+ZptHMnnO1
s5AVJ4DQRf1DS3cJdgLa8sMJ3t90yD0B+RPGElmNl7KFctarmtWkCyelS/gsYSNDnIOtpeZESrT6
AstG8peH5+92Ks5HBL+KGr0NWf5Rh9VxUyQxnioIre2xkS1G79UbDKpFl1TXss+uSTsi/VEmYDH5
259X3n8raHV+mkoGSGjD0rQfdWbcFbibpAg7ism4Cb/SahjHK906O9TLfS+nj5OAeOjPL/qbNUXV
Du7aMCiMFFH/8YmLOs9bv2sTN4+RfKIlLOL6bdJboB/Rg+ahk87wyA1vaWScUVF//vnlf5WA/77b
VFHhY8uSKum69rMw88OkyNSkJO5Oa1Rmix2rQ5eR3hHmO6kPUaKfO8wBjLc1ZtICaIue7kTZqYtB
NJ+qVrm28x+T8P4w1nj5i8GkY5K/jeOj0h7A+G2jHIu+Uf3tav13m+CNc+igaNc03v68pf2j/ik1
+tZ6m/LGMd0HCm7gyfyMMOGDoPzL6eB3C0Oh6afzNVEJaT9eKkAq7JmNFbtxDNfAwOHhG06qtQcD
nTeWMU6UjfX05wvz34KZjwcxXQFyPm82P8sutQCsKZiko7DfxVbxlo/SFSTDSiyk26+vPPbS9f8m
7cyW41aSLfsrZecd1ZgRaLtVDzkzOUickpJeYCmRxDwHxq/vFXnqXpNSaWK39cORHUokgQRi8HDf
vrZteh+Mx9/DV1vnSG7pKljnwmeTwGlJYsjAS3da1+2nrMfBLv0Uu/rNnz+ecemZOjrpLgvjFh7r
2RJG2DXGMb97FxbOvdtzhseJWyXc2CrLr7Vm3aS2uUl0ZyNgC9gtq2xj0WnVTVcxokAgVfhZWLhV
acFHI+vCIsQzMHTid2HqLifCX4fWqJkjLn60/Tb0Ac1x9Gg5I2tAcCNjed31Xw2cCBduAiPK+Gio
OWqnPZ+PaunzHCBh7DRn12YDwXkmkunOd4BL2DT6kQGBtaB7Jet6OVxJmG4LGjTBNUAiKTBf5hOg
Ks4xVlTebkMfzLhDxbcn4K0waAQUTGrLoPd4zFOINewEeMsz7UmYGWazojMOUUjVFZugLR4ymyby
URFkTtAxqYw3Q7pJ6BPLVEfb04lloNVi7QzAi07fDhDPh50E9IkmclKt4OCG4Ztsnf3JjmUuddUU
j8G0sOol7GOQHPF38noo30bgflrZ7wBx+UvTqI8AnjeVOgZ8MODUJP3twQpfpWYM4dvnA25OYLhG
NgvdNGjfggS9XOSs3WmfN6jRaoAogdPtywISCU1Tr3TnrK2q/fznm7g4ubAcoHzhm/D/zxaS3K4J
HsIy29HTiaSKj62nxpPw5AeHtgv5Rkaw73LuZVF3yfX9OoLpdrOKqi6y3WBRdEKbKDqQHazTbd3v
CaGeYB6gBweXIS0Hmzbzpgn6m0HMH93I75GKytAblIkEyU+e/q83Mic6bcSgWXdGC/ei44/V2Gzb
8Jjm0xdHtXKejG1q5041wufi+//7A+cp2GzottD184wc08Dt04jVbEqDV/W8G/RleRN8sFibvx+S
SYKxMlJnIH1vns/asU0LYy5ZMdyUEoMP53+RVRnqLO8+nfAscVmzEkvu4t71F4NklAMkx+t02ph4
GBFLozSHyDn7hLyqfBfb/ksOM8cMMBsYkQe2BgKnj5fhS6sNNhS2QdnhQlpGuI0A4denKDu7vYah
t1ZVRx7lEq/5m0n/cNW/+JxMC9Yd2AvxW+Um4yF5Ltmv3TR+0owOJHJaHTvSpiAhBcqaLP7eZd9t
wC+DBq5qICJ1631cIID588Dw1Aw4Xw54URR5bcPCnORsn/M7E8BTWKc7mozp0gH0LwA/QKDEtSqN
0X7RJFXK9nNENEFIcO+LdquLr56wn3K0NeXbGNK6Euf9riVcStggQU1jzjjzR+9jVTSMzq3jB7eT
NJ/ESDKjYjDoVnW0ZXrwLfmYV+XRH/WbClA9JmD0MjVfG+Gs6xDLKdooj6SqSUH6T7NRP1jQmnC9
UuDht7ik2B6J3FqXpntDj/FDb4GAqbzmOuos8BY4/eAYGXgewFP3pYg55jLsdRSnow7W0ryJGA4L
zEth7Xw7/b/n5rjT8pSrmoxKVH5P9I92Vfviu/fIsLL+0dt3Hto3QatSCjk7W93sC2BLIu33A0XO
lZoQzTCgD4qmnWNg/z1iEcaTTnzjKWmKYxI2P7qovZp1+0mLiTLlwIJdN/UjLI7Ps90MhKX+Mm2i
H8l3wwc50kWIEtzpMx1euxIWWao4U17moozW3NeewSUqp132FrpHtRZbHv+kQ8AHL1XRrdPTSVCG
D7KlnuVpH2wDlwIMQ7c5RtLg7atj3K+rYuZ1YxIDENlp0lgYY/EQjsEeuz8jrJ/LZjrqFVqdILv3
y+mDM455YQsyWAxV0Eyx1jqP902DWW3Tvr2bA+MVXNsXYP8Hz4jWtV88JtW3zrB21m56c1VjmYNw
J/qil95NGVhH0cvHogaoJyqqfpXKVG3bEQGFGRQb8j20VPnyMWqyqz/P1UurKzktwyXeJx777djd
Q1sdm7Asd0OCos0rruqO/E4+PDZpcTVX6V4fvI0V0aGFSnMquDl0JItB7x4ziTrCi2idiT7h5vkj
Ge0vudBfZ1hwiXg28umYtvoHZ6qLr9cwKEtSi+FMd7772pqfxI1oyx3tdHe1OzSIhg6hrK51Pb4P
CbaKbFxPSbidhPOhr9CFwJprq8yzaTg+a/WvY4slb5CtXTO2ME9ZYgTPALNvmDVbp1w5WvJIZ/0+
mvXXKtNfyVNvILZtiyG4c8zukdb8RSoFMmbg05Ze3P75TV467HJzHGcsYjBObmerbo7xGsB53uQs
yy/gxjbT7HxJHJbLMPIWnE9v9ILcUug4d27o7+0xPHxwBxfOVbwZ3beEywFLnIeBlWfHMi/ILtVT
/6jez+D6u7AFYi6/2H7/iKv1oczdmzEVd3j2+ug8ysT6gkXhq/TCexwovxRA9jW8aukp/mB2XtiO
DQtVjW/Z7Em/Ved7+JaYP9YFSuiOc3X55jj1U9YygOKwvhdd8VEx+NJgsbDZMh3DNDnunQ0WRkZQ
mu1c7MgObBqc4Rp4JgvIq6vKjR6TaOIvxw+ms3rHZzsv9XrdsSwq0LbpqxXqp4N7NQ9jowckr+hY
fpnRMY70hnvyNiyLjxLf3qW3/fO1zsabryVpYtsqUebDx2rjgAZTA1IXJxwjPtZjCYBNIGu0rW2k
13dzVXo04YhrMflMWndFy/qTIvrmtrcJqec11XSll/YLoPqcSj7uJOCWsnlbKb/cwdOvWq16oiU2
AqFvSZK1UCSuveuqa55O5GMkmjnlR9h81ZtdGDt8l3eJ04NdSearNjKu6sJbF2X/aYpfQ9Nb+22B
ks7bC3qwSbmY2AbKctrqtX9dNf2dnwN90aZtM7cYP9dPKQCfTqPVlAbQrL/N++nK6uhSq7v3JJFP
fctdhsXdWEAwyYP50cmolJg+lkYlTdrL2ANhk2HqW30XV5FynC1tH+ZLoH/ByuZr2rq4F3YLbbKm
JSBtf1z1OiY5FkSaTU0/2olw6fNRNjYqSbrx7L2LJshLwnqTjyil9fxYIc0is9jigyWv53DKYKEW
7CNujZNPyQgEL7C1LXw9hR/Ge2YwnaCUWrZJOCDclANsOkBRw5RgENGlD11OkGj5NmCQTM/4FYq6
jywRVoJzF41etIUshGScDPYCE4YvGGyO2DhY2wJbIKFV92D06NFh1M+iuAd1vrIq4jFPH6/agq3Q
gRqX0i/c4x3kp28+7UFe3D6JQChLzLc+Lu/DprjXWomWIkDzZNPSXv5ohfFiZvQtFml5SMYrWIYL
zwV3S+HgxQOOFFQ0eQMp9qNd5PC70uBWx9SqAxxgRc5GaldqSIxufe9P3rVwJ5pIuUm1DgBJ36Jv
3Vop3MMguhni7kvpheOq6Kbtn5fLi/PH8DyDxcFCtnJ2YHXrtpaTy4JktsGqcVmRMcScKhwvUAnZ
k7vuZv+aj/jBOngpSCH/wekVMQVapbPLOtEEQyXEbVlS/jF0/65Ic/L5xQcr0cXtyCHCtKjYUkb0
z65jIw4CXu8Xu2Hyd93Q0RMFCT6nW5dsSomcblHF0b3fmLcxtji18XGkcGnFZ1P1XJ4xWdjzg6Nf
5XVeDQ4VBXo4shrFaYf+fdDcG/76DqEAhz6xCML5gcV/HeGpvQKJeKM3AJIFyUcMaW+kbD6nJpZa
wr0OcpMKlgMsOcCIZoCcuciNginYBrswK17LUD50UbiHK37tTz0wBdymegeL9K4gmx9iFBLSQJwP
3Woq3SerAwOXslx2k6oRZtrSbKCVRpPqdNKno1XMO3yaEX17SwOn5DzSEfK/mm2KMKenAR9fL9zJ
44e6um9EiYbdpmlAl/NRvc0SMhj9X2O6Eol74CiV5pgzVxP4rOS+gbcEuZdI5FuAG+zfFbuIdcOC
o7cywphETZ/cCoJUvAoScApkodrckysz6bEpb8A4GiCEM3yNsfzAhQCBusyqNxqpAJPqsLnHHiw/
woghtLE0kPZTNWJdOqH59yoZgnfw6dA24FBQe/R6d9/qNFFmTbjoRnps++QwpxX0jVyJxOn5jAMu
oLCCf56Dl/ZL1+KI7qN3Y6iqOfrTfhnrrZMXaV9AP6TGZD7nbnY9Dfo2NbCr+f+61PkRra/gDZcg
H3eRB0mxgC9ckGMHk7gcpPbBx7oYJbucq9ClIEfjOPfr59Jrsypru+Fzpbs2wk0vLNbRWG5U3J4Y
01cDq/SZTnZwwx98zEtRD1kaUlKEWpzDzqIet0FWUGQsLyNlXwjoeU7Li5R3XuRfGxXvl6///GAv
X9Ehk6+MTX/LNgCnRt0Cx3DXJA0NYM0TVJmjEUwvZda8SfYQqE7rP1/ytHScx1lKH0uuE7Wydy7+
mdsKqj8OCrtkzKKljclhj8aRZksfo1G9WczSfWxhM+EFN2SPQjzhgI0gZiJGaAZV6ivpMZf3GhtV
S7Mrfaa5JCKN560/IW1wtBLqBM4jXu5cp4jeSHQFNMXNV27lucsZb+YwqOTSE8y3ga40vAbIbV/3
cHRXzJXrOIYvRfG2xY74sclojJMw4XLf2pW5+Tz69edCK6ZFQCYWQfMqkhE0YV9LVyb+CeRmB7qO
Vfd53QJNQgCISVi55PRZLOH4f00E1AkHON6fn+rFUcuYtSgFUZpGg/rrqB3GAK+0yM93Q129ZRPO
xmRSgvkKfN2daa9lt0rod5w/SmReGkDwgEhkktC1fzsZtL02RZXp5jsI1W/JzOvz5/Y4ZfKYKw3G
2FT3cH+e/vxhL+3+VJ5QvOvqj1N0/dPKo/tNiiAZ8mHKFlKCq1n66LTU1t+Uzj4RxqesrJ9UfPLn
615a8X667vn5OZntrC8dPaexedwKPOrhDLV3g2m8NGX/t6nzj/F/h2/l57/nwz9+8uH1L2SocSF2
EYlxLGVVOEuVy0Fg6IEp084qkodx7IdVjGw9JBtrNpnExqV6dzBzo/o0byc9opddwMwgb2jwooOg
9RZOu7PC16yEfuS646cktO5hVY55AODUyhD5acZr6NKL1drA8gLna4JGcm2ayPJGbPdaGINRAjjH
mZ9lB9JkTh9ZG2H3Qp7aRMUVMS1t0XSbtHRr49z2cmoucUWiY/tE251/l5Z0I9Ua5w0D/PWCkxcJ
45JYXyuesNloaQkh7xwY27B38LiTLW56GEMipVoXzvC1n+0BEziOPYZ0tsi97gI3hOQ8AL/E04Qt
WMKYSJehCUM4tcZ7O4v2Km6uG+tFEBGPLWMDS4V1GI0vdjhjgyWfkrK7w+6hWnupdj2mznoAPxtr
0bs2N9PaieQej1l55zQRblE0v+LQ+8EWc2nS+MqAmsIDs/Vc1JllVYvusiKvXnG6Kq2XHhyF1O0X
p3KuKfi+SCzKPljpzUuD10eTQTeER6n4fDxxvgzxLWSBcDPvzgR4j+w2MFdGu6wh4cbKHcpQJbg2
9ndukGBpmAd3Y5wkuzDJH5uOsmZlUvbNce0wk/ciqL6gt8fcqp8VWiK9hsULL6EDqA42a531tAAb
DjSIP8/BC50CNj0W6DxMlhtylWfzItSmDE1lBvMoyDfop+hw18l4j41xZ+d8Kvy3cGWnqU+b4K+n
WoTZnu8jzJ5KMuQhjYiaL7d9xyosi0dc9dBv0eq0xbWATlz47Vh6ZIfe2gSuBTy+gngpNQwoMl1Z
Q+v4vsZ9tPvzh/rd8Rv0I6IBQwVTgvSPGjE/rWi+O4lcmla2G/G2r0mqg1ITT7J0+2VjjhvDD6pV
mYMOz03jKYKvwBm+oL03xBtEFuk2TjkGQK0UkfhgHbokxEC0TelIRQneb4nZcHTmKuhZbCsR3XRx
dtSy+j4qaYx2bBqRJR4nDRzv1hmfgD9+ikZ561D6WvQBJ0/Zeodhk0fFm0x5UVDqkbnlbxNuBd7A
r+gKcY1pDWofW3v/4JnqF1ZQtBFIBRC4Udg5r2rqSRC6pI1y9NkNRkop/X7dxLIR6Hucn9GI8HTH
uYyvhmjvD6AHyiSdb30ddsMQvepTbX6igEZ1O4MYZAXKn7OrUb0Z0zGcmS5T9h1/yGI9FPITdFS4
Jzgr+hU5jsJltjhxr60SuKr4djLZJqjjjogfWKwAVBalt8tS38Ztt+AsJax9aeKQY0XkhVXlC25K
tAegBqQvI0HR94prGrzRp/jw0tZWhNbQ19Z6XaE81awH4cQvBTKkhdXZxmKoiJWEJm5S/4c3sAS7
SfcaOvoqcIhmin6HkG1Vu98glr6FQbgfQ9hPYeKsQqu8V/tJ7z1jg/lNBYUys17apnkyuu7VpNbX
83UfmwbVf36xpcuniJh/GPorv5IUyKNrqPX9KoyH99tAt+58doPQTtIt2UJa0psayxTfu8cOmeMj
RECW2B7mVyV3c6a4o5P+rSinHx+MhUtDAUGapSNa4VB7XlWbKCZkrbTy3ZiUGVhIawHe9yEP23HL
eY7nE/v3va1h4qnWL/ps0tz4QFlyIWihQVCgM3fUjn6e4MXuuq5zFaD5Ja9vyKqD64EY7v2aZ4Oc
dOdP9Xqmj3QRw1r+aBZfWP1JlVDTIY1LhHiefS+osXdDHhe7tMNEsiqSnV3CMPMA3a+smvaqkmak
G+E8OsyBTR5EwEPbXVCV+D5HUmzNIrkLutq8siZlAdj7QAjx5dKdq74bg1tomSsMk55igXEoscWW
qIaYsGn+3sX+1y9hUfvv/+LrH2WF8WoYybMv/71bP6z/S/3E/3zHr9//7+1beXfM39o/ftPt4+bp
/Bt++aVc9j+3tTrK4y9frAsENdN999ZMD29tl8nTDRDXqe/8v/3Hf7ydfsvTVL3966/jK88eDDH9
zj/kX//5p6vXf/2l9IbWT4NdXeE//6w+47/+uj227fFH1LVvUrYXfvLt2Mp//aW5/j85pgvOeSj/
KXKS2RreTv/iWf900PNYJHtoDkKDwt5TlI2M/vWXbf6TSUN4j9abwzCSqL/+0Zbd6Z+Mf1If5JRK
ycRVfW7uX//9EP4T3P792i4Hu79nm5S4keqr4dDsop/nu3xrgu5aadVOb4a7EtdA6jGUxypyqqKk
t1joH4VDl65oUlGk5ktT0m8JxKywORGOBgiidRtYPUnW6pmi9WCT8x6CqPsgavl9+pGsdFWJmfIX
/W1ntYVQasHcVGm1MzIMe2nZ1LzpUM3pEW/iw0+v/8LB4cKlaKyh2Uqtc/pvx+veywwfM+FqN7Xp
e5ql74EWv8d0aafh9z9f6fdsqMGVHEEKiDHw21uT9Fy2kTNWO/JgPi72dY1cAF5zOsYfPb8LwiFS
rgbrFgJYBErnBbqw0nOMp/lUFhVzyuP6QeCyUpFZhCKNTV2tE6yLK6OReE9N9cbrvTsLy7DZ/KhW
+Ps6zp1QlCI5ZKFQOU8PeX0uNOkP1Y4z/0YnPe520wO5g4OhTYexGh9a23sL4vCDEXQhROS6NKJg
d0lGGLH9ryGiZjil5RklQ0hLrxJdXpleD49qeKjl+NB0Gkz+8CYp5gMZhgDAKwBIu0G4ODB/bDa8
UbhPiZt+cBS/fFu2arI7RePnU9dtys7MoqLaSbutsYR0dmxrSr5Fh5ouJOayt11T8xcJwCgdLzBZ
ZvdTqng4Xf8onAmPYZC7bvhBqv7iayKHzvLEAYvl5dfHhUNIN6HNr9CL1s2u6nEubrqeMIwj82Az
IzxSQKb8Skn+Iw3PhfQ9r+qna6to5KdoXhCM9lqXVbvRsT4NOlt6F8KkCkd8Y5rxMOpYDOoJ6AXX
/R7Hz0WDWfSfp+alReDnOzjPBqV5VPYFd0CvB1b13nhwx+Q4lxooGZaEP1+M3q7fnzaqKSEYl57P
8excnUtMz35fVnhR6NXGq71rt0zfB51WxUnvjQ0skm0NpDiLnyngOxiRAxTPxPDggLiQPnIikvbX
gp+ZsunaDxg7Fgz8cfA3VasfMOyALN/fhXr3YFvdQ5lsRpxGCc7f/Tg5ukZr0Z0zHuZs4+MlVYXb
zs0x8iv5Per7O3dS6J2lOZRwe6zHaQqWVWnOy1bchMV8XbsM0DTlmxwJ5tLq7ooZZwXPAXaIg14Z
9O1pQpGEebBtF0NJ/AyNaJcZcb6ILE4Rul/celGMZNQ2QLFOx6EdaagClx9a+6Acr07mTwVOC3Na
fJaewkpFykw0Jxxzo/Qqr8PdFFibNplB4kMJaV/TLjlmYI9Ti+pjj++TjY1ENfRr00/ecyd7LzmG
q/Fk+gxhg8oUEI57y2l/CLUUqycDisJcRma7qQYcvEfzh+ZRL9T7CJ/SGJK2d9u2bbAY+FzG6O6G
sX/CoWXtOO2q4XmeFg/pgkekrLfQmkpbjlN+NLgmoR2aL1a8wW/4BajqjRiTTL2Dl8iHE3i34HO+
6HoZLYCaoHqRPulQY8TjyuO1lGOxnvJy3wUsYOrxB07yPqQpPaDakyMx/NTK/L3JW5QO0TsKh1sI
GLRHTbmGMyf0wh6yE0kve+SjagNLjzPrB3jrd4n/NgryEo4YYEixT5gz51CAUknl7+sI8yPswxYB
NbZFIOb70cLugk3YF/2Dj5VTTtY4Snt+3m/99T0eb+wuVXj0qV0tMJYDHvpa9+O1rWdHdYliHh6i
QQ20uNuo62Gl+025CfladrRmHZ8inhTBz91Yufjr6AdtyFYax920TI9Gkh97jw4GazzUWFhwyFuI
Mry38DVZTI3xkOC8aeuSMRU6chmE3X2aw6zyLZh0E33oC5s0yDorb3qI+QsSZ9c2Br1o7KbDzB0t
i0hilBhry7ZOjiDmtSW74yc37N+EyjGZFi+rgQuyrdO78i031sZnxwMYJAt3z7y6Od29l/L5RqN/
UPtuUuNWHR/NSkClrI8DIKZhwqEXtRriBbLcZDpAXugHNZSpmTCVdfdO6wwy+0G+SwzeTUygurXr
ECu1/mDhOrjB4bS9ShP4XHHR3Ngj99ZlUccflPnSdzdoqg2WzCPjw8KyhBaU03CsnfA9URN3zhkH
jZbR6Bbee7Iwl4GnDuxqKRFx9j6448HPmCvljuUWw87hcDprGxprMdpCjNbwMcFEiMOgD9u6J46w
MYjjq3Q7TY/tTEx4WrZ6tdUjVlwOI0OoCu3lOAJATOR0MNSLok1N/wEhtI+RVc4IiTuve1h2afSO
Uh75rc7SJ5uQUl767DXpEfO5XR3Lb0687yfmQM9wMcL0iAZAovyDX9WxZfkDIfAoDPjO9CBsT9/g
d9sQJwou0B+E+qBS47ZGl1u3EAssDK4SsA/h3mHB+IfEJabrcZI30LFLQEMNzW6buRmv9SbWVima
UL3j2fiz1m0Hfef4/XpsPBOTgXjcDCSIobqG8Qad/60AI4ClgHlwMzW7XGiDasV0ZTctnYqZTpkz
XzaGRNgiDXw4QLWXdZCtgtvZCZ2bVOPBVEJggtMz4O1hX5kt4P9o2HNOvvIkq2hbqW2yHIMFirF4
g73aE3Mr3iauhlGWJpambG/rCQAubtQ4hlX2Y6RcC7Sx8tdZlTyPYU85qLChpmU8uMzQ1wku8wxO
npU7TAddZRxOA/IUvGDJ+K62Az3P3p3QRajGo2GJkxIoHI1Hr3Wgoz0qlr1u3A+Bfz11ySYbFAjN
BaT59yua5Evn59sxD/enwY8OBNXs3upAzGvK1a5IILWQaQUUD6y+nQDokbhZ0gFF90Rfrsupe+sC
OuKc0n2sC3+6GoLkyvAhkcb5rCuADS1uXdBurLB5rjueSNjGG1HnN9LXqNbXxne3g6ofzCmgQxxZ
SBGaNf7RtbnSFZXJCrVt7ZYxLxDLYocGYeHh4BdXihY5uqqhJdx7dCRTS2Me2oFcge23Fl0y05oM
c5MGjF0yA8LQdUyja0NImo38q7igUTmSNdacXrRkIpsYE5e3BZItWj0I28X0VgtJayLr1sSeuQj6
N1fPi3Ve85D6FG5chvliJ0Y8ix0u1rOYYzcHgyTu105K5ez07sqMOdTP8r2wD23TfRrBx6xk3mAF
7ZvHNKJzO8VYHmJnvTLRby+jjNeO0uHID1INa+Nt4eGrZ5P3OsVEtjn+8BOHQ5Kf+KtJA3WVQiOt
MgWgdOjBdiLOFxAJV3ZOwblTsWzQYXjYvY16ThVaKMd3iGd2+VBI91CMTAEajR/nYrg31VruuHez
7oCxbZmi4WApZ25Jwy2vw+kQZSUGBNAqYC6by5i9rWqdw+iJt2xk2qLkfCaPp2PXm2BoMOMiS9VL
NbPwf7yVbCXFeFNzPNjYFVWbindu2aG5TMNhI7vuJgQGtpJh8STdKl57AdVAN8mbtc2+uJonF91j
eNMi3GSGExh0zOVVgVjppsP1e1E8mlL0SGxd1vayvTVn8WPKh3vDE8N33GhxPnP3YTi538I17kKb
VmoDVRb7pu+tasfhG8f2If4i2l6/zv1kuNEEldk4C3A2SXBv67e1stML61Ff+W4MNcUM7RUJUPgq
UfkjJjHGVkMKsSDjGRsHH+yqi0f60hyz55itdKXHG2+c66upxk8BD0GEaDiLMaBBA4xKxZWLEiW/
pkOnrAGympj2pu5VE1m3ems+FoML7PDb6UwO2W0xFEClO28r2sDY4IHULDPrpiAtt2gc87MzNgUA
xPJT6sp462hiV2HRhWgFmQAOm3gOiQMGguWVVNKzFBZnmHefdaPnmz3okjjCX1OpuMYyo97Q84Jj
hZz6dYEtGsg8+aoN7h2iFyQAptzEFh7dY5Vf05JXMynSBx/Vi5MfxBACJFQhQzOyo4LA05ZVAKs3
Kt11HvQ0RBLmOd4PObJ96N1gbOSQopkoPzWWcRN4Nj5nWkMqOlnpGD2hwbe/2Bok7wkSz0ILAaMn
IQcT/BSZ+i7zf/LtXZ+ngnavaOtZXNCvsUueK6fDwJ0toDeR+yNchGhJQ3RCMc0n5ztPeE14U4yH
BX6aYZPqq06WA2c+wI0NnXQwzwHFexOQXwPXsCns2JHGTTe1/Vb4zad06NOlQ7pwVUh7ZSDEW7ce
dCW9779SrcKbYh6gCCLHXlgCcxB6Prc+dVJPVDCuvQggXJ+sWx1gbTsA2wsbPA86Z1dqAaRLdhj8
LIJp5Va6soGlDolh2trQgu99mzKceKhLW13dlXIrHRz2HDfCCdXbMwez7Wmno/GbQyYdadJtjWUw
hjbmr3O6DckTsJzR4lYUD2ZtQyTIo30sQmvX+ViBsitsR2Dx4WhGtz5SfysIn+G25Jupb79ntQZi
M8ROGvXUtzKT/trCfxO6GICwfpMaLUGRjMOtDWRbSJeOrTTecHpzsePsb92pBaKSlMossl6gZClX
XjCudJPYYO7ETowhAWJBmG6Ahi4MBsGsQkr6w3oKZPQ4c3xA7gi82EyDhZgI0zXCZAdf8cVUZUe1
Yf6dXaJRhlaVNCb+SUqGD3PdXlDQ7LFrxYIrJITmPcE36hfGrF2XWs3+bhJnuTonM3gk+pCyCCp3
9FPYiv4NcQU+G0b7kknMGQNOM0kvq02TD59H34WQ6vlbDHq5U4sXNGiLlBgP0CjPZLbEE76yn1mT
XhDL3Z1CXam6VoSJ90cbJwdTELyliM6MRVOab3Liczd6fcTGQUXKZWAeCjCktlnRx1jo/TbW8QWN
ta8OaweLYLAYA3RBM37Q6j8gBaBwm+R9brqAID6BYp8FnzTQlgsAF0RBA+iNvO42JqFdUxBo5E66
MmoR77SVJZrmJhIAJRCsVnGzTGysLHr8iGaL6EJ0nO/yQFsHQEQCT6F/AV5kGq8xUYetTuVaOvUU
IoGvWxd7z0GbfKe78eAkDa1KVno0bZ7/MLecODmnkS5O9jVvTCYYw2ScSEjw83DL7LPXj3ez5zzm
AjcQMoeVKvIlct2LGnM5NcWc+eCwTy8rSNcl7rxLPJEeHXUMAVLyhISppkk+yzaGaLHOBTll9Xjd
e3a+CWsxroO4+DrZqPo5X6LqN2gXPmVDQyVlRddMuJfyx98hlYRolLDOFRy+JvwLF1UbLP2ZDVUd
S13pfzPlTrMB0MbUvU4jNOyAGNF8hJceDhkVhhMNSr7TbXfCpchnhMve4LTQ63TUW/onF9DwijJi
tsQ3XaeRyXtEHrhLK3ZqIGgPVu4PKK+MXWgND9YwwVQiOO48HjyRPQe0TR7H7xo15nXS9Q9pTdyT
Z+E+zMtbt+w4mbb99Wyah9M76GIctJQ8Efkv96DW1aJUZwt1Ptaj6cV2p2OXwxuvmniCvuRjTmjR
zHI6JVvZvBs97Q7OqzIcJlk9Mw+NHm/e002Ybbny1dG2cHOAY3BcyNJCKuewWiXzdec8Y8naLLQS
yxo66eiXT0GXTVB6C7ympusslZ/o7dtg2LpH2ZMv04LvUL9aJRSdsP8+lM+2i+NPN2WrhDFSWNFn
n5QeULxd2YlvVe/Qw2uMN7TUsWV48dFSR3TMJlMdIrBKv51u3lB7TmUzXs2cREXC3xux+S5dMMEl
PwmQlDyv312ReVbnXYxOWgZ8Grt3QU6+xxivRW7cI5cHfm+Nt1bCjqk5mK/lK578s1owugKNAh4N
OquNNxruAtIdg5THo9UcdETW3hBoEARz1usEkVX9eMom1yErXeN804RL8szkeJnaE5Yh7p0pw4Wc
ceLpmdPqUN+XhOydQbUCL/AbFG/sALgjyQCiUx0CaVcuc5KTMCOYnwiteJ2HW0Mfl6dZO6vsGIX7
10oirz2NeWHV19XfE20jQON37bd05ACiFtqKprn+tan7B7WUqLcazd3OLZ0jUrpjYvwAT7MMWzdd
ZlnBMqN9mizzFuzPtJpjPrZKQfQtsyccxwfHe0q76Adcsbkgq9K4ZsiufkVRFmSzeiZ4Z8Pp/KI+
pqupnDKLYiXdO0eQzPRUk7dKXHYtri1ErWwkzyazo8aFdznQQb8e0S+uTrUBS9YeBvewcoOATmvN
mA+11r6PVfZAh/NmHkYcHJj+tEJzuEdaNNaltlQFDASXIba25j7RSXr1xZcJM2WK45w7VMLHCaP3
ySarQTOTtsQ484pSz9YgSPTU0D79EVPFM1Co5wDNa4ykFwBvEcG4d+PIEGxrCkwULNbuMH72XAwN
TomF6CnDDhiRn0AfMzDwwpgDuPTBeVcMcGPalGYGfYJIoOsM0GwOefaUrEeeYUWgMh6Wnx+xRLzr
4dn35E5cR52tGZXmiJOMBqK1JTk3ntJnyRaHWcjfIrgdIFZOLau6z8NJMIxSH3Fshu8kD9d1M6yz
DpuWziDwy438i+yN29N8kIHNK8SUsIw5UE0AMdzcfXVmGtbTeuLKqdwgcMSM7wW1x05IbKcoEDD9
Wu/Jwgh4dTpqB7RyYs24N8gx9iVntmnMcOBkQKvjPft9X4fvbsjC7WQzrtAci1yRXjVD95Ahipsq
01rDTyI+MP4Pe+ex5TayreknQnXABMyUJGhAplFKqZI0wUqZhA14//T9AarTWaU699S9k1496AkW
CDJJJghExP73b6xoHw/IP9cVtQSF3SqtaIXK8omRoahwfkNZfXDX+ZGGC75T3NdKY9ZNAN0KeRs1
yqM0ZjSwI1ZvBXSJoYoAp2J+EJlzSdZk1MYMup5aTe2SitheQMpQH8nPneJT3Q/UoF7nEd6WvEfL
4Z3SC9Lz4oj3mnbQKZAFlIfYZjVZdKQZhe29QfyOXC23hvS5i0qCiVqGmFzm34tm0O+32rNYbD9J
MfzKW05RRw5q0823MR2ZpcKeiIqO3Ekari+Orlgx3EemdW9N6nVDaTSNf7rJk0NdIXy3heueZCL2
Eg75vgCa3CY7loqZX5PdlEhKY0wryapMWZ7Ozncndlt+Ts6jCrGUj1P3h5tR8jYK2+oqJolpBcSq
CjS6MTl3mYd+NmeNvCu8xzJVDt63yeu89gIqjx5SrBe/W5P92qMF9lyPNAVQhMSMX9PqUc1MIekC
orSUn9qle6g0Su+wxJtzziUDKtMbgggNQmFy3WrmAveu/Ta3ZTbL6M6xf9StRoQQYPWyQlOG5MYs
zMxhxfgAyrCjWb26l8MjjLyjRm4iL0mZs3r10mC/6RIvrLl4mmxzFUZXO1x2H7bV3PaPrv5Qh0pa
jM0UeSCzylt/dLPjTS2N6EqCpiOUyq1bffVoMBKKeofY9HMoWW5XNAHCKP/iJJV7MGMzBHIgkW09
N7bFSnKsL2UR5fv1qp+ypzojdUpzc+7KGvveYv6MwzWLOye5X7x3I1Hf/AAhIT45dWhnG0XQ3+EY
ChgYNsY5KVSQ8q8hH7wIt6IoaObvoYlViFVUR8rzEy7oDG7e3O9rT32q6i6IKsLv8PafXC4tWeRH
RXByXH+rcs0+xvIhHMqLJqrPS+RilepQ64Zde2utqLoUmaPtGC6Hg5zz60ia/N0khv79LNSzygZs
zOR0xm1fVpp3XOT0VHmx5jvAd/tEIM/sZ7yr+lJrPrbLcUG5VIati6+5Wd+gj6YPYWmRzp0f+om4
DjHU90OGb6uWD2Q7GIN7tHv8+KqoR9Ja5+0x11k2pP300CamuBlYJ8VDvByFS2euCsMBmuH4oelN
+6LIvYIITmpP/1KMa5Kp+yyhYEmFuqGttC8d1pFgpFEKgdL1/EpkvytI4qexX6OPwtE4WbJ4LEYX
pj6Gw0923XfHwpg68jfsLkAv1gUSfcYlHQiFMCYn2Dahzl7/uSwGPeBaIHR522DqHXTpzPJfeBpA
R0H29DBX7zAnsoNtA7fGDiR3zhhFJVH0FW+fFw95YhPIMmh+5pr8M/oIfhCDF5NSzg1TRx0IIaMd
OcXGwYZvfmzz/FsrNCPolfhcVDQU8jTRfehzRN2Mugq2DfkAn71m9nzDrMk3cOM/b7ZjKQ75flxn
XxNssfDzRBvYFFaAYbQVbHu/PDSR52Ov2wRJWRdXdIk4KXk4FmtFKoK3DTHJJJx72N4MdQiEU09J
e0kJZy3Dypfa0J9NYtG5++uxRl3HKGAmtywy36sxdo+j1x8ncyJaIU5uqpuNYNuQ/m4GDT4VhCnl
sf/2BJnWqZ9nIBq6ZurBtgHuN37u4eoC1x/7QB2kcsUmsfLhbk3qR4/0VWYB8dRmungq6zQiVBxo
MA7tS1wUzi0jlcm0G/JhEShROEIQ1HIRkZFnPpXIa9QkqvfCblb90nRv6z3hulmeXgjPRV+WFMRa
u6RNu0VjvpO6Rs5nLCrfTuPE97yClBNdtkd8M3AlfJq91V3E7big1ocA7fXjyGdsj6ZREpRJ4Pth
9Ar31Pd8nYjs86fFVNXTbCFCcktwiu2Ys3Itvd5+tLSHKSOuZ0EWWqeERC3JZ0uU+UMC3RnyNPaH
8QC6v1iZxUTEeW77lYG97coi/o7Ls+HbTmtSAugm/ofsDeuv8Kdjwm6PQ2R9ckcyibIxJBnccD5r
gjjaycvqq1VgLKfIXvES4jfXzbY3DfF7gLNlh5kpq69WTEFk568pjXY/o20YbIe2jcgI3932qqYj
4QlbEqT+Kr8Y9BkMMMlAxl/4gu+ygavcKDsifHPrfn4H1Z+UiXXjzvM3piP8yJ0lJCbsVI7Ne6l1
WO2X8xlnYN9Yb2BnvTu7mbzK3kpvtWojLr/Qd7WiO4K43+Ssc8SISFyuJSF+073TN9lVovUkVdlr
9glDzSGu1/Vp48+dHgXNeou3SQNtEh8iGOZCv1jJO5WkfTBktivg6TLa5OtAU4Yl9NzeO5lWnZJI
mJHrVhmYKwpqylM+GfexS9iJOxrEhx0rJyPcwmyvvNZmQQfRLlvfyhaQ/1PlPvRpF18zDEv2yYJM
eFg0wSKi+FbXfPZ8slaXlsFq+gBLyZ5xLWONse1CDEcT5kapDxRBRHSYWIGDcUWw7W2b0Gr+eJjI
yjgqz2Xm7C+zU81khuDQE9sWHzLGf+xtx2T0PEYITUCPPea5CXgcOSCO2FVS4sDgdr6hSQvef/tl
1jmticMUPQ+PVZx8ymMksObUEEbSzGc96p6NzOGXx0hqnoWfcTEDPIzRLUwIGe8JisUDrLpVngSk
s6OLRclT5MQ+JpX4GrrWKXWubSrO0JO/eHX1Ee+437OJFaM+m+eRdSmVr5EGs8ESPprNZ5mO9OcS
WKiLRu5WAYbRahq4h/VFGGS0D0NLDkx41zV5f8ojo/JfTcKAE11yz46uvMSzgXOsA41MRyxoO7C0
sxANjNN+SqX62truVwqTndQd+MB99HWqw5fZavaT0z4VEZYsJWpgUNNjpMWX9R8QxnhiXeZyS0yx
eVoy1nrpzOK2x26MVbLzoYvHAyDLHk98YkxzENSJsa329rrp3K9mVlljf0ly83Oz8CbNEr+6E9Pc
2CPWiIEadal+jyoSpmTsfkBj/dV0uq8mPqRtvfr44aIfsYJDcEqesmo+jVp2W8xgqQ2acQb9XhvT
fLkUFLM4yNxUmXxiFLrLRNxcNJ32lFNXJ6PvH426wpx26snLJGNVYRHnm+Rdgw8zwcG63tOLG3bN
uwmlh89qtrktNgg4rajX1BimnyiPpZGqVorr+m/EayGQk8TkEMUKIZEVdb7160KvM0i0OOPi8E4n
/LF3KJ82RC/1otcVCpq2ggoXkD1e7fvOIKFnyNQ+lePHxiPUSyKRSaFbiC6kgDT3kkLH0KhbrBSt
YeugY61H37Szl8QjZZXFItghNTOkfcTpxc4dwAVg/bJqhErQAwvlEOWN2tV2Z6v2/kHrtVGF/6Kg
8wRVAbQmj66gqVu/8IvaZYmsvgW+Mkt5LmZqlUoXCJIXBFf0SJxKfWWlF1LG5ExnCnxihZo8Gmq9
oXZenEq/ZdUNQJHoO7VWBtupjIAZLQzRzPESGZSzLHlWWLi9n1KbLrOkuOxD6u1KwhiZX22Ti6BP
WRMK54zJUIXRQPJSprZ+bOvPKJpeJkk6Jfp/oIP8uDBcs+RPyTvXbjY0lv9MQtJXQtffTgocUiyj
MF80tpP2J9KVExnR7AKJnBulf+yhEzUZJev6lZLJvUMUtIznyGsO09T/k4eb8W8+G400Se8WYmJI
sb/IN1prkAqoPz9Xa8dbhdRffJAef5TADJoh70tjfrJhi8yT/hEl5sUbx2CtwmiLkn0XYeCAUQDr
CFrK3V2Te5fJAvL5z2fI/hspDJGecOQqAsJg52/2L0UzFZllZ1w2Lt8yRhmxd9t23DEMU0zOK7xW
6Nm+stFDRR68Kihj9Zi9rmSOBAdvtFl0R/rcPZZUxHANXsy1lnNz2J9OiRtSo15yoEKuiaNlsCiL
0vhL2SYsbh83CmIk1rp9hQO72rqvP6Wz45ATR1G48TQoE15pBNsHJ493xkAhb2RQyREuBdEyXbP1
W7pmbOzbgVbc1ORkzVpI5MlZU3J4mlX8AxnTA2F2+dNasIHzvNjN+JQ3LXqK6XdjBRkTu75IQtsh
eZQLrcfGnN/nU3z+z+daN/9GjuVkY16CoZSDMe/fCKsVxsAkzPTZObEzuUft68NRpfpd+SbNOpJZ
7cqKIp4UjGYgzXhWB0xNjXt9sI72JEqmAxBl10lYGSMYu8ImH8/oLU8Ixy0mYfCcReWOCuII/KTx
hicrpAFc6eVtaT11HMTyqhZE8RJWytGu5+MGNkcxiAV6272KX6JWgwing1cn/HRrQ7FIAMnSkbG/
oUYRcFR2pmLVZQCImqlxrhzQN2CGsgFus5lC/bR7HGMaU5k+4t1R5p8QuzDyULwrdNT4jvX7ambk
aULnS04UBvG/PB/nbLZ+a6/9yNOxOoI5aHpX+WnRfcMSY+0yKLIxACD8fExwQSleejKM9soUJxRa
tLyEwu+U5N/UdNbWSBIdx0I8s9ADrwLxsYDmMqO5aYBccBj4r6XXPW1Ye6WVZMFnl7jSfpQGl09R
RPqhRAGpDyz3QmuhMZJRYAl4ZW3UQmRBdFy040lTBk4AaV0daZcQ/plWl+rFMNM5GKFN7bNcfpQ8
SYcgiMrxqzXG2LXgX2n1d9ilXKqVJGAnzBONZ5/NRvsSKe7z9avWl6iMfyAsfeqz1WfFJpFQ7wVk
gH76aIYSsgYpCNnYkQZdts//cLmumvZfBk/k7raOFaEtPbyb/8pYjXo4JpaG/525/svrbOBwjDWc
913rroWTUrQSyQYjhyCrcm3erQ0zHIKZOlYOQ93l/8Df/Tvj2zM9JgnMRrmLGFt/+UrYexCdRize
OZfR5wr3d5bPlxX6zkcSL5v5Eq6Ms3IcPq7UK+XmL6Gofzdd+Q/n5t8M7gSIgLAhkUCu7vxKPe+T
fgjtokzOXYxGbOq5q7BkS1uShSr4zDDFvzWUasMiv9kN/Rckunftim/YK38MPsW+nYlSU6H7QfTJ
B8OKZx8kLNwn1fQPTFzP/NvviGmzuTLkMfnCamudAv40CbLAtmiDj/F5ytbwarroMCsOYmhxTw6N
tZlNWb/ktoPOtUHIKa6YCI+BI6zGR1YM6pzc5iwZ/R77IR/+hLM3VjQqUVgpm1ZyAGcltrSFmFf2
3sddS0vSF6OieCxKDS2o117GbHpWc1oexAIr1lD4FoQ4zXua9D561EKGeDKa91qWN/6GiUdawuzT
LGcjMw8gfZ4/jABr+e+VxG42r4ver/okJs6WyHWYlc+2Mo42Hvx2PCPXw2wkmelbaOZ4iMjDC9KG
28asK/T2ur4cE0/7vananDChAXDVE5/mHLKuZp5XzHGjihZgaq6nfYhp4ArmiNiIHwebAXkpivde
DDcqMtV8UKZ28YR8LPoI6bXoT7Z5DtO8OZetC6BdTumxtpt4by/1rfaq6gkrB4rTjNFKzd2Ex2dC
vE9SHrab9/9rov5LTRQrXgjt/+tfgqO/a6Jgmv1oy44h56fIalNS/fyrP/RQrveb5aI3J9OMu0T+
WRDlOUibuN+RduB77kKseRNEeb+t1mwU8Gii6CS5rLz/JYgyfyPzjjaFZeJytybg/U8EUWjB/3on
E4uD7orIH9OykZmY2/D4pztZzNKcuqzUr8OUwksO93YoxPydKnxZICjnrPV7lPbmHgZrRguOUPpk
fq5ID0lfc22wyh+VHmv5sxUuU/QRUMYgXn4K0zF80Y1CZD+QWFNblhMJKoVL6wXgeR7n+NB1CWZ8
RehM7gG7nPxT0jFCH5wRC8RzA20rPbt0ROLjBNvTIXyTvsNOCWxKAZq86SnMXIJgC7fHOxa5eVHt
anP0otvcRrZ9Rfw64ogRa+qDrPoxCZqRSufUElQ5nrJ6wOE0HRcDxpjK8q95lVka8EVkOAfXqSwo
b4isZiZG0NzlFA599o2VqiKZtxd5uc+V25HxLqZFYvQxmB+tXtL7cmopnfNAnzC0dzpNPskA4pYi
bq+hV8dM8NlQeEl3AYaEcNyOSx7qLxjyjfklavBq27V0o0l0N3Jbv6hMRd0py0hrT7sKM4VEQebb
xzZU+iOlevqVphzswwm73exWmU6DkxumFKhPR+W1+aloLWhWcrId7XMxE4R1LEdtwC9hMEMCnsrB
CarK0YLI0uwabQHcy0+JmZk9zfs6dN634egM32Wn188TYr3vOv5xzamqNTM9lLQuEtQRnUOQvDS7
L8rCCssXdl/egYMJ6us5e+5Jid3XFaiEP4QjGn1tWn1Kh1obAswg4HNNS+OW+1YJg6BTmWvPFvLO
4Ti2izZh/5lN+j6zxyI9RBC7WOzkQ6K9FnHrtpC7LK/wy7YbWPanDuDWkCJH2dWtK+TBSnS0P/mc
2+PRcvJQzcSuD8VjIpdGe6UjSxS3cMgzYLKKhNbAPdH4A8tSC2DHzJLXvmoptsO+5uhTsl+mrvDs
PdLt9LuQdQe5pShNG2J2POdn113UQvB5E4a+6JUn78DLa/OMuRUu7rBhe609eHqahLcwtlhHeNYY
VhevL/EcbjzmTAugpc61zK+S1qTI23WWjN4VLclA0aD3fgbn/iJUyyxvzALNSZwe7Kap/WKI6gOq
OdK7l6l/WLTu2ZItmYB4Uq9Tf3df17q8xYxFO4EpxiVG4QXrkWgat+3EGpExH9F0i8schs5X3Bvs
D13ifHZCgZFoBodNCVDFwSPatLcscmCydDoqkSO+YWVwgv1dXCS+GycLat+xqsban/CkqXAxULbv
WIsTLG3d38aSLvCiOhvFhmbj9KbIs8YogZmvi08aHYggNWP3amWJPOFIx6TZRVFQDcYHXBTo35az
fD9o7MUj+d9GbrSn1YHCz1L7fZTRBrdLi0Ji8KryoTbbl156y/fCqiZMRyARO+M4PITCCc9FX4Cc
9uSjFPTmH2c1kQ1ug0QAbydPJPySgTSsBpddl0OaiocT3aEaWyTHy+6EaD14h329z/W+PbmNZn8x
cdkGVsRXrE+xbwgZ2Wij1vlJi6khKHn15oYEojt6LjwRVVsQyTBI9wmoA7vEeO7ZjshFd7xlOSOs
rp4Gd7HvNDUsV83WowM2FIUf2tJgyRwlVzu24G8tOa3BRX8/j0bNo1me5il0d7gKfW1nJS4LwUyP
ylYpzezYpjjOrQdgWmKZYRQfXW9Rz63bNydMSBJAixw6Z0JhAw8AIpYhw7tcCXUCgcl9vn/xlFap
hgNMi/PWpGF5VprAs1aB09nMz38/uykuxO4cf+xKMuorzIz8Hvs0rhyozC7FmS8bO+HjZIkV4Yj+
kOW8U19sfWw+tVPp+G5eZkhKXO9edLn9DSMIbdcRdXvMNSjN5eBqhKTBX+lIczksZbMGICzO41LL
5F3XLStvdYwPCeoYTGoEY8NIo6JuGM5loXrf4E9gSDcSgoM0QaQwMAGZ0OS7WSl9B1Y++z3szP1s
gOkPTArHECej+wRKxiWHu7kPW4hznVVSAmoVdyLsT7gJbrU3FOniam1KTchdvsW20QStuUhai6n3
MEXREKR45eC/VnYH+E6ErjejPBSGhSKmdQHf53o+4dUynxtTxicbstDRQ7B2GZxCnud+drhWR+M+
qcVwTUzZnZxRN31IMPXJaCZ3D3KBND7tVZDM3nJERgkavczlvnQm++jpw+IPhsZvpzSLmDSmMiOT
/Rqw0hxKpBJ+UxFyA2nYunT47Ozjtb/lkHl0LGDLMITZMGXDQT+o0UaZwHvtOynnPY2EcF+2/Xhw
qhB1pj7at15rlkOXdc6O7ovlwwGGxpKb8k7PzermUriccPTTCZGNUz9mQL7TW+nchkzg/qO43msW
4ifPbaoTSWfpYcx0/pnOBkvGe3LvzYzdXq9o8+pmf2LMh0zcxsbR1VPqn0ajEI7G9pKsSgRP8GxV
4u4pEWrul46M25BwNJgNxMz27fLZA2reKS10jmkDwgSTTx7MscfTLicUMPEm9AHVPEHLXbpTIjEe
JCTcg0XAS7ppwJlz7DFxFaszJ3FXuy5pAd7NCEs9i4sJk7fwYpVufyKiUkD/0OVezy15aMdyhNkc
E/PWmc4plRDLaip4OA4dJH0vN/Z5tsiLFY6un+CWDs0lav1UWXR3AM8C1HL6SSy0wD2UZLdsLlg4
eY76JFmwna1M645CG/WHElruIRwmc71Cu+OsEnRteQZzZJDhDi/QBRe0vCZkVOccouXDNVkffREu
r+bYDEzq7nxDQvR+KWUDCR9QJzWtBhMRHEnjVZQENmYdmokWeiIg0RpwnIA5dAYjGVOa2kYWcAVP
B6fvx4ch55dbMtvDV2kiEBJ7bbiB43DfsD49icqpfYoaAvOWYTnOJNz4XRfFfqia+ViZibNLsGXb
ZVDrfG1gkTcY6DWcUFsOqnVx0YN9ebZ6h6tjMVtfTkzMYw7tx6pKGGRWTSTbBHMtzpQD+uTS5Ugp
m6MWqhfARedX49TRYJphfzeedl+bpn21Q311Sx1nn1RLzIwUNG0vlB63HeimYfeQ+lj4HruMs1fV
Mj3MA92RxcTfqnNc5JpmfOyFYOJtFupH+hC+ByAGFwQfR9zjYJFHaU2Fl2f7oUeQ1umtQOc2kNS3
vqcTeuirehkfppAImFziGDXS9z8kGW6orYPrq7nghyJ6ulwaAeoHl/XctbeE8x54kI+0yxBAE+2L
J7XoGDVA9mZhoPRMoWIlOLdwg3DLlzQ6/d7o+j2shvgwaK0FmUtERwTev7fQF+Hh6POJ6WLYGyVQ
uxbr4mzEJI9PWYlVXVlZ2NUQH1jQGsEgLEWagZ7vhMRD4B/ch4+tVQogrXKEOZ/BUsdwYjWwU7SX
0GqIycufCA+QdDTojDAl0vVqUJDs2oXXtJn4qoe9cTdMTXmaRhtJ57yEMKi76K6bpHELZZHu44V7
w3IGsRtU2lOROGPx0UZPA8G0WT7nfWOlGNuGSXk3FZ2X+kqIKvZtEdk0sltHBNBjpIUeatWbtk7W
Fx+iWnY47Hata7AEEbT5M5TH+z7X+uXauFpC2x6/mfLYe5GqDK7JxZhDyH1jPJZVMEWeF14MldUw
R37qsP/v1Ob/L9qRWFgL/qfS+yGDc1qqv1beP//oj8rbs35bS2SHGhnRGrkkVL5/WJHowvxtRSBh
xhmC4C/3rfI2nfUZvNv+5WECsvVH5W2av+HViamObViQswG//ieVt4HdyF9Lbw6Y2HCRMsXXwFDx
VzC0GTK3mGy9DrTEucKeMRhHq8BxMu+Qh/HHsVmQyS3IbbLJOPTa+4zabl/2On3YDAhddeMVtoG9
L7CJRTCddUENGU2klnVBTKIFguZdYNFpb6LG5J6+MF4nVyg4lcCYmSYpjIKmo1cM8XlpS4ieCaG+
7nKwZv3sxR5jFxZ5ASwRL6ChP+C8Q4g8HnjUjbb8CAaQ7ZvWowcl4CsNLaymbe9tw1JjMiBtzCI5
SMfTzttTRqSzLtt2acM4AXVueyy1DOEsLJJqhnuzbaK2MoKwCdUhkw7Y2PowUyrf50tr7N9evD2x
bZL1Jdve2xvMRQuNkVaMPrGUUM1rTN2911yFTaXI1XXbCL1XNH9D+yxTSCuzYQReS//45x5qE5Uh
NSQSedhHutNBXl6YXpYcbjgLjB0WHe8QSDrHMrxZ7qIfhta2ATKj4vq2SVFm7W07c/eE8SA2QDoj
D8MqLjekUV0TO7nVGKD57b2y5YiGyEhPWEsjV2nUozG63+yKoOKhXkaGqfxTTol6gIr6BXVrusOE
8l04ps1BxCAOwADFtS0Le9fgq+y62ufexQ6YHMMjtXeGVfG0nEtb3YCx8W1veueAwN24izpDv5uQ
Wc/YEbJc9SKbrNomPSMYyC7k3u4cVGVwbXs9vmnzK+384m7wckyZF3XHavvcO9a1Sc3+RjwjPRvj
azRiMpZMdrorhDDuao2HuKeEBxOfkbuqkcuOWZyVQj68n9F8Thn2zix/SWqUrYaDo4zvjKHh6uyw
XRhzrz2Plnluq0LdWzEag1g1w8kcI4RAejbgtteM0FNq7TRZSOJcQTVjqPFWOKF1o3qA4Da1V3cq
iVqAOHdyXDjz63NeNXL2NIGoDb7A9gIbo8oLhs8n8uLNu9mdzbvVHeWua+OPg2YQDgBcvD23rC+w
E/UA5QMKmFgo6NLm1Fldu5uzYrmxsoS4ayecD5mjGtO+OUtHZO9c68GoL+lJzj0OLw33fIsePEjp
Nh1bu/3LsZGAnDi7T7poYWkYq6uGE9h51pqjUcDya7wSthAfDllj3d0Ovm2K2PHhYuaoaWknSC+p
At3ik2lroPrjkYGLapAJPGenxYHXTaMbKXEIG/wdYurnKVkiRijLuJaQRqKygT/DzVKb9mNOW8sU
/Rwk8EWPWTTcmyvtqsfSb+d1jXUw6sRY6UOWfnGnxyw2uqBKXcMfXPUlTkMVjMY8nEsAFjgWLrYN
Kwvx527lsLTUs/IsQnSy+2+5mw8B1MERog6bMX+xJL+cS6TQ7o172QzIkbN8Om+HvKYmEVm3Bh9N
ItyqgvGnR2exS6oBjzRKbEr/SPkNMsp859UkG2dGSgfMTr9l0zD4sWnUoBNsZqjIP/e2Y5M7nFLa
cadWp13ZQlc8LLp9BuVIMIPxFp8EOxw+Qu/FbDy8/iMIXdtXWlT0oieN7v88k/1o4SsEqWlYTyyJ
lDCjp/E8ew7SYrlQneq0TjziZzD7tlBL5vSnabjm9FipOh14JvywzlBhW11UQSdq+2KTI5wYS9CK
QgRdCi5oJuNRyAiG8IoCePFRaTb92rR7NlcmXO2609Eoiw82JdshGVhXKzwv9gKi+16bqaiZKlcZ
qekdWHw2O2M2vb3TsvyKils71PFRJtr3whwQaVPl9JSumkQf3SZFYKuRqWLb7bW6CNp1s+2NNYtK
N9FWRriIT56a/mCgzrCDfnJRCQl96kRfUbqpAl2jyftJgsb3HvYzQQiMtlN5CIE9TFtgmo6ssLQb
A63JxgAHLvSOeYMooTPnwBiMb7TfhC/7EPbk0r4jxTIM6rFFK9lTSH6W7Y9IN9uAVNg5h7HFLEp7
SnKnFp6TsSiH+x679mvipo2/vTIvLfOAHQDiofXVcOHmQxiW7S5Me99RLIGh3SVncNIjDcWayO9L
okYnx7N28eGraLhCWOQlPI1kB+I7y8X/9r9vD4dE0NPOluiOShfm3noayF3eG1Rp5+3RtiFJsOC2
tG+5MX8dC73fL6ltBtZgFj5UO1TmiycCQ1FFpXW8zwVXR7ZeoBmY4DIvzq4xvN4PawTpsTZ4wXI/
OSZZ7hpkm67oA9iot1GW2Sk3NCzw7YmMXS/VD6GurVUEtD3acE7icI+sPEwhjtWE4wRmfjyAtQmw
ox17VUU+Au1mV01OfxZyONT1wglfNwvGqlAJC0SyGJbEvoejgFfhQTrvsLEvA5UuuzRLwnNuMxdU
TQXLcSoD9Nx/3mzH2qV/J6KmO27D27Yx14Hu7aFYhzyVaP0uihzogWXE3NpX5+3uj4TOaLDtbhvX
o+BT4apJsbpbGqXurhI4Q9sTrc1t062IIFERP/nf9G/vbLDNXQHov2uN4QEv8cXvLPFl+9xtvN2+
yy8Pl1BoJ5R1R1u6LAih3IWdewmzyuYGqmcLF7n891ZapAJ3owi2Tavl1qFVnJFSRNZNd2qAoU6+
KtZf/hRrMbHGGo3GajobxQcaFJnYF+uVGVuRXxoD99J2b3ptHMJHsxtIO7gT7sV6D45hrV2gY6VD
rB+NMfqc15mf8oeJW49HBP0MzLWZXfuyzU4TXejAyN0iUMvMe2271vp4e+btaR1vXRDCy9tz20u3
F6ShVV2c4YuZC87AmMrziBfC9ginuCpI+7wO3h7+3IM4dzExJ+2J2NSRMPOnZUbc5G47j5W0y+Ga
1uUJVrE8mfzHhVFMgUVwyi2FynyTvXeBDuSeIkfNftIUP8i3+xclvCL1Wfe8d3PblQEczTLY9tJ1
r0iIld5tu9vBt9f8u2MOLEHqbPLF31687anCac56jXvY+hnb5pe/347ZS/jHs/2Ea4OmmdbPW6+q
VDISVstdWDd2gShhMtYFOxDwxIDeEy6AtQjmv2bJsPh/ptC3h9sebthQMLant8fbNPv2UJn1AWCa
hPTV/L5AYuhvU46xTj4NaDHS3XUKGtf7CBvGw6DaEa647jXBtiH5FmjD7VCGD/W4H0levW2bCW3j
YWZGpvuGqXalVxPCOIdcRI8hOpjnfgjCBXXIORmy8DQDhvX12Zo5G3YVTWtjkd0J1DRHa6yXwa9P
/elVSZ+OAuUgX3R7FTiuKKvL4jD6+MU6ALfrpLXtbRukEu0fz1SZvTTX7ShVS63O2+6y3ihEMpfq
vO3OJijT7u1djFbGoKXTkF9h4GSHsqYW2EEEYlz/+eZ/PvL2lmHC8mh7x+3Y1BouzNP9dviXV8Vz
7M4/n/m5u336zy+yvXR7nNQOr9oe//zEt7cSaUFkmmd3xRWVLgPEeiK2z/7lW/z82m9Pv737f+NY
qa6pU4tmOFIIXZYQy2Lq0QTFimEfah+z7+UsxvnDVFjTfklGA4pjfW+lAlCZaHQYMMXHNAHsKr3q
Y1bhi0ajRx6LRlgnPXQe22yqPlEKv7JEf+mcGHfG2EgP9QIwXBq8XC/RDCrkYPukjZ8nWeAUkWZh
YHskDsf/m7oz220cy6LsF7HAmbyvIjVLnucXwo4I38t5Hr++F51VXVmFbjT6pYEGMpySLcsURd3h
nL3X7meUlY4Vti39gAzuw64ruyerjJlpfBQpCzPKxh2Gp2WkeNjX+it9J5p/xlpQ9c6yILdFxTQU
zYJIxvVl2hO7gLHHm6Qx8bkehIwZ1x3r02DqkobPQteGSVvgxacKv8eY9ycCnMbHd4wCpQ/vZjfF
W9d98xNq6l6VpNvZQ2rYNDuEnh848pHd7oZyAoaG05/UEM06ergRyLgqD2mbnpTGecta+1yWXc/Q
F78rOtg3Sv0e569MRPtkFdkOiTbsZKFeuwGxsmepo40MgDwu7BWWtbe66taoJFJkWWvo1frfLqSl
CvXw3oyoSCQo0GTDzq1vulfNwxWqhY27FjDymbmVX9306fyQTtGOuqjTzCXCL9TNNq0nlVlf6Zr4
SGniZci/9H7Y9iy5buc++8wR1el1k4ZWrN/VswfcOwZjxC2IKWPBjsPuiRlwPxaSHEK7QBxUptma
12PLY2JNtAzQxkxNzTvravi2V2FcZgtaDN2nDlwUmLt8aSeRnFMtBQ9l911YsX3cFsaw12zy2SaS
xqbGJmWnAsxE5uFnwpVOU0fn+G0K1biNngC9PkeeGbEi0a5Ir8ZTzjKtcFxKzl3EiAgDXlUTFgG6
nj5Fzb2VlUdFP/Ahtv1Hv8puRmGwe5c01fB/3PZtsodzNIYL8CRBYQMCVJTtYxckxVhXW4Av8GKS
6Lc2tBf+1QGJFXiNR3grKmaAa224+yDF6kPM2mqDoC4pk2Xv2BnGNP1WICA8QqdoTrqXXPRhnm/F
DPYz17KbqibivuV6NQyCYRE87Ye6hkeTtVt7pJPi94u1m0zUiL0Y78zEDmxp16e2677MdZGFtmU6
jhWmQ59hdUA0YVVNmJCti4bZZk3UOYQXUZLPBgXiT6TJ2aZQvK8H76EIkDrqOy0zon3hpG+15XzR
036AOa2/VW35WjFEBTMNo41fo8IakRHsTegsdGevcWvPAaoSVjFm2fAoNGWIhKMIl1VZhLbb4xtP
jXuYCe3dXHzrS/xYzi0pL6a/0SfF2PfkXWpdpA9NVR5rOSGD1bXfi2G8FHG0yxQMbTyM0LwxbefS
RaSREU02pzTnC5wckcqgYtniEQxPe6jP6JTtvW0j7azdusXLOtlM/4jgXNq4snCIJM9zlnn+lq5i
ssmH6NJmiOiwQ/1hkZvQ9EVzFjE40clptx2paXFP6zJvxSn31bQrneSmjoxu60rwLanOHEA2Xauy
JgDwl4RezSK0o+5jVkWzS1X0CrgnCRo3gXeTHahlP6IDiU5Zl+4Uwu4tsmkibbz6XptsnNHGmO68
tP0NW7FFDNNUgT7TT4079rg4etdAjZuCUDo5WC6koT3GnyewXlSl3KILfVP/Hbvm2YEREJhj/Emv
ObB9EqgikzyelutrV4jhGpkNjD4HS7c+F3BpONHmyzBk3ygiwMyLxjuUA3Ztjcu3+qRMwWsadM6O
kb6LaDosbvlkKFwSoBR/9wTCBeWisn1i085RtpU/5i6dMiFCsL/9XeZd0Fm4+7bMHobZoAFku/Z2
lGTrdDiKdmT80BiqyBwzlmobT5+9HD9wx+IXGfFrZxjtWFhObfYo4uEZvzQ2aazUU6vOszbdFqb7
NRS7LmOoib3kJAaXbm1BZcODBTfp36MCGjQaw7dvAEtX6IuR/A+7YuHyiyuaXG213BjrCSp8le4y
RNMK2heZPwQza0YuQP1VRVjRwyEVw8vAS8Rf1bj20OuVD7IHwoRgo6ZJLtl6+kxV2T4T/TVDi7a1
AOyR7Ua2oF4Yv+dC4kuJ32yiN0OnXKVQ7fDVt50R6KLic5ES7AwzKWwJFjM/Bq8Ge1il3oE6VIVa
snV7+wY43DbSYb3oMwkxsxe4Hc4mkdNqw/T0bjvXZQ36qAj5ox0S7+2of7etlMj52d/RDD/3MIlv
jEJdGx07qYRtu0sz/4Z6s48jDZ6OlKIIe8rDCDGr+zozDszCNAs7e5d4kKfNZHlFFoMQLOnc7YAt
OsTe1WMiKUnqGNN7F/cIJDxqJGr6tE3433AsWKJlL41aMCRp5h8Tmg8R54CY5jGc7Jmh8MVNzXP7
Wank2V60z44U6hNNuIb2Ov15tqs3c1SYLAvULR3Uq43Pfe9Ut3lh3PlL04WFSOrdQLN5EV0ZyE4a
x9lmMMZMtesH65mMv5K8ZuZlCggPtmY9exEDZIre6b6SRb8H42NR5tEe7NJYtjmuiWEAF9R3eUxU
NW67KSF2RGE8XLr2Lm2448XrBbFcYj2/m0qdYjVvWe55x1nOjA52ZuMm885aIdWxLCt6bU22i0iV
oC98y8qvC6TnPaP+OfeFuvPiuj2Xg/1lYxA2quZU2jEuLzyfW5R+GMgSf+v2OaBTQy8OMBh/GWp6
Qg/mBlpSI5TBKIkVY4L4J9o8FDUr2MF8MBzr5MgEDNCCX8HqcOx6aHCR3oZGQv93KL6ycix3DjiK
QCWgt0Q7bEik/IwSIGcknAyhJdpbfcaoBZwsGNY2OqxH6ZTyD3sOqvi27MUrioAHUUmYUHY8UxKu
7vT4NBblfiy87GSuDdABE9Q2Na0dYsEHdrlM1HzqGkNjhHOIapgVH3Zb6mh95yc2e4/ExqYkTxrb
Eal6rhUTo7m4qnUbsuQPDrtOQDQDgph0uc5WdW/EunHWcGBUhYZ3kHamQTM0AKwO82Cpq3sxNNSa
fWO7wP8JFllNQVOXZ0riqkazgLWYHaH2pnmrcpC9VwArBnUHNk6qTcWdjIVHaupuwrT+wXAEL4HF
/K5aqZhZPxk3A17TRtdPQjCDYzWdmGkLFBBZTAdm3AI6s46rfaiy5+nOs3A96JrRwO9zST+MK5gN
VCYPtpskO6M/mJLSFzHC5xWe4jkA8NCve7Sfi19lYv+ONdZaxHxrsEAoCI2ZPt2O0+q/eypYEu7N
snK32NmP1airlWmI7omhgQFR6PdjN11USirKgvPRRXH24/xhmaQF+IAaRBLMfU57k2IJYO+FCa8c
KFAKDx+IpgNdHDp0nTiBjqPRJHvLbbKA4MN4jwIBDpIddGbs7ko6N8wdXyCcIXmthM7YxGMGYOqS
kO7IQkt9x+01KYxdzvzKMjI6OPilLffRQxT/FDVGOCIzQdPlVTi3QTXU7+1A4bzvzBewGhlHZN3n
hPxWFskqsX4PzTtn30eQ5WQsRDSiRoWGsjyUpgbbGdk3Ar0GeRDoCyOSJLpW/SGbzqhPSeb0dIrJ
uDbcUYdZPOahh695ZUPauXnX0egMOn36RSgK2Sn+GAdZz7e0SEPV1iyYwdZ9QWRuR4tOPamptH20
9qOXdOaMaulQ75CJO9MXi81N3oMFK2Zmm7HLnua8QZoW57+twkP+k3su+zH0l2hP9U1Zm5Tt/pgq
h//rQH3r0n5VIB3KxnXCBsEctJoVJh/VIMG9qtpmNNtXrdFqhISgll8zl7+c4esLMLEzN1i3es+k
NUH2qeIlCdOYeOwk7j96xv7A6gngAwT5jpu7Z8Dzt/AhPD5MPT6yDtKQuEfigQJxocZgoJKPlm3T
wuWx5ulzLnJenSleEQXElMt1sFa1u+mXiu2amnOu7HFLIe1MGoXik5pT0qcAlPvimDba+irBBjkg
Kaq9N5BG0+bDqTwPcfyF3djdDI3lbRzzBUDLd7MwKzmTs3NhINvzcpMjFtjabnVc1XczvjtUxCha
RlE++6C8NnMuXtPF2Ffe8IdM0GdTyWMp7T3L+s8I1uhRChbLaFAf9La4Ko0YpCTauJBGT53T74vS
gVu47JxUB0br84EsJ3wUA8iqUo64wyMkvt6nCRsZSJwUaA/B5cWSRrPMAV5QJzMu0A0qWpT1dO7s
G1pDMnThiG8UUkESCDhPSbHhLbOAssy37F2oBDnauWNNyigsKNeg2nxZgBTesEuB5YcRfOGUVXME
FKaxUS13v+jbfqseQF+7UHiUJpe2az8zSvyuaZ7tqtzaG6ukVS+VCYmAUTtykHyiLr8M2sAkKmHp
0lnfyI7WgnCGrdDqF8A9wy5MNOk/8OkZnSpll4JDGh3gNs/i3/qiljWp8b2cV5uMTS5x64Ui/vIa
h6If12TraRO9FRMUzuBRH1lijGIUEyFGfytCuwKl5oOK5y+jwAZcD8kxitYD0EkmNVTTb5oiSGvt
rZcTEi7Pu2GN8ArT8rExhzur0O59I74F/oq/I5GUUvPxlyWWfd0xP7GRr3tc53GsnqUXQXcpBdjd
1D+pGXO1q5GOqZS8E2Zp7BWcjpBdKCuArDe2CHORhnc/bDoXoBoSxMKnUrrK19Exbnr0LQGnYvUy
dzDPoGZNkt6NIndqg1qrh5JtGxfCNLaxowFN8sZPq27fffhC+YJPO65atcnG5GU2PpVpvMucoIGu
xYdbzMzOHXLCAfMuai8v02iUTO4VhrpzBgzElLkyl2zUQI1+pvqEVrQW2SFrCRsfiFW1+/45ntGa
NuMp813mYdP8Knu72aT90O80tvHcGh/mytsZna5vhxQWf0N/Wqv1U+QVctdaSm6Vh5xJAM3jFRXZ
Jl+5zjOayUwrkeM4D1OpPffjNzo5PUBtOzo1hFLf/9CcZ/JUmOXWKDSbrKwoY7dIn2jj9YwAnuTv
N8BRAppf2Pi8G6fSa8TX0rigqOdBrFTrxGblQKjbVKIJNVpGEL3zgtxv7xQMpg3EGIaH5E5Ab5U9
6iWJip5E0BpLJCMfx6ws8hBRSEcGy1GM4td1j7qJaKsZ6M74QPKSJn167UGmAXIydljaoftKh+W3
i2Oy8u8wT8TblfiO9oj45kU8p23z3eXl96opcfL4dihKtHLPzAgseev4RY0CKFfsQ9PMWJ1rbxZU
zE3fOvPVi3/ZWX7n5KgP64WInJx1J/F788asrSsE2GdseXSJXSgkA5pG4yWPkPKzFWAwRktndOqX
NsDSrtMDqI466PLqiUkTb+Jy70kuz3xrre+TkSYiGAdQbW7GCRxqE3i75GrRFQoxLzYJVKxYmwl4
iMZ7mWQCJesUWu6xSlxEXpb3iPps2vj2NXWQGGQRzUGp7qjHIfQd0zvPoX2KzAIg65M7J0/xsDxM
E6CmeD7GXXXTtfmuaW6c1HwveQnRIAMP6JFiszFqd62zcHlplymu0Nss3m7dmC4gE/ngsqCVxq2V
yk84hs+L2RsI8Pp9n9TfifIa2GL1acg7f+doz76YD5WjX4ceyGITD0TIRLxch2g0RI73Ju+WFdnb
ieWgsh/9ZXmq7Sk5GO80FayMBSK70oAIrXzX5VwxjU3Gsu80YYfjAl7ox+J5H25eU0IwrrqRf/et
+LD6/qsovsaWUGYIo5dcj55pI93XJA/mbvFtcrDZUn1LlT6iJnwqBmsJqFgSoVl4X4Lred+m/XvB
AnuzxAxJST1j0u3Kzyxpjk3jPRarr9vOKBRMR3suwsysHh0nOTet/uoZ7ePo5XBPaBWXfnTvg00O
0HF8p356L+TLaPe3ZqtdVJccsdT8qnS6So2nnRHT7ZCMeIEulb1rhjqHZS1ggRv1qxbfYRV8T7v2
Ty5vrLZBylRV2Hw6/1qa06bs1W1kIFjQrCva1m/HAKMn7bVYZVo3aJZBx1YuVSRW2qqCGRafou7V
stuDkm8N6XTHvJvvNVCe5GGgQIsflvivQPn/N0K9X3/PIvv/JVjMcPT/g4mOcZ//AMX9p43u5/f+
ZaPz/2HotkEOlI0x1hMuWrp/ivmE8Q/Xxr9mmFjji78CxSwHFZ9uMXQ7PAsaO2K5/qXi0/9B+KVH
pw4M6irj+79T8ZnG6g/+u6VZOA4SPo7MtSxBGtZ/ReDEbI6dtGrTI5m98UGM3Udvg7TNOxHYxRSd
fExtQhuWPXRY/5DExVGi1QucTumHxjQx6FfMp97Mxt3qzljwbkXUlUdXqz6zqQSzaQB/zyOwheQ7
o3+j0M6243soTSQXc3WbeZCXmagYqsBosesL2OPvKY33Wzr4N1byxiQPKQ382TKtEI3Gy/ajIlm+
s74bOre4uACFj3l2du56iU1Dr9oPcmLIgehrbzcTgRsynKr+l1RQ8zvffnSLicBQgmJCHP5YNlZl
1ipEyAfK7H0FFltvYM6g6Ti4RilukxTQCu2XYpfAehValN2kmpPeTWDqSeYe2n3MGIthWJ9PRi5/
aY0hTiDwraeuszBE19G7spL4BrWHuqE6EgO/YuPiTdF8STwEcc2A0jeP86Od4x7eFugAt02iaVuG
DgTontQP6bSi/2KPg6tbtXUsdfDXrM2YEOmrmeZX9jstYusBhcXqtU2rfR7F412mlkcfC93GTNL0
0de/CE84DqoY/jRJEgAZeGcsY0MqlgngaNTv56Q2wprgS/Qpu7FsqeVNPhpGF9Qz6B1GsvnJqIp5
L9qGJwKGUrNfX9N/ojBxBvKlx+lu8XhDK0vN+xJZ9XGp58BZtOwijHpTNjyx5WvWNi6bT9D1wc+j
507dOOg7zlP8kEdIEyMbaSnt7I3OEyZ57VD6EGk4RjRXZ4HzCMaQOMxNeoqAG+59ixepAzrDM6fY
AUlcLl38a1CM6d36hdSMf34hrj79292fn/487uch/6u7Pz+I6OHtpzXOcX0mzXWdIB+ASzVJz6T6
X3/j5/mqn5/83FxyW+xqyfbnPw/DTvwO3U3/iuUrBzD2Hwf685wAkYhR72oLcSR/9397eD+/+/NT
O7WMra/HioUIv/HvH/zclYkkJvXn5t+O769HakCr3YzypUyh0Pz7gX+7+fPAnz8DaXirRWx8JzOn
YYNTFDo3X1rD7FBU+qROj7N+GSUURXvIRTjMiHzhKhATK6enIr+46ZD+7Ys22+kFNQbfg3weyIzi
iVi/N4027Nho79Xj+8/v/Hy395cZ5ZXJ4k7aJ2dsXxvcrdvapLoTWgnNi3m4KK2+xlOJ00NwKRl6
rl1I3NUuP7cslftb5CrNpoMeds6oSYxiXI5NYo50EbC7pCWSZCq1+WJdIMZYhDLwRTixeWETJk2r
Ckm+fKW8YdGO40dmB+HZawcI5Np8LjSHU40UcTdUo32R0iXuYb3VZTQsW/KgxLARLUvTCPrXZTET
h6gtyim4FzugwP/6nqf6rdXrzWlaH0Ei9a9GKBhEqXWIx9E9V3nhnhVonY2h0nJHh0u/LJCxaJhV
PtB06NkioUIKW7diWRgsma9ffh7180V3M+Ovu9gFk301pm9wHkoGz+wT8Uy+R0NNeVTMxWlB8WQi
JaKszr9Zrw85/S+6fSRB28WvNEIyY9VJvit0o7rmXvpSVJ27b+oxh3ckAC2WuYnJFEywtZTTxXO9
6TInykc4R/J0MU8XSurTBW0mSdpGI7bO+gizuRtZwp9zRvrT6KgbdRePthtqUWeQcFA6R0gycMYK
dUnWL9jBLbRhKtAn6IGZpYV+awHu8XjCIYY97BLFcLWKD9fSs8uCb2O0V4KyQ8RCoS2og43lokfN
cmmxWB/Jdj6phW/9fH8ZZQ223092P3eT9aL/ufVV2ydL+OVlzo6j5ivIYygerZq3oBAjm6K0Mm8L
G/hW1eVuoANFN2IEIwM0iktEIsdFEm17GCiUON0jfDokc7l9maeFons+EkbbuVXoQJDdFhU7LwvH
1r6ynJefC6uxtGnnqoy4CD/KrrVd5telHdoNHUV26Otd4CXtbgbzwq5kzq+daMpw9NhEa00buG1E
SSWR93Rr7hryXLel5xNIlLLiT2Xb0dWssiM98DaYtJbNFvvIW8/J96VlZa+xVoBMipJb0wUC/5cU
CrAV5F0HQfCPKupHKTVjrg+wDw7wrCt9W3dYzTbJ+phxlQ393Prrm/++//OLCSWVfz7yvx7+c9fk
7dkJi3X5qtUCpejRIYpd6GWrHvl/Pv/fnvqvm0WePbeRqXblv4/k5+/9/Pklzzm8BrczDfq4Dv52
EH97fFMQZ2GSkR78JbrTVgnuzxdf40P777t/CfH+83s/P+2x3dNkVVnm77GvARaKdHdXSOI5+3pL
mPu0JXSLD5z7VRfyq4vWElNef7mL92FMzXDtk6QL0yGmY7i8OTbiIM7rMZtcPkA2TXUblEM4JXRy
TWM4NFHqhYQY8RvsKvBMZdtpickXyzJ6RpXxqonm6Jr0zQgnsBeKIyZNhcDx8Pa6xUEV8wNWSfRN
I1tOoHxIA7dGD74kdYixqUoDyeqQE4/iovaXUJ5tHydAh1L8mGfOxYmj7oDSqvUQvRrGSSQtIoHR
r4+ZBofFHtyw7Xj60nWgVqIUAGj6ho2+DDWVeLvc2+ZNrl89E55f3bVPgOXTInpVQIA2zMsdrHdr
Dke7nrYpDliyNnYpXKxA5dpHXuUD1f7V/Db5h1qlZtiy0wrLlpKZP8T9padCqDMQrkpzejmlMfC2
H7XG7zf0xwWo4wFJBkBR0laiY9oRXqGPDu3Dejqq2JKBGSsM3rUb0fZKMO351lE5CEBtKKZbA84z
OtYaUgx9kE0tpprE4/EVVuUURJlDOIfl3Wu8D03cJgeKRDRo0rWc7pDYMIL3CymUfFYDQXCYpnup
qH5av2OnRA+tP7oGRloAL9dZw7Vm5u2bK9sodCPU4zFb4HQW4kSZqDlWwL3DWNNEgPr6qTK9CZwB
GXPdQkLRMsiz0psWpzDNMz9y72anzy9F2nwUL/Rw3HCBOTZqJRICvX9r3SgNxeR9jZ4OImeqwpQM
531F/Y0d+LLxx2IMzVFjUTGBz9fTNfuk+jB1GmXi6vnjXYX/dhv1IjsaM0jFMT0MY1oFWeLYCIxe
lyX6o3px8Mq2Jp4F/kPcu0exWHCPJuvaFHLa6Gdamtm143LsABCGI8VpDnMitRuOY+aglSv15lm1
O/LFwcSW357d0CqLeoBy6OjH4rME8Bm2enloHPjRc95dROJe9KpX14K8JHjCzG7kp5D7h7cvHihQ
N+JsxcMRz9WyqQ3rY1rm+d61WiDGaXONCcPSfTc6UNzA/9txgfqVfttow2Pen7wBsqBggqPX7zQb
J6KjQseIMVk8C6X1WwopTpBQKPcjC+EM0G+sYg3REJhkVJJrYcGgE6ZyuqQjHqMEZY1y+L/wdzTf
n43ae7GTho9UJA9Do1uHHn6q6t345JEc4BTeVc7Fyl84NSbSgdKANT5zjM5waAtHbgwwL7tcJv2B
HIaDkW57K2KVnaGLtPTDkETzC4mPz64Vf04uDOIpS2WYu6aFPh/rqQ3/rmNYcWKiEBACUJCn4k9p
0/Foz4nnqbVekrQlOK3KxJZApXQPvAtdB77JAgcslE8SPKwA/EWJ+UDa5yS9dQ0ETbVSPvztghIi
+aCTTf5LE+PbF/It6jP9OLbT21ijJfDH7kbFnn/pp+od0dito1NT7/DDh8bYmQd3EtrnpOgfF9iy
oyUxw3zmuElsAXBZ5wRRiDHICdPcOTKFVAhFzVRwOc2KPAU4N/aun+ftbEEXEFlDrpBOoZToInNb
RO11XeJACg1cJ4No4oH4LPGnnwDDEIAoEdDp8xL2FXorJ4wjhv0UDZvRlRpaQfkQYWA7l2jJqgzB
nNJcPxhmh3guwwO0Jv07jZV8Ma2q/k9friwtzRcHhzFES8yYhZSg4a2zlC/M6kRahjj6+rcZwZCI
vZxWnZQF8Y01r71Pbo0Be+hKHKBKDnwlI1zJQ6Kxcl0SZ6R1FVe/pXNJui/fQjuCciYl5XP6YMcK
nWIwEpoOjFW+olDL0i6COi7iwI5KrmBruDbQ0cwkbwn1JLxEa3XcSD3lOuEOR/LV9M2YEhG6eO/F
0DgBgjIfwgEjHqKN8tTVyZtRNN02izKkWcNxkbQ0CmnDN7G7nIGdpDkBSN1pfLDjmv1bIvZfouix
5aRvJCCJIjpHs0TaIe1vRQljY3YxKG6Mw6NycQROo9qId6uhOohE6sYDbmtqDRRcY8sGmUZcVr83
tGs38LDR9JAJlXOiSUglE0Kt21FljvS11MCQEz81Hq09Fg93FuCaTaznvyLgJQS0UG5uChI2nDw5
jAC1St/feolzL4V2BF4D2WSkvD70qEPp+vXARRFK2dh/Cv2GqwDLW36rx/5DMaZXqT/Isb/q4QT+
Cyez3KDtPBcZw4luv0szexkd3gbXQMo00VPO5IuzDC7a/HHYD8VDxc6TricyaKeCLg+bgJ7NLsFp
FIxelGA0osILaAR2hSCRFPGoUL/MpASQao8kOdbxOfJqBIetoFVXBnVqBZAH7lpAkr1GA6JJfG+D
HbPa3VV+SW5g7T4Wvn6fFnz8NKXGMC3a31khD2Oc2Xv8z7/cRemoSP74+XDoWykeJvAYm4XdkDuh
eq8NStHDW5OwsPDnu9GUrPzxIhU9lxdq5oEIIskSecGSXW3Myt5x2ofNbDZgyqr4z1jb7wCZUC7D
8A2SKkq39GgdrpTVwkogjDR5EzXvIHxaz0yMRegODLuVU36SwjEFpQshuEzUuxc7nzSjCWOaKGyZ
VvGkCoo28rnKl99qoYOHwqFHT+a/LW5lHEqlHSJzuS1L3le4MYFk2xDEzvTRFWhPcn9ODm1HGWF6
iGs66LL45RZLiALAryueVTvQxPno8D+GTqcxJg7lKU6am8FP4mOrBvgBKZ3kem3WkqNAfzgtPwpq
NFCsHuaxoFlUJahbKrz9M96+uYFPK+Wzn+QzklGWXGYKgcmmkLwHRBFtsnXvuziihg3nn7waQo7h
74rRuVqC7jGpa8jMnAGYm1vv1sRTkUaMH3qDqymN6VojZypw0A2AL6xJb6GsV+IWG+KmzRzrPHhA
P60UrdIoSChpaCZOQyTCtonuRDbdzuO3Y3XNbkKdEoxdau98QO5bwnJoJEmCDxv7sej1l1lRR/cB
SHZJD6GjtM7SOjkWzJOPNKUHJdyG09wQOWT7Z3Mai/OEdHoz2/UbAodsD0blj9aVf6TJsBmB+9qA
3AYg0pbAPXKzhL5zU8I7up1zSh2aADFW2uw+lR8f0Ybale8ffJmyjPCx9rDg7S7NfdIuehjHOIsy
v1zu+sW+6bBogdhC31BWi3uuK/UMRrL8QEkilwww35iAf8X4oediCnJokdi1nH1JqQNFQ1YFzJMR
6+voYHq2vB0tK0wrxGt54z7Gvf1t5oTMTDG9WbObJ5JG4yEQid5eWNeVqfGlWDT10YQqgZ7xLkFF
v8nYlO42sT0t115Cp1w7trHdUnfgpc/JtB977zWNBKtrMx/CfmlZT1sXA8Ns7jskXZCKuy3yMT5i
7b7qmnwuSvp5zuI39AEzFXpu/q4582OHN4eZtsa1Jpp3iuHukWi6pNvZqfmrpzITOuYSHzsL8cFc
42SeRWg0Flpb/TYziCxD4cis259F0jMpaqASZEVE04BSVmtYWKP621pVfTF950DsaLmRiwAF6qLd
ISh246TI6ob6bjDVgy5s6BKJyXSF4EKXF9cocGRitgraCX2aaXD2YbGDM+p1MrIEmxcYb5EmCG20
+9c2ardGN65vBTsc4lFuvJZK4Fglt26ue1SB4aRJ586xSQbMu6uhOBwWVVfOE56w6NZUMLXczn+d
J+Jnp7J9qcT4kFb2S231rHg7MYSFlj7AZ6rQW8/ONtsaMXgn9QGyEjcybpIwTep96YqI0gbcpPEB
FbV/qDR11X1i5Zc+cUMihfIE5/t+TmF4WW2B78Icdzj5CZNpaI0aQ3LT98VN1q5xE4wWFbZzYvAi
/MlU+dVuHMw3IeskiMZcbSvLvJkK2pU/KQhQhHykC+bvytW8M5sgVDkU/6uGVfLilAHE3mbi6TxV
nbWU1kEeVS7qE/EyULt+xVgGUgK3PuKsTUFp/beVPfY1gTmWlP6+89OH2CSEdW48H7AT5rBK/slR
t13qlbha9ARnVlOoo4nY+pXP5ouooO1oFAXvYpHvyiI+YI9hN4hShmoiJazu4FMn37LrcQO4YKGd
27C9XdFtcRYdIvTG5CcRQ0+ATjAoE4NCdCs9WrNo8nZcyc4xmsYnMxnuGr/1g2jWkiADh+mhbA9d
HSBzinAfoasAfIpq9zgmeGnUfPZLTPIAuXKmVvOyYkU3YEnIsmsbgx206bDMp0Qq/cXbs6082p38
jvQhw+fqhYzkiH8KYD0wq1l8LKSzEzyLxY0xeGAu3Io+nYJakC3ZY/RIWlLAWsWmJ09M45wjy6PX
QJtC19gXwvPcdP2unpMnaDUFU3j3MIFJAtIG0LPtXWpx0GE2HCtSsCJsI6b33jsNfVvsPHL/dii0
5IasLt0gtNYzwfJK4cCVicmPnseKKbBKalh4Eal0JEP0zJakHCJ0N5w/nm7GZ9Q77zFwxC4VTHZ2
slO98wFYivEjG9hikAkee97nLKss8LOedTAZxH0z3wjqzaS2odSfy4QZKxMBZ4ytDRi7GWr5MLlP
TVSQV9WjWq463cSkAcBIz9+lnFiqFP4L2oWec4y3zER2gxqLzbP+P9g7j+XImSxLv0rb7FEGLRa9
CYFQ1CqZ3MDIZCW0Vg48fX/w+KuCxc6qsdnPJgwIHQgI93vP+U4Bl6GvavKho/tKmw+M32geqYtS
on4zKFlr7UuTgeMGSFFez7Ey8Re9pkvcANjDD5RiDLKFQd27hmc3r8kg8d28dh6UzMLxGFnHrgCJ
a9TQt9LU/Ls3hy844XIosSKlnYRmRzfG97Kimx+pyQuRJWECDqaJCtCAWVr7M2PzbdG8FKSWcD2h
kOMoGdKV2rcy8s5CUWirNE9cTEJqsBvG/MkIg36LOwc+m1r8aA1qwLPQt3M6fzIVnC1d3RY0jaop
u4/4x6hxo/KN74yRITRCvHUqkLv2no0aLfmdCvN2yIenRhmdrWPT8gBBPW84KpHchsPWeG8D0tqU
2kbfETMhnREtYmeLnzJmZgfN9B76WT8WjtjFro5AOkh29P8WkwVz1fiFolHu05x8oSpKIpnZPXTL
QUo9cgPgWVkXmXkkDiY+jc4q/ZiHZtnVUAxp6FpXpRF4fkz6WtIrSD0jk6TYee8aKLM60Nk++mqS
zWmp7lRn9MfEfBnt0GIPbZmVRfPveQSz1CkmBz6BJPWvIITHEI2P7kByZSjIhuvFLpqUY+PWr0TW
9hiKyH6KDI/6VeD9zslR8GEmvc0Gkm4um2iuyN1b0zy5ZbfotvmCt8XyjYg7hz3VLldHd1LuVBqz
mPU/MpJWGrd6MgbymeOgFaseUQBZP/eqaj6NmWD3altCZzPnR62nNCFNGAe5tnXUkDnw/KEhrEYx
2JyiBoHGbDFVDBtTXwU43jMUr1cTQCYokMx0xvK2YhfhuPYcvEdhRPU4e20MoyJWGzwLF9sW3RVV
W2osyppcdW+f9xX5b3lwDJ3pQJ4vQ2uU56GJP8p5IvHjFuG5tYJ1+V64VbHSJrfe2gaCD3LnKU9u
lLDN9kr+OLQfmLbHE0Sqt7wrtpWg96rFPWAPqHwHW3wyxkweQdvkG6snC9Qt0VkjB2dzMykft+TF
blPLYtIW9wyfqYIBpBvapSv6d2BbK8c2SQlxGJHXbUvlpbjTPRrPkalMm6hBC6dxxq7cwb0hJ1Pb
Wwk/P1ONzzTsC19rsk9AsvE+qvtg41g2TUaAcWdut8PJcyWUHg03J7SN0inUJcNi08xl7i+udtWe
mkOJswTNnbur3BDIoFhpydgfYYHHB4UsPTc2Y4LEkHCjRXmeOnLsdF3L/KlxD11cJ9jck42Xm/Sg
SrfeRT3fuCR/azUUWnxlKtcY5umqNPmtmbRXU0HxEPNliZTTjI7GQPWlNX6UwYjTq7DoP9jNTczw
1cpoj/egbIgbv1NiDRuKwYik6BCy9AnXzLFpoADCq2xzxSdPB1a54XW7UvPuukz9aVsqlsOo9IeB
6E7DfsZTiDgaJj4QLFfARelhRgy7HPQ8M6vrWT3o8ERux9q7EVMVUBYkigwt/vVApWA3uTlugKy9
VuwoJNcxqbeTZQ9+GanayipuhuITe0SM/Omgt1w32wXRMJAxO3jmrxiZPi73RyO7G3sMng1qMIh3
IdQzxXG2SmEG69qaijVEAkK6H1y8aq3JPFRrCaFM8w1FIOrm6p1LtXRXKABYU1g1hA0Y17FpPzlO
s7Ow9u6aKWs21TA7ML0zdd9Dn/HElQ0TAbwZrAGj0u6RKp+sJCNsVzjDIc7EtY4SFuMdpUcrxkii
oihVBoboaBONuLifUx0JL7JQ5wB6TPh5Y5bMQ2Oq0CNck1j9aCIvfODc/NuJkCxROY3gcOpYiZgo
bRvtELtOdkdC51Wp6auUKLwrINvHNlDygzanzR536B2df0xaSYGhMSHLVQ0w4hNuFhyGOuVYLLxr
VQw/InLVtgQWsoHT3t0OnbCppEcvjESMjc5OrasqCWVZfJhbSqqT8hY4rR+05vDqTPZOUYfxDqca
Tii7U3yoYdNaIJlbB43T70o3mo+jgiOW9kC/4ypO+bMV7w57Ag2JfadGA/tHi97BRPho61cWAjmi
hsrnfnHfd5KtsRiYLUnduKzLpWZ5+HKffIkbKjjm+uU1cl0ufXtOTBd7PS8hkvKBQlID8jnJfMXV
H7+8zflT//iWbmYQcDe1+ub8JPk5XA1pQl8+/PxKJylOBLgnjNIAqkdBsIeYheXo2/c7vw9cxSsV
DK7/5W2bpj8xZ4p3399Zrp+fKH9J61rv0RhgOV22XkTpiU2xLJ5fuGwU+Ty54eR9UY5b1ykC+IXL
o5ctqlrYf2JDI71ZeQ4GwrexE0XrOKneMlBCsIHscoO4BuZlP0SrIVOYuQxcMYWOr8lE6d/pGjL7
gUkxY+b7G9uw1Q1Gfg8na7KzVVODY0IlbJr7Z8yvcIv1jamF6KoZskYlqaJcYsdtYk+c5hGzjh7t
ezh/StAnGzFhpUO2+exhCZ0M9CxW8pANH0MGEdeaiRmy+vRGVZeWyWJpmxSH1KHwSium01Anv5YW
RjORWpn01TU+7fe0RcbZ19bVqJs7Dy0JSThwO3ylUG6MXHC+n1HvG0k4Yh7rQNFyPRnz4E41OKEu
LnD8PHiJgpFEprly1hywxezd2iGnyGIAX1KS/5d4x6YmACA2IN/AbOrpxSNqjK5BEg3IY5GvV2R4
jF3+MTds3pIWFzEY21AVBRXD9rkrEJaGQMY3DjstmkoBIc3bK5W7o5CmrSC/vhvU8qZReUWnQ5S5
Lq6Q5qwNararwVVJr4wbaMiIe6PI8K12+oksh5lD5wduGyLwShaXd7CNRywHqlmRz2t/lqMhNkM9
fSKFxN2Umpy4DTyMScg1UMO/haj2NQr1pzJjeFtxJtsMQwUa4EePdWgWMx5TbavrarxulBgERtoH
WJITb+U2NNCTeK7QHbm7WiV8gcyzIIi1TTNRGTCNIsMgxtl0yJhu9I6mHbrR9BY+zWs9QoVwzPQJ
pMZesatkTbPn50wkMoU0hMtq8zGhVM4+Ji5qWwWJh98VJEnG9ggGVN/EpvVYU+KsEe37ukNXPp+L
G05jW08gXrA6RVnDSufLE0mlzsE9YeqQ04e5xB5pv4xGuRZusXDrstrvJp9HaTN5zQzUtbxF1EoQ
KJrltHvPRXw3LxEPuPJ/qqK3t5aGc4REDseXmie7IvDsC0fw7qzc+6+iz+/KuOja//4/+iLY+1dB
n61bhgEV0GCohK6Px78Q8aPAnLK4pzg1TTRd8kHxjjBuYWlr2V2mou6IzeDJqmoCiHN8GwpgYB86
nr0jTF1bK8ahbfQdPRRt3Ydhf9JyBUuKQC4dOfltyo5QOu0jp4Lw//LFte/pUPS5dFtld4DaBjPa
+/bF5xhr1USNFvIzUcmKbSHXoJwH+5LOWY/lbNMuyJo4i26tJALKYwAs+s8bb8lH+L7xqH+QI7BI
IV1Gef+68eI6TmwB3/iAWGO6rTL9kOLlOzDy03DOOsq+xGnlB8wOFKTkca8e7ds5Kqqf//l7/K9Y
JLYFUlHTI8FBdTXb/pbqkkImNZvUCQ99FRDs6zbmoe9oz6ucBMc2eR3msNyVmf1EPnx97aaa2McU
W4bKPFRBq1wDra6vGNDj6nDH6xDBDNcr2N2RFo1bM+Q0jSKUSGziKQPTOrrd2F5XClhCeMj6plHo
SRcAqbZlrL3b7jDsRVnvUq8kFnS5iZebLptf//PP/sO+6wDONLGXaK7qOs7y93zZd3u1c8Hn4xyy
NT1fj8RjbhMvnbZa6PiVRWSqOTdXC3XFnIZ5D3bwkOMWuUmymWG7uCrycNjn6mjuSe8bDoGJTWwI
sQU0VTAgF4/0fa+Pj31QGr785v9fF/3vw0XgmH/5d/93uEhZdO/FvwJONfmavzTRCKL/RgiP7Ziq
RnSRaiJy/ksTTQzY3xhoaIjmTE/TJXr0L2m06S3SaIL9dJsKMxEjHBl/SaNN828GMzyK9jpUJ9s2
tf8nwCmJeP96MlAtm0QyzkS01F3dlZjVr3tjNZepHgRTdGtP7X1APXppqRT7osZsTf76YS5KoNsZ
ojQiRrZEO7xRF+yOgHM0psMR3ePo1KsF/dwZdGdf/F6yKbOqs37qbvdgVk3CzMZsQTwQtKExKnE6
DwQlPfvWKu/z0br1IkxuyJdc9Smdug+InZx9k5lyMLUnBNc/o1T8ggK1s1Eb32bppN4vxXSSMwBM
pxT4g97FnzbvuewIBvn4qcYK1mF6V8/zi2LlP4xJiXfl73AstyNdoQYA/krrzcKPmhR3V0bRIMQM
F/IypIVUupI4fM2I+KUMPX0KM0KRYLlrTlBUlQaEMCYzrcmbjuHwLmY1vc+7ctt7mGjbuUkQd+La
HiJz32PmZDI9USsamQXFXvxZ9+6pGLKlqYQHEO+xDqtfdTnPCY+sbbhuudlSms1KsdMrWkZWah9V
8vl2kYcx2dTMjeXyy03R91dUfavQsn1ECfE2rIiS72FW60z7Nok+3YGELyis3NZFvtGr1Np05lJL
MbxHJSZJbm7Uu25A2tyTfgvsG4e7XREoAnxR0UB+6mb2qjV0Q4j7fNd6EtJxH5Ez6oF/iICkrQPX
9Y2k/eklDEvsmRQMWlVH3SvHqwrMILKKbaI51GhJQPdBEfa7kC2AFZuhr0DRlQ0P9oy0gIY5GCMT
AbA76B0EV3KGS3e6rceoOcUumcGpQoRKji4bs3/UeSaaV96DyeALzXvA8A662yjT38OSGHODcrFI
ouEAfrPYIJYFQ8dllj9W3ChGjc4JureIFwlnoYIkEq62Qyngc6Rc57OH9yshzil13ooZgEkZ0Wwa
pg49yg3zyWRhYb3nHWRqhfIOVmawHhrYG5t+F5nWV4ZuH5WQyZDXJCN5iDUuX/23h14CiEz/qsYZ
XldBUAXjg60ok3hjoEohID48dfa+LX+lSkc0fIGjyI7KYmca1nSlqpBt40hf0lYAJjS0taPoJYA/
fzJrVHldbI18H9rNCSEJfUuSRk14jogf4OqoNiWl2vxFCkEBwQBzwa2jjGCAtMpFrYasgOMb1zAw
5WSVogOLGjM9TG75wzNyHLZMj/KYUnfjFcytTQfUT/CJz09dq7OmrJtJ92NogO0kMC1PFMALcW2o
Be+djLR86x7wfjyyq9Nnhl+nEVcbJ72vWfQLvKrao4LeTGgtwgI5ESHUkZa81pYrDg6Tl7tmXHLW
QJQ0Qx1uTaTMTUwBMIjKZjuTGLHpsz3/GoZZ4YQ7CETtiszLtzjuNiXzosk1fM7Aa4iAn2xxAEtM
3U7peNfh32g0l/+2A+mhhCRKFOZBsM82IQpPG3WqWuon8s/eSWL0SU8Qe6uPSQe2KVPaqsFwLQau
jKNkPCR69Apt5kYtXSBKLrVJxLqwFlP4IWaGN8Olye3RUUXqVRIb3Ya+ahYCmEROWlEw+p6ChYvA
RAy+7GEFMQAU6G6ZeUV0KfumnQ6CUklmmmtNHTofTOC7a+QPaRa9W0V8W+SGdauA/4dHg9CoDqf7
pJ+uo+c43maZNsFq6LCUqvg6iCuiR1v6qh0jwmRe1VEB3OPWpLknNkp/6K2suY0S4gA6GwJCgccz
IwtyGiD0zOOSC084fOZFLQrlpQ8WqqfLXfIZIDVVKKzn15wfW174ZV2PIoQ5M6WjxCVmKJ1h3ckl
bTTuZsX+NGDHJZGh7fQFEIj2k7nGghSUq/ImbewcxaT5uxvmEbIhwL7d1Hq3mkkGNjVOddUiil71
JEbftnOLzpPuEwFHaCkjNOicqDd25Oi4zhwFxhZBQzMlwBhC5dpbwJ2uZNzKRXnToiQEdDYNFFeA
yMkbyVHDNoVg/J/3aZ3QNgUqdXKUZucevSOzbXpn0XImTObmwYjLYwXbx8dD+VS6xcpIS/dmthjd
tXG2nzDdqUuUvbyplpB7EwBI38LBKRotPdbWif0KXJhl39lh+KML8vuW4NRNqAk0l+G122GFNxyV
ynFThfm+SfUtOlb+OUur/aYLH4UNunMt72vr5d9spvEwds855QnooTD322lP+tIePEvoC+G+d7gc
odPWp2y0fjNut7aKa4MldtpbZCUon1tUzemCWVSdG8iC9PcMspfAWNIAcfRfoHVQB6JvI6l73lCD
W7KPgA3KG1JMmmMvCYRyUes4PTZh2cEtnpy90pAG39lMh4XHBZxICJq+hNDYl2qYLPwYaZoezXsa
iI+miuk/L8kod/BGoxbfQT25ClNUWBycb6pGAAD430M81rmv0tHIiwH2ythS1DGRQg9BirdE7gEg
k1FCmmDBtUVyLT/pcvPtPj3syV4a6crkFDrUbbxskbxNMFZVtPPkVmpw2dHshcewbJvLzbywGS+r
56WEgG3HUh9Qyf8V5T53E0X7uKFCMZfKtDapcUIfx45uEv+CH8obAfjyb8SLGlzeGEFsbR1Nfy1S
QSQyu8OscPiGJg2RWtV/6xN94InkWELPd6M7xdFHlOEOFgupsF52b7Hs3u4CObys5uSk5Xv5iJBE
RvlQLomJdK8oTDkT4przM+RjxH775tCCw2gnc395p6EgCgM5Jdb+5XOM5fCTS+e3OX/E8ohc+vIx
cr3P+2d3rNlP//kUuSTf5vx1Lh91eY68j5jXrTkpdDLyxHn79uC/XZUPfHvP81c9f5x8/HyH3GZf
fsaXRfmswO1nRiAiRUDZKOWXjfXlTeTiH3/Jl7f78viXRfnSy823L+3kJj0zt/fNjIE53qzoJMh2
O5UTHH6/VrUd3pBmLx8IELhRPV+ek4fYSmhJsijXLcgTveCQj6xHp6VeRM5Rd3QzF5z4nxfhZkVr
pU70dYHfGXlkNm6I3qLx65R2d1R0vL1LWlKHgpd1eaNh50PSrwE2GbRmX2Uu/L9WoEKo4XwuP8JE
h1W1urqBcIWecRg8wuVoDEjs8LREJKEsAEMextWtgxVbQs0ludlddjm5KiTD+bIu7wSwTrTygkD/
9pJyzLr90DEsWpjO8qZZlJxySSeDbWMmjAMkLVu+SZkjdVrLxSGIqEzLj8/lvWeG9OXe0TVeC4sB
id1OMM09D2lhWf+0tZmTcdRSMUyU7NANROOsE9dTtiLVnzHavIe6zTxoOW7lTbcsJQyGF+l1stWn
7KMgw8FL6EerS5a2SQ5K6/V76WHRhH7sBo8WYtVJ1rJkVhvdZz7SgJFvKHHDciloN1hNnYMdj5/z
6N3VBNuu5O8IUvsxqGHSFfKEIO+Tm4Fzr3PgdZfvBziTMIYJ9N5lK1a5w/g8XRjiuZtD6rPAvDQ6
DGlGSq8D4SEE0np0cOVTzIUr3dDjrYRmbdUmI8BSUnhVajw040BqBcaDQGXIkAD8DYaZPIE7f8Yc
9zVyBmBLqOcdXaM5CdrcS7ubBqWqL99ffq/AjsWhA3hkFGQ2mcb9+YnLs+X/KVeLvv+VGBM5O2VJ
ZZ4kwpnUj6VJsbRzhmVJkfBmuZ5K9jKI5apMJ/CHLTRIDREvffuuGK971TH32QJRljjlcaHasy/8
rqKcqvTyr8p/QkLaL6tyCfr637PFjDF5zcaKUKGYNSmQZ2OPOwQ1at4SsVP2Kv8ZuVtDZ0EMzvQC
WM95l5WPyZtvpHP5W8879EKf/dOqfNllw/zbt+qKAQRldy0PObmvyS8jV4kQp8lzWZdL5zvnGMG3
CiT0/H+FSm/vVdrI8inyY5lrcg2Si0IeVOdFeXzLb8PI7x8HYCo/6PKVwwr+hWCcqHj9k/RJSW8V
maGw4OVhQtmknNfhZL6VTUEEWkS4YNlGkbqVTz8vBssVicYJ5laGT8uJQe6pculyc7mPREv4O5q+
rTRwCP88J8nfJG8IE+WSLxc9OTqRi+dvX82CkvG1KBG4Dyy35TQTHu/lDI6zFrO6+eHKL2I2Rx3e
40Fu7DObf/moy7a/3Idpjpl5CELn8mT5kZdVuXS5ufyNl/su7/fttXHx3KdKyzmMTSNPnL0TEbMl
1+WRxxZPu5NcP3/5uaJOHiujupHvJf/Ty77lze+hohQHubsSLg0jSC5Gfc9QRu6mf16Ub3E+VQk4
o3swrxvJD7+wvb/hxC+r33jflwfkay+r354nV8fgF/yz4hwnIL/fOURALsovFbjLbnzemeW95Bn2
M7GJ/zjuvjxLLn5f//Ku5/f69y/98jhYuXjdUXqfVWRoy34sLyNySb7jn+67PEU+qstRoFy83Mj/
47Iql+Tr/u27VprLFri8RD7x20f96b5v7/rtk8LlhC/UbdNHPXP0ZWhPJcEgumd3MVPKpdkFiUOd
/h++zcvDl/vODkq5fjZcnp8kzZzyzS9P/fKIXAzMBXpIbMl5j7bnAhfy5UD5sn5elMfVl3vluny+
PM7+eiXKJ/IC4Y/OGiU9Bsf1L7Xd2rpq3mXk+jF5InGhqDzQxRTfvPE5FQV+s7ZXnzmdCIQgFWFF
AfhnZ+5rKJPtwazxdcyaPf0szGIP00h51rXAQ28MY0wPhkf0x7FfNoKI4SSNDrSMhWpbD4XAHqgZ
AUW9Nquu5ikuNk4IUyY386vZiSk3UifBiNaGa3fI693oUK1D6Ogr8hz3/QefTycz8rB+mVTNudi4
59ySf15o5dVV3pyjEi7r50uuXJdX48sjf7pPXrrl886f8KfnnD9hTL0ru93hi2Lqx6Epb1x57F7W
vWUcKSidUxaTx++yPsppi7zzj49/e7ltEZyCn7yiqbmc1OTLc9cpklv5zCGtW18X9b18YJKH4J8X
4xBZipWVv4i4seGtY3BqpxHBXIdTGpH+OhmjX05BUmjFH11CzDMd1LqvaZ6Zftw2ewp2DsBsI4OL
YR0HtzNf2iq+0xr7yhXejVEM78SvEH4FBUNv4bpZvfUQCPVXpdNrXk7PMC4hjY2aS7z07KCujosR
Uf9McLQWqQh5SGSu275F70SQVp4sVlLqjLtO6U/Nmx1Glq9DxgPO4XZ8xF2YqeE+wEexzaayWcVz
B02N6FGkk+3eC4g00Kz0pHGd3XOJX2QECDxLx9ooSvBi9/3PMCLeJ8xylC8GAlTqbFT5BqpgFMJX
tbtU4IOpAVaC3cMRwlgyKG/o5VGlsI2UkmFe+kEarrGhZdupYsnqoccQsIXwtoWD3AbZtjDLT0Xz
bk1MYqsZHItdKb9zRUzbHJnstsLmEWfWS2aDUHMozNVV6dyhC3yPpiHcO7MBA2qJ+Ql+9HZ97+aE
JIJHJZCBrTpkmPY+DK/obvqJbC2vRs2cWL7TBPaWhOLPya0O1pIwXkZCoJOHEU341V1dqt4t875f
DpbMI3GfLi5UoCWEQq21MTMh50TV2lnszEXl1ybltdlOfD0ocjw+GTFkSrZl2kblHBJdTazZPmvM
o5IMtp8LFeAAmJyE6PEV8cowHCv8g6hQCvKCd2lI2YLopI2x0CiUwngcy9qFRV2baEEQINbtM6n3
xsZxYCKarveYiG5ap2BE7xOrf43o96e5UJ5KD/3y7GpPCqbANV1Y4saY8px6Lbgu5qbw+9CmoA26
dYrIVy0INiOam6xXkp12rle/437BIoaEDdu4iYsO1coVmKxxZysF8Ww3xYTmVc8IDKMlQaFcc55z
iHvMPplVEtftFy1dZOLw+LmConNBmalX8Alow4c9Zu7aM8sjciL7qjYwKThVCpB9gC23nPWoN20E
xEmMc92UFVdNH+4iU+sRheDyMg50F5UtkcY/TREKP6XAWvfNHqFkBwYoW2Drntb8JE/1k2zzdptp
9pNJIv3cFp9OpUUfk6F+YCcoHgk1TCDek3Jsl9qGXU676SZq5fRbyCsYT94cu48jsAxnZBJGyItf
juGVwP+/Hy2uK+VCLNTLcDf1fw+duLhLx/TT1cZ93LrVNmnwdRadfTOhstHt8VHv1Y/ZLvRrzhQp
FYR+RK5t/kwFnhXcD822qevXxQK9jeGHrxVcC0ObHKwlpSTto/cZHAQKoezolRlY0sB8LX2d2Oh1
ardv9kgrIZlew9GZVnOnX9mj/qa4BByUSozDlmTcFjLhr6K2ovtEzYkzqgrhh21DsQlvK9bm5spx
G7xo9vhTd4hH6KkRT3Ecsks7v7QgsrFa5jhyF/WibTRbp9RgyarOEybLfKO1OgqCQGSEbxF42HLG
QIyOow2l57D0ErMqhyJYeZ85pbZcjDvEDvNVFhX3Tg3ttwvFFuZzajPX1LIfHoRACtVEOLH7KY3y
6IZ8hgfrSKfuWVjWDh73ve4S6NvEN1z+bCttEPE4Bwji2naqH3F/67/CYlUN5Y+xiILNgnEnlI9k
2YwNqWjZaUxAPTV83CacXnRr+OGNqGIzHL6I0PhTiv4ut/LTKDiRGgoYPbPKo71rdvZKqzlqe9Mw
+NIWLpdSPdYBxnXaR5mzNfL2BbUjIAXPGfEZ6yei11OKIMG9HsTbsgkINe8J0hjn6tRkS5FcVdgI
pXbt9jGA60rcmEIJkC+1XCEmrkt5WM9rGgAThD+yuKDTmaVp72t0eR3xG3OAPmwwYD/EqJ06cy4O
XYMvMB/74lCbzAht3UQgpXGUh6h9cXVM467jT53qcbwOqg6TPk1mH6Qr7deq2YP+B2Xb453nzM8R
2GNtzSjs+s2i25sdk6Ys6W4b1/tZdfRM9YZWUKiGv5Ww+wVSYF53xv0wGs4BGRlIikb3weSCJhXw
Ca0ovDZm/dlSK4Q/U5qesJAejem9bivlJoOqmFVRdj0qCmaWPBkONOXQRw/2eqFa4EbcUSgg9oP8
AXgqObSJpj25oWOtYM1kPzg/nmxs/xA62FGLyVz1BicrXYNcYTjpAxXnDe6DeKeyxTap4UFeTqO3
RCtvEhdHM9o5Qi0a0rip5V/rynA3d8nJazi99YH9wYx519YUa70YhDrVOwsF44q2Ho3QILzWbb1a
97V7E6iYFIwGaRySIrpVtri3SJneQRTmZ5VwpEnbOh21il6w4HA8qcpzhjdjFVKmX3mBba6N+Ifa
kqmdvQcBXX1l7jNfJEyj8SSjAnoZVLtaDwqE+TQ+6pZ9LyZjR2MujWD0UDwyVq4+XXkjh3jtetsW
1eN6Fv0b3W0O0IA3Ks0cryoKMCvXnvG5dPf4ZojLK3WMluOhz9hCBSeXxhPJSVOJGVeCbVNdEU3p
PYRxOB6AbpZxPm91GykmoUGIJnENB964T2CkpXSUM7RngGTvJht4QjcCoOYKRbSbB+01YzyO9HRb
6Mio8YSILcpATn0kXfT6VMMathlN1wo9zAKhpaa04VZXYE20df0caHfODKBtJCLCeQN1SU6VMVDa
0uutgQmGPHCxFH4s8usX2r4VT8tuS3wfCPCTNYCdrtKTqbxOY+rsQqLUV3qmNOshbn/Oo4pT1Zif
BP6NuK3ZDEU6kjBR6igVCT3TIW2OrvVzQqkh8uo0kgGyzaDlrAyRY+gaxhe3jfaaU9QHonPE2gaU
xkXugI9aobMf9QfPntDchgyY48jBdHAX9cWqY9xUeeHGAHb9kIBa6lZZpJCkFqo41QNxE4x4cOGB
kCLAHKlBDzphTR6s6LMivlMYTrClX8uWiDUfZr4TksYRD7dzrpLB8IhKgpTomMAb0XFBzeDrhmnD
ALOaj1yV6AT3NYdgDKYKoMiA+oJQbXAK1nDwEGeuVMB8nhf9zqf0J0oT7CLUJa6aontYIhZ94CfW
XoTuR5SnT1a+eK5DWH8ki3cQZwTDJM16jJwfOfMf2tEuLIcMW6xWxVe5de0ob04Y1YSGMHeYlJMy
zuPVuPSqJsX225JxS9gxFONsWhZp9BAP7ckpZ+cAaY+ufdTBPeGkXOt1tpk0h67viKGhX6UwYnXD
SA7j2L+4k/u7qW1tXeV4V7wBlG80XQ/IAFK0u2vb7aYdWIIxAiXo4RY7xModfEacbjbXYlcHyeks
dk1MSCBObLwLHqJiy2LOAG7GCo6Cv2qPGdj0lddi1Bmol1550sGVF7l74GpoPsacHRz3wBn9OZ8J
MKVMdVKbu1QgC8/gLc+4fIMCT0qMBAjrd7LOzesui5LNXA37RBk87Bvlxu6xgpSWNx3GILhRW2hS
YX3AJ5tt46XBFffjrkjqJWtXwZEZQ97NjeUMxMnPaMe7XgjyPtKEUVW2m9sJuPpCc6+9kUF4qu4U
gQ/G6NS9SHLzPp83iF5ohJIqQ05GMTU3rRU2Nx105Y2IGuWWdFW/qQrIVBXEWibQaP+KmzQWZMsv
U5MRqtLkvuW5ToMQux1QYOwvMA6eI7veTIwARFA9JA4sQQ180dBBCYa2TzEW3nqGqDcr5m1IW3KT
wCgkkfbTmUOCnayEyYITZCgHjRxaebJj2vBal2Td9GgOMM61EANGZw1uHm7aXO+9ooH/iJLAc/DQ
TES0zv3ziGjhWCR3vWosI3TE8G6Rv6M0vnJiCkD44/HwTagses0aMJiXgNTDQ9azF456N994Wf4o
eveX5Vrja+l6P+oma7C1ZJ9xotiboNdQ2zgVqXbsX5l506Qg2LPG+dGi7KFBqm270M6OM0EpUYFl
U+laUlAXKnZQh3utSHDNmfkjvCRrk2c5DB/ETkmsPBcJeQqtCtSknEhDwLnAXG3+YUdNvVVFhqqU
/9K2Evacst2EDejMQPSRT4o4yhWCG1yEaeuSrD4t2gyKcTMaeERrA+5PNQ1E2YDVhz+yHvVMI3IQ
SLBN7GafIVpvbMgesclARxeEBYYwVzYOQEtAffc61xtfcUb6MBmX3BTNl2atVMqbiFWwr83A8kor
gOsddsFK1K1LdPbAkCNy0u1INTRbbM3NOKEnrzoOfcxCU0fxOXOvUrUGWdV31o+c6VIS0sovUaWt
rYYMhQAJ2zyQYOSq3ZIla6mrhraYaEY8BUk7bMjxNjG6NbddAmyCAK6IM1mWtkeLdAkfxAhu63wK
cH2N5KpGs01mBrPkwW13OTr7LM+n/dQm97ntlOAGxYGDGgFrEPNVOue2CHKU1gJbnW2rmESb4T7B
7mgtUM3IMemcNKjTiCNLNszOOeDYA8HDcfYnZEk7Rp4R+cGUvaiJwWmeixbcEpgzDnC/1o2CY1M+
iLF9ceOHyOxekq7EuRumMINdfygS+8C/0YStTagrhqeQP4+obyzLAoFVX3NAww8ySqwCbuS9REDT
t/S976EIkZyFFW3nmPXK0pJ00zc4qjTipG4R6SKnCxjMaKBgiZPYTk70O2NbrmGCersqTv8ej/YH
/fvd8hUPid2/WVS5iKfInhsCNdRk6vZWFwL/I1LcDYpmM/avetBiP/aQGfuhZfSbtO6s0+8a9MUx
CEJ+geM+4N91VuC1Kt/Ech0G8AvwyqlosrBLcRUOcfPe9CXZLJbAV0dhGA0eUNla759nvX/NtVCH
6+DAipqbGxUrxv+wdybbkSpZun6VWjUnCzDateregfdyV9+GNGEpIhT0fc/T3w/zOAel8mTVzXlO
TAYY5oBozPb+GzICuU0UJKu3cZtkO7cSD5Ez52AtGxmwZo5BjDdtiZhYrQnkHUpYD5nQ/K3dRuiV
as0Zjf5vUPE/BRULdUbC/9f//W+kov2P/B9Axdcf3fvPv8cUn3f5A1OsgSkWYIotDfS8hZTDginW
4Rv8ASLWARHDjECcycRyzXa0P0HEUnrZtFjrGDpqEZr1r4CINXNGMX9mFIAgttFx1oG1C9fS/4FR
EDTG0GVVIfDWAZeCtNHWrkRE1gIijR+02GsBOIRvwp0bvLdYVKybODAv0ctESkKvnjwMVxjHEdaw
FNzkGr3aogZUKOBGG/Ld66YCEZTrxOAUbXjXgm4XeD3OoiAd1z2+jpNKgquDEY3ZAv6Rg/1Upd6I
fTEuNK6W3Xp1bu4151ih8HjVjRajfCzgp6qQHhIRL8TpiEeBc6ii5kG0Q3lZmcajI3xtxuE18GZV
f632nb2FqHihNorK5MXMd1o71M+NXz3yAMOeV/MXgdiIyIZr1/Fqho2gDUTXD2uotQCcjfIGyJm3
GgHOgV0j2MY7ausx3FmHva2dPN04Jiq0GAWNGhsWw8bVwQsT5UOfNUrucDkE2oamVaarLy38mkib
Ti7ucLnnF695Xt+G6ng1FQE6b12JH3nWHx1sNVch78TtoE53cf+KFBJaIZpVb8sJsZZ+0u6ht/cr
uQdpAZCplovMvJMh3my2LjA5Prh2jUIW/ElMGSPYnl58i59Qwfgurbdip/XhXksRTMhLg4td/Gpb
jVe12q6Dpi4YfiHJj3kl9PefaGaH69rx1kkgrBNhc++a+Y+lnSYcRm96vlpw9m+MkjgE3wYAFG7/
y67718FMywOzzK0fhZiCoLTHRN3eRFEYEGxJ+CJmSY1RqbHDXYWXeIamlD3PO0zMzwKYbww7Wned
q0hm8hnKaoDSjdMh+sCYKbShajHa40U/8SruFO22qNCeEmMVbZ3KvcK+aTY7QJI0QQmCqffRu/Uj
JbxK4o4BHdcmnyLlEe2aIoGQAmO62DEC5zlwRmDPDNmLja0nyW1RqieoVM2l/YBQh3/w6xw0afvL
rDrvqtTy7xn8wn09A+qZ5FirhLno0SvUF99AjNR3eoPL450m1c3xZSI9AwEVq7FOILVfr/vUr04C
898cwv9LXDhosxKzrwh6D4hSJ7YrTjAU03XmGdNGmyn2Rug/uUhlESkW3LaNin9lql7rwVDvg1pP
t542oGvGfxH8AcJ7oc4sUYlxaWKQdCCkd2H1fJG8unJuOeqDY0He8/vE3BKsxqkkzl5yNOsunZxP
dS0eRQJNrGyzh8TPnlRVwSG2S8wD3uM1bLrT0PX+qSJecYHkkb3rQ89Zj1o/PVshdq2MuZV3RYRX
Wo+WZqK6Naly3iGOh6iGolzA3lOvq3ns702KDRk9fdHtNL9KdaZbRc54zrYjc594gbh2UucyMPT0
ML+usNRNiZj4KNO+gge8alSn/SjJL13aqnc5OTk+d1ECvIB44KlWuQYj+ngbFU2lq1BhjAlo4lU3
C+/kl3h5EyMg8l8To/UcfEqs0TI2kzIkN54b1wfLDr0L3LqSKwKiPeN0Bm9+xdgMVl63NdE22QRd
zlfcCnSkUTI43x3RBVUztX3VoZ6ILw2aM5733IBDf2zRpSZebq07PTTWMQ6Kxxxv8tqvp1vOsxkF
V0IfRzxziC/lUXqJ96V1LpIouspM76K2DR43/uWKpaGN0DfNjSuGDzAm5kPsh8ace4FhMHZ4zQ0b
00TXplStt1EpCJz76Yl3f76OkNxFGwBuhpal9VEWYq4hQMJgclmWtUygOYaeVPvH9hGsCteLZbl9
WTy3lCtRNqYnuelTVW4aTAua4qDdyi5kE7n+S48tcNujACnlvOtOWBxbbQYVTRJTVVh/VJWcajAv
y5psJItln9jmjgCyRBunDplcLZuWfZZ1cm+5gSQK9MgWRP1oJ+2EUdifPyt/8Xwwcq0ij0tWzz8n
e/lUPbeVv3KuEtI78bgn++XgP52c7En28fWXPi1/OU+5z1DhLzvYVbVe+l3a1VX3MJo+o8nlOsrd
zicoGy4/vVyTr81lw09nJ/f5yyM77/mpe9kpOGtSXssRFgWyhWad5EDHFK607F8WhlXW6lb2/+kg
vhxo4UI0TMwK8PDw6hM0O+9wbjWQu5vNszBAAIocNxn2SaQ1ryKM8mbVSwRdgxARoqG4S2efc3v2
PUdaGmgabD5uF7l22dRUerK3POX4Zb1cNOedZQ/L1nMvtT+72n/q0UOoPCpEfRzKuDwBKIvUCOh3
B6JlJau4/pW/l8eQIEqQhc7m08rMi7uLOH857yI3yP28YNR2g9rfYIvj8h5QrPKIcBhIy2ycePWj
c5I47qmMAezjzlAeZa0yQO2LVkB3xhMX0YUjuKnrEC/Y/fKIFvJVUOjX6MrrPJH5CaE8Plcx/zPG
wNmFU7tr9BY/7PqDN/lsTDy+4dNNdkqzgQhOczHOEExZWC0T6L9aXNrJ3fhvIMTawUex0XsfhuI0
1LWN2B1eXerwPQvcCuOhGn6+OwUCvnb/6qXWQ+7xmQ8tMkjFDEiU6FKJUJKL5dDMchHZgTSDYIgD
DhaTb9VVrKNro91K9AFZLx+7N1mg98oYLY+Z3qUp2V0Ux7gwbUfjpDuqc00uFs2k7TvEYpQB4wdZ
kFFF3nnka461IpFdvsDZiRxPTvaIf6mEnciCjPFK7z37IJEMEtNwxiSGyq9CM/ttkRegL11PhHtr
sG6rvg5PI2mK9Qh+Es8ownSJpxySATydSYbFMFDwghpukge0QOJ3E4PNRkTVptQh8Nh2LeBAKRVZ
mAigFtiWY1TBdVXBOuHKXr4CJb6qGJHwOeNfFQ33pH9hdpH60LciRrHMKhtvliz1LkB6muOEerYS
aEcN1z+jLxgbOwz9ZoC7xFjJWj97GULdP8NYB50EUQLOf5sxbzmmfqvzxVJ+11B7YJCVm8Q+RXeU
/wPu7LI5+C0WiAwAAIvN19+ei75xtIsyuUdpdaY3gNInIoTnmJeIg4pp1X7BiMW2CchYYn0kvCuZ
MoYGDPPaGf6pzygjs/Sc9EBGD8zpLKO9oJQkhkkW/jgj70VqXPcK1pY2Kntc+fn+NkcnnNaqPhIK
DTCvmYGvyw0oa1/WjcCaNiilIU89vw1dO48YM+5qRoEYV3UGnIP5lD4tW3YQbpmfhbB+5peLNZ/3
+XRmOoMEtMlTdgtSY+mESqC8neTpyRsulbjWRRLf8cCG2+rFAsFa0FzLuiZWsL4E9PwF0XRGAS1w
SMhAMHkaJLLlUydvIVlbigVSydeE4WpkHMzZ71zMhV/yvZXFsjiiAYROaIKjJqTIsEdaVWJuz1Vh
DPj5Ooh0jzMGF10Abmh5V8/Fl8W8RkwaZTKQVVBr2pl4sxTjTLyQiz46Ontui6PTi4FEd69/NJjk
bjPhNUdZBAHWI4PH/4uMj3cwjAwMSYsqb2xsJeZXXroF+PsFB4z5xrHW0dPxYBjvW2iiJOq4jSaA
LWNvVyerheQ24J+9iXrSBsgWavV+5JsnT8jgkTZz/KR7FXOFDOFAZIx9Hcl38tw8WdVw1OFzRMA2
OlW/cTwb15zORvV5RJVrGnUiWoGanAYRXfph9NjjU7P16wKZx8ogNCzVb6RUzAw3zhwMReT5nJ8C
Rd3ACiHcOEFng9zhnxAgI7I3krKbwaqNSOMdgP5HiRKV/3hZW24GuxSITT1kA2KJFaH9DQK61clI
3gctF0e3ysyTPRcoK++UssHsKcfOoJFfNbcPj2iRZj4q8hZD60OoBrsuaJ/bwsUtt0r8TZkIEmpd
gGWjrpmXIRHh/SSdawzcoO26uCtj8mkGcgo854mygucNzREy5KZSiT8qDm+QzsaypZ70+BCo4UEr
6gsRwR1qMxAI2GpzmgavOIN0KkD3eVlDZ5rMDJ9a12q9Y5ZBWTO02fDcYdiszmPtYR5F26R8cBRW
njFkIljQXScpyvh27d46ESRBp6oee2svmPai/zj3buSsTmLP2cjf6adcrEsM6dBm9O2qXKWYzWoN
RAcL6Za0VuFnzd/5uoeYF2i5sguR9ik0FRdruU5unaIAmEHdPAYt75pp8p88L/F2qP7lp9r4PiFZ
dtRrH/1GvLVCuhvIMx7DsnsyUWlY+Sn6vBh0oNsXT4Qr5wuQOVG9b2P9krzSTUVcYKtONqPwX/Ah
8lNQdt+02h9nPfSt5/f6riOVsRrggcD54KGfi0xRfFBM6odR8yw6FYS+Wn1wvDI8VMcob5pjMhey
1o4II3qu1hwtAyV+u7uxnSHaRkHQrjPeJQRbETs/N+DpBcXxbndVu4P5SjoRCTpcjp2D6tX9+dyC
YjbNG3oHSc75pTsXXQoNrCPIssEC2kUy6CUfq2dfabDQDScN3yiUrW0rfga0AKYs9rK1QKTyKmoy
9OmR43Eavg7y6qTjyJDICHVypkruQmgDichk8x/hiHKlhBsq9XiC5x/sZWN9frgWxKGsyWbWAmWU
y7KDOMxIqWn8A+cf+tROVlE3iLdIGPw67yvXpVF/EaLVvM7MH5jgtts8SUoMTxsfarehYFIRPSAU
PV25kxbfYwE0HaL+PqpgtwidZHplzyE0Zdyh34r/MDqt5uh+9/v0eSpwOpcW0e3QWati6pTZsxvg
hFW8oH23T7HtJmQBvzdAGRsvBZ00D3ZefjWcMFarfngDHg594b7lksUyElPyutJeG3Xb415JTFJR
Y3Trukm5n/TghwadBC+8t1o4pHn93ruxA7+68jRFw7k2HN/tKsSfKLee0M2G/eiXkJ47s3uLlZPc
3osE4xDQdUekrD3ketona5hwvQ9q2N6pZ1+XflFfZ3ULb5qQC86u+X2mezAZk9yH6hSaF82EFJ7c
WCO6PrTxe+3Gya5Fjfsi8u3sqQqma9krV41bPTSNKzfM+xuTuPBKbmgc5TWIyK71RaUfTYPMdToW
LdkqxvW5ivva4E6vpTbYuyxDmLCs3em5L4ILeRIjPlMAe0NxWdSldsvshweC8fqtY4GmqEegEVhP
eXc4iWgnoDUj0TVOZSKmgPd8/C1VqmlvD42215I2+AZFibQUF6EdgwFEtIVklJ04d2bskMCSV8eH
rBs2objt/BGLV4G8guxyhC3TDSbZ0SxqDvmIPS9q0v1rGhTnPYMcBYumFngmmXb80HbDm+xRTUJz
lfrecKOPqbiarAbtlfmnEAS8dhK1fCIymF/UQwVwUbH8d9T05LkbJbdTWNXWRder7WMYT/eyw74w
03WHxt51MBbWdQ7k4fwPNJ3sSVfx5iiHONnWbRsfNTMiSThfErU+IYXRv03k4ZGmE95BRw2XPE5y
KXudAltDaZhbDCyOdyNvO7mjUQKpNXP93lDH8BQ4sbuRh59hZtPodv4c5uB7U3UA81QYF4Gdu3eR
T4DVHUX2I2uNI6Q//WVAenzHRNk/+oA27vwBr2XZovWzC9NSom+ggpHQGqvyWPBCuqsVCNY+kNcf
4WDsPTAm39owc7eBKCeYckRHtdw6uCghnftJUYofjCR4ZbSlbyNfOEcNUO7tCGH53A+KgtuoV7rX
BIjqVrEBoQ0iC26rCtU9+Ut+mm8gKnmvtWsX27hI+xMTA+2GMDHk9vl8KiQPABU0b/6o8+/2cPCy
Eaq9Ub2gOvdhkS9LG9N5m0rb3QyFFl1mOXFoXAQRFZ3PpyUV201T/e7UpsBSwGgugW2o1+YMIZa/
MvAOcCPnPcmdYZMNirisSf2jkk1+W3bhdgeL/PelbIC3Sr2xMYu5ahrbveIT4Z1bka4sotH+3uFw
zzfdrq9ip5m4BTUkkLo6+ZH8PqCc9PRg9OJKGH2OHTvw2bjqte/ENc/HU6oOdgRKcO0plXeJ/EG7
wZok+Z4qJ3k82lQINGbz5rrAI+Wy9cBX4wmpv3fGi2wArnpcV2qJiLs2FpcGhPNN4zfqdd7y7wFs
tiZ0X/0kpUMosm/Ue/AqBd+2qSalnXX3k6PAPNas8medALOzWuO9FKmyTrA9vi65P08Zx7jtyNo/
K41/f+7NDR4KJzefPSVRtmSz4pOtKcY1NxMA3sDx3h3+WbJpLBoEYduwvEcHvcP7EWE0kefmfW6R
0JBNsnxYZwRn30nKR5siLqtrXTP6U2zWINC7onxRk/JWNuXpeWzVqnkmtBLvGh6JYzk5wU2PCj4j
n6z+LlB9MeYzFkxqV1ZjKXfaOOoHBk/KfrIEIq4+IWmApdVPCJzktDvlLVKMbONvEsBa14E9GKfG
d4ZtmPJ4Gcjjy8tj6Q7wtSp8Nuqm3IHl1Y46smA3Q62oa90o5pHRi2w5tR4Ivk7T7gYPc4p+BI/Z
dNVpaMv2AZZEfr7eo49ijuGObwp+LpsOZMBVjzPv5dACMWs9O/g2tTGuaPN/r3C/qV0rnmx8R3dT
hpJPjJLHjYYiCHhLbjitu5IXqGQmB3t3qu46QIEXYdCN+wbJ9wfsmZkTzp15lr9zSFe9eSrvakd3
e8yqlPzSMxCyN8O6+aal2kk2JVL3HgYZ38m0z0/gVdK9pgyQ0jLXubOmdERRRhg/2rTa6m6lvMZY
8Gz6Jq8vQQVgmRkhu8cgsvmeOndjm5o/BiXho+jayo0AV3ssSgPcQN61L2AmrmRfQaP+UiI/eiS/
AGxxaAf0ePh02z4+lhy1+aMLXSignvbNxTBkO1nBcIqmzL9Jazwrzn3MByUXW6xLrh2Vm0mbX01y
t3l/2Uz4x38rbRUf/+c/3/95UhyG0/+cFO//4+pjCH/kf2dALORufyTGVUHK27BM4QoVaSwVYbs/
xLZUJLVMgdgcKW/D1i02/c6TC3veCWUu9rJxr9QXsS2h/U3ormahEuci264Z/5IPseOiHfZ3aXLX
RfkTCJRhkl91TWMWB/yk/IYJPfoofhZd4u2+JgKBQrEo2mkfJ8Nl5MzpEKl/EeiwNtYWjpmr+ZOP
Pz22CAAxt2Vg/jDSgLGweZn3zMDrwOrPBarDw9FD4AvBw/Et1YhLiILogpuVaFXJaua4nbaV1RYM
ynm7XIxtrwQlhkMJGKT8mM9hzUKU0Lnbfhc5BFdlodU1U0VZLZCXvwjTnyTGsuMikmLP04dlsSUO
sh01hYH0PAlZNFNySemT8inNZAAwSe1xI1U1FkXXZVHWXA1nO5DzBylp4c+xPzHPCJfCbHEXbA3z
JHVIpNaGLKQIR6+Yym4K60u5qvCwQcEnKVyX3Uwz6DI8CXmpzWG9Ls/vE62udl6HQCeeroTIzlUb
Xb2LeLg3i4pguphZ+aVR/C7kYoQkMbplyq8KCkJ/Iu/dwL+wu81oKtHAOCTfJAEUedPzZjjjzyYd
b5VW9Bv4fCiqu5hVBu0N3AF/N9bd3gGvvbKVGKxZGzb7ZOgePbgumlepB81JH1uUDkFUVNe9FpvY
SQN5KyL/FiRn2VSnCR875KGoAWbP93xG3r043tpCwbemN7odginKSsF8EzYpdgACrPJMFPZnoQP5
v4ms8imZcHaerjLdeJb/Pz4JIeNq/NmbWyPvrY2Gywe6QxiSQBUZDTLs1gewLMiGAA2OSLu0R1nD
bvp3bVknih6P62VZtlkWl/3kOpUINRSApNtWY4tu1J8d/i/dfN0su/X1AEKHrJ63Q0OYyJQsv2nK
g1uWl9/719dVBaiBOMOpR+4ri7RSf1+QL+uwYpr2iunuUN778lPnS/DlMn1ZHDKEx9SWwJncOei1
Yl/V3hHXzYzoHBIEssj+XIylIsGyLDdX2axdIPeRW86Nlj2NcNqPDbJkgQ6F4q+6/bJu+flChim+
bJaLS5vlaLKmRBgZ5+KNbCI3/FW7pT/Fb91dBSFzWbXsuqxbzm1ZF9f6TWWRSD6fLt70T/D7/d2n
nGKdV+pW5gA/JRU/VWUmUhn9m6jVNLgPc6JR1bDCwtHHPyd7l96WDKesyW7PCdCvuUkcZY1D40Hp
nRPWf7WfXPcpeyoP5JzdlPvI5WXvL+vydEAHtlJzkOJBh4/em7Ht59BUMwepQpSr1fNymDAbBWnC
pk9VmaFMkvk1+nVT0R5SMksy0RFK2e5xDnCGIY4RS8y6kp+ET4182fSfhrdbpDF3Y2xeR7NAxqKS
IcP2tRbyhtYUQnHAiu7kOtlO1sx6QG5uWZY7L4uyjSyk4oasBaqJjUWmm+tpvjppVnZHWZOFmbuA
QZ0JF7tlQ4PvESIVMC40goi8oT8Xf7WuiXnvoiEpc0XnBN2fWSO57sxdllvQ+joURqftoWi5My/N
aI+jgx6jloXXXxt/4jyfxUeaCQM8PQkOUcr4QRZtR1wxLfxu3QS2lBn5XYT6/FKcv3VygxYrpAqK
/EWtBpBwczpDFrrUG8si3cH9yv82zJdK1Kj8FLVQjr5aIvkITGJlaNiA22TINmbL66+fda2WQq4L
cvO7mg0o+IT6dBxsbzp2c5GZnC+utBe1XzBtqREGkrUIBHVn5CCGWsc89nOhwQ/dk984Bmraq7jI
6dXON6Z7UAzGCq1qZqXzXSP/vzKlk3gTN4xc2cp7x5w/gslpSnyU9D0B4CfOYBzhql4h5TFfInlh
PMM5MNuxwRupxtFtXeMoa4EJ+VXWRqvNgdoiBp/i+z2tZc5JnwxGGjIHpc7admCJsIY0VJi8I47u
Olgoc0Cr6EGmEk2BE0dFknptmvBytihL+swpYQaRYWm2WHaQ/J1C95hANt2GzMPR7rahOYFJcAal
38qsiCFHb1+yJOeVcrvcIgvE3RnnFXqir0U+eKvz8rL9U6Ml85LAat3penN17nKGTG1cL6qJRIsH
yKHpbiCkTe5yzjbC//pdDBCXvaIXB1RwLA2fQ5mNlMVfJiflnksbkJikFr40X9pUVmmsdLxg1jI1
KoupncE6sspdRrp2yeJ/3T5aUEKI3hFL+DPTv3T0/7FONjn/itzPQyfJd/1qu/Qia8updgOZA2NM
3bU8KXm1ltP9sihPNFb25nTXzF+FpdBmaNOy6M9IJm/GGWmNtxPVYHHDzpCnXH7NloayNkhY0rLP
svncbYg9xOHLSltCoL78rGzzT9fBXEW8PxE7C70uaJToa8gCPC1H9rUql7MZSfOXLWtzzrz/8+2f
Ov3a9NPyufrppwd94KlDXOjc9T9sl02nMCc6rP389Bt/Xf3rX1oOOh61x9EtoNXPF+NTH0uTT13I
Rl+X5cpPu5+3f+oKM0ijJluDab3+qUj+XEyxhDRgNsCYocWyftnBNlQP+a2EaNcffXhGo0PDTLC9
kVW5pU0c7fwTcHNIK+GLw1AVJTMKmaac5lxlHBkIjMqqXCk346LJbHhpKWuIEmob6K8AnJbNVjtP
luX2T93pcypU7wt0RWRVbj//klyOqulxKlysgNvWhTY9H5LcXdY+9bkc0rKZf/e9oqECpiE6sO0q
/Vk+K8sTIRcNH8/Fw/m5sLqoUMFP8gDKVmpaYHoXMgrhc5qRUprlEgM5ApJaHUvh4H2xdtFVXtsD
qgv4/5KMlLlJWWDYgMierKZTbKprWXU/qtYMjwMENz5q8zNjzAAyrAIL/qF/LKbDLoqOpuNk+1Eh
fQx55Y3BDhGEURCLrduPsTV+Ej9fJ+jiY6Xhb0ztgQB8dcSt+RtyHekprAGFNZrxFoyGi3MEt21M
N7l7cknRbxfLFTmHX6b0U1gFSPTzmVHaLDqpLXr8sc8AN4jF0RJ8zK3GXscl7DZFbfe9gSMT52Ka
w6meSUR465DDP2pVmmwdCwsSxdyQ2b5Z5q4yFCFnsekAxKm0DAj9faf9O1I3/i+ROgjz/2OkLq+a
4D8273HefCGxyB1/x+pc62+4P7gminooWINAIVb2Z6wOfothOa6q407BnyVWdxbGtwijWaqumpBa
/uS0GObfXIHun81uDuL44l8Sxgfv9/ecFlREbANvEaFzhNz0Ms74OVhnuE5RW4OtXwKem0WIZZGQ
d5wJ/tMeHTl9r894ImV+rLtYBw28LMuVjQqsr1MyayPjamMlUBoEFNSlhnaRy1FWUnneOu5HiF0G
GprbRCrRyZu3mtmjQ6DcSPciWfS9o6YYCnfuRQxAbJ7BAxwvs3NQTC6buncSQ0kkzE/9C/isKzy8
75G3xRUqSJ9JR/GsinsVqZxD1l2T/ZqAZIZba9Tw/uxuYgWAd4ZQMRi84qn2p0e8JtrLvk8x79W3
bgzRzxrjYhcFjoaOk5OtfcO568PoZHgBcqLowK/iIj+VLqRaiDctGCYebE1LUZsogaqnWFUHWflD
5Lz0mGHfAv/8VuKFWpf+3ag2L4lZ2hvdLFHZQPCjcybA7inYJFTr0Zk3vcsywySzCd1f1rBJeQUg
5RHlrHC0VVY0Vzi+zYpQV0ZjIpgymS9lOt6YcXanifDNLCyQFn16l/EKJpmeHCb13lKxeXbat841
/ZUwdEi9fg/ohTjM3GET1C+ohaDeh6bjkCGkmWJnFPcYxmDePe4gRrp7dIcnhG86Y9Vn97mCzYyX
A3dsySJF4jJosrfC56qiUo5KAXjKlYC8E4TVK97Kjx7CHVpZ3Tq1/eQG2nPtoIHl99HBTa0rV/O4
7oho2eUdbu34qlar2CCZD2K176toE/jlT2THMBEU2U/HWA3ELIBOweS0kMPo+x99X/9whAfoGDMk
P94HhCmxPDt6tQkMNWRoXuyEGg6M2L1VbFsXlWogNKAFOHtCDyC7VP7SdQt0ijoBSyE3v/LvXFu/
SRrtA+GPjZ4Uj2kHNB9GNFZNgfkrBUyHPMQJtA8OAzbKTVYPY3HipJXI3LgJjODRbrnxquANHWZm
hXY+kn9uEGxH4q/E4L3v3e+FmSSbqq9usuwbWlMYzyIZQzYbmgIOvA/aS6xzqYg5k6M0rB2p4Usx
wBHnfirU/JCrzp2vjfUKuQXkaCac5ZKLrFdu4snYdCla/bZ1o3djvRaTibpTqOz7HNppHY8/J224
TiyybIiV3bSw6UiAiWDdmuyppXc4/8JRUuPnSvNeROZeN62lrFt13PohE7Y+bXHGK/SfRqMS5D3a
Dcr3ZQybrXCiA/JSaP846IcMtrZziuLJ7K2fLRi0TZxiWIRS+SqokgdSThOMpujCRdJROPDCcsSR
NroIj0rXr8sSn922Nm4z2ysIjXrXZlIeUj9+KaFIIf92qERtrFXEMTQ9vKqc5rFHrQdL33RrZNzJ
FuztVWYl8Kt91BHWqaVUmySP+nWDkXr10HcO/2QbzpRP/Gc0r8wJw6o2xgS1N/27ZhDMkdUTeCiT
i4rLrLp2Yh3gXjH+4gde09C4VQIieJgRfzfS4ULtoBTV1YNnRd+ph4ieWgdHUdzVEHG8F0XYxaB7
osuw9O9Rr+n4+ncIkuTz+UC65x+lOz0PKX7AuoG0jkmGPh3BeMRIoNWa02388lfUKAffvc7c6rGp
VAhuKC01Gs90F4nbNriCek7UJKnvLBE+z7FwBbPQFaSzi17p8RPM+1s9G++Rs0r4SnB7RW+dwB4h
ra1f2J/ESA3F8NqU4WQl6oMbcTPjV1WS4+8/VPPagyeOFMRNnYQfkAcQ5076+0ZUAQfZPAJARLV4
1EHxTVmwDWpr60x8UoLWe+iC7kct8nu16N6GgoMU2HYZ4H2x83P3nPnGsY3bwM0wXu4zSLnpuzJU
T+jmbzrdeMqJatTG5DB0WpVaRoI4Ue9RJFnZ3fhL0zNgmOXeCKNfg5+domHaKXqBNbTP1wQuERQi
ZM1Cd8MEEEYwgmZRWWz1/FopQziTJi6PLaQtutcdO9qqnsYAVqD4kFroMrV7lHrcH1bEu6INbiPH
/DGNaLcgI04nYXiF8te4NTPefxOZ5xWZn+uwM05+kh0Ymr9AIf+wPf2Y5+hcBROqPYFhX3o4Q7pD
f7JHDcmbdLoNPQwDVQiiBvoVUK7WajpAfUreAxQDVP9e9eJknTaXQlwMcXprpF7ONQOb0BYmao8u
BgbGWgdvlCTZXdIlH340Y35I+LjdgKvCMDv55bfwJ9fh/HQNoGKEAptVC4IPZPq3XW8iEdJ4qAQh
rtuPyUYob9Zs2xXX7qF0yhkMhnl5jH8345VrJ/N+dBnBwXo23Mim743uPw9DeO8D8s47KOFNW4pD
OGts1Lb6LfMaZ4d9OFFvB9+HEmaVjfemXlaXgxLfjgHDid5bm8BXmZV6G3KAe9Wc7pFyG1dlBDSC
bF5lITfUxMYV0QeUEpp430fWoei1XWnaL8OANtd8t7t6oe1hY4qNH407f9Bf/T5EPqgW31NB6h/L
P8C7ENe/ZYGKgP/w4Q4NKUb7KunFE+SBBwJ1PuI37Wtke81+cshHIlDXtha+rkp9jxUFHkG9ctG4
B40ZxnoY8jsxY5Wm4OS4OKpr6QoUdQwT3brV9Aq/WBo52aNburu6iN+NXs8I16AAMXEjoguwKqz0
BFai3dhmwftuMMHG2zjFZ0gup5OKcbrJfdPlOPJ5Tbcm6x/MRizfzD4tV6rJ+kLlzsUYcgbK6Os+
V/m6cYcIo9r7WXKwCuNoEc/rLA64CKcnd4Di1pOojNzXUOvCi2iyfgaxvrds9FZALH13DdtZF+Zs
2uZe9LGYJUusVV0mb0hWqPu8iPZOLfZd3Dt4psYIcvklM3FCyqfQ1Dctemq4vmWPVsEjbqXlu4DZ
l428cqqq/BBjHe+c8knEqruNij7ANC65LBrGQ16u8DiIp7zjcQ0K59nON2bhIASOiAeKOC9xbAVb
M6jwY0puRgvJCz+P7q3U+8gyMhnYwvIJiiY8CV/I5B09nPPWyKXMTrrNSqTDd1FgUq6jwVOI7xMi
UUafPGpuIVb2a3rdGYKxgAYmqEp4I6ZG/UgCHs/4VH1RFHWmGHAneCQ0u5pdMEh5GQrUQzCqWuFk
Qnqz6Y+GMTSrtu27VW6lEDG7B80pfpjurXDVt950ftY44UAA6i/j2tFXrhFdjQGeRnn+5LkBVtKB
elvbGDhHE+BmgX6i3ljkwHpjA7AOkLvj3+jBoTWSi1YNGR/F/msi4u9R6b+X8XQdiOi+0aNrzVOv
MH5111mqnkQNp6VOZ/tjbkQdEC4AEbCF7mylWD5MjnjLFOuUm2QGtCR5aBMLx1rOsQazD+F9B9b1
ts/9FzNH2RHNnpNZCt67WGfz+ttg4/uo6AGsYgtIqhvVmywcvpnR5PHyKm49BtacCr7Ro1UBgY/4
CAX+TW7q6NCke1c/mEn8M9NAW/oTPCybj5Yz/ogQD0cVWwEomyU7Z5xWsKpPjMgVnHNWIZT1+Tkv
e+8xrO0G6LBaYKUTXqn/j73zWI5cybbsF6EMwqGmEUBIkkHNZE5gZJIJh9by63sBvF3Munar2978
TcIQgkESwuF+zt5ru2EH7cMk0bq/Kwzca3HDADfJ9D5QTH43eBYuHQrKSR+8hUI+Ws7MNCUPQIZP
EAtFU7wkWhHurOoXyVz3sVLhEiCeZnQGSgX9x9S1n/psYZkt3iM3R76qsq9kEN8T24xVB+5R7fb7
XrTxQQu6e03P9pM5XGl1cCYLErNkWP/sQkApxM7somJP8bBsYsAukf2DBKlzUFW/ZcstdtLSn4Pu
UKxwDu3IhB6B/Z2GdH/r1M4v2SrRRoWurqnJxdV6klCl9d6SxB7kdkem1HLDI/Fj+IR9jS93qAka
trKjYyn6flIrbv/dgyicdyMOJPNe6HOHYsyIy9JsQEyqYP7fNTbBQ+MvBpx7g6gTN7gbSn2bhOhG
29gPCpkQOghlxE6quyGGVUnKY32QGi6E+GkUOWjBkNv/NsjMFGz1TD7a4JLUpCqcL7E4MyHYUeIx
N5U5HiNnpuveQaaX9mUI1IteIgOjj3Bsq5FFUGNtIyfb9Xp3VRXgGGswj0pfoIbSPUd1fxG8dd8Y
eLDrrrqdBu1ZLZ3XoIyvFNS3XLpcYMSJexZahhSyyjyjtBwU/dhHXFNtYn1MjXaXKM6+HinkJXN0
JXNGqMp9Bg8M5qZBdWtES1yULS61EW2TVntObOkTfrevgn7c9EN2iG20nsFjPCzur3SZ1YpuM1gx
N8Bo2JiISbumlrvIIKyNrsTBmBijXLd1NsFrMGjtcSH2aaHMffmoAKzwcrsl93lygpOVXRkD9MQg
s58MIZ9xi5O7YN+U7New7LZtkX52urrXqv4qR6in95+RDD7Cefjh2uZ7J63nUDDfdp0T6+9bUdq/
q6S8I/5s9GwgCKMsgSsyQ5JuYcJW+RXr+VHTxqs6uoy0ouA2FXuHHiFRdXvNQEGtM1kAlZaThDYV
fmTlsDKK8rGpKNrH1qIUYFHrqlWN+j99I0KL2Ck5Kqz45KusLyKBjhiW3OZxxV21UXKvg/303Ul+
xo6Acvpoct/TLf9XN1DqHUVkH3D8f1GlV0D0FzJ+3aR9Fm4sS4v89WkGilSWnOsjqrzskJeQjRbZ
zdpUXLuxbniRUTUcIfdXvluWH+vPER2kb0o4Hd4fZPoVNZ4vqROmRWdz/eD62ljq3T5WkIMTNY6F
ZOm2rQ6vvl8I9+OUgrBDyLmafdYH6Kn7DgRp7+VWXBArNlhbBMt2CsvVafw/kP9SDX/2A/XWLzKz
JeJs1ybNw+p+tBLnMqD83s1fxZghSo7mAj1chE+pPZHEJokO++5L58v/ZZrkB6v/SUH/A0u+epZM
qQcHg5MWhSwiqG/P3vq8IJTco1VTacqS+DqgrVj/LSLmBUiqRTf1tbl+2l5tfoQ45Lh+F8ffjOjF
yq3oyyOFTXXckqHBtO5lHvWvPfe1lyIFsq+ZTkjn2aXrXkla7vlNq1F1WV5b9/+6r9et9bU/8g/W
F43UTZnry0MlXK8duvuvUIm1I7/umu+zYX0HyhGrTzcl5GzJw1j31Bf9Ha+PzmybcsdkVu/t2FBY
TuXX/hW53c++IgA2uoHJWUcJJG+PIQiofC5mr9Wn+z9MhbFl7+dw3oVhhctFZQ10COeG1gylHVTQ
f/vFf/wN66a9ZJprOkSF9ZNfRy+SKnPofkE9L7qY1bHY1eTwIN32xvt0gUuuu+orFuaPqwYUJuER
6877+x40KnkDZc5R5mZnSGhkfkxJXOnIg1p37vqgOwnGy6X0vpxV659UqP1tVg/9bv1byOi4pNas
7krVhCnaZFzog67svj66XNbrT65f9l9fc7sS8CK3G289E3pS4Gm6BdR/OBH00bIPgoTK9T9cT5/l
A1Y18wHBtLgMp8PqOh07czhMOeKHrvJztNWHr6SA//p7rSI9BlKUdC6M8CuDY/2V6187x9cOUzem
hoVVH7/OpGXvr2fS+vT7tcIW/jIimfps++Ajh52001t7Tf5aP78+fF+tX/qS9fnX5vr+TBn0AJp3
u54JXz9CBNleeW6bfPd1VPMKGqUe1sdVgrJ+cP331q31tfVpuJyFat/vGuQae2lHu/U9sXZw1k98
//z6o1+Xwbq5PnznH3z9zPr8a/Nv7//Tz3ydtuWaqbO+D2iG0jF8bpxCHZzag0aM9lbtLQB9S0KM
7prdJtRhwBLTGBMa5JjwudcjPkBy8i2QbXN7Z8cJ5UrnSk+ZBqrFph2Su9wxDkO90EJRQFJrvMuz
c4GOmrgmvaVGlKj1wcCoWVZKd1AmwprWB5x57anWavBv63PcO7SoSpV0ebuw0UPqgQZdsJdUQUkW
pbDD5/95M3eCcjc4+kOSkihHEPS0pFMNywOddO4C6/NAt/C3rJudXgPwrdU9ntoh3LkmqZrrGyFJ
MfAtu521RF59G9y+TGnL1fS3174o/evbX5vr+/8/oP8f739/czTaBWhjPR6vzLGed9+/6Y+Pf22u
rro/Xv361X+8sP7s91d/f9XfXvvb09Eyf+ZBTc6Z0Zj+3978/s6vX/dPHkDg6eGujNqn9cN/7Jzv
v2Dd+uNP/f6alhLYZiABwPv+VaiIyetVX2WeoicCRUcc1/fmuNqss8k9dAHYxH+3X6CG/pUGub62
Pl37MuvTZkx2hNgpe3WVeLhLX6ZahBvrw7S+GCYGJccxDH2K5txG5L/VzX88TzKizihUMQld44LW
NuL64H6lsSzDp1uX9a4wtLu1M2OuCRRrg1PlBuebDYuatf3ZzzE1DQvw4PpBouri0/jV06m+NG/J
wn1IHJ/1Mg1RrNakCH2rnFVgq0UET99efPipCOgzrQrn9bm6KGnWp/TSf2b0DnxtUdjoy0W7bjF9
2EN0ralUwjSPVOS7IUsbwiFzVYAK6UOPsGecsLAM8FH8362/vVbXqs0qdMioadDBahdb+/oArLI+
fb0WqyMc/oJYWLFZ3+vJft/LirnkcjwRGFendQsG819b62vRaj83NRCXU5wfmxW5scZ9jgS70lVb
jv/63KLXHhRFAAafY7t22yI6I4iCl8P83X2blrBOVtdUjJd5XbU8rFureP1vr8F9aygMVr/itff2
1YH72l7byX1OTQ2L2va7m/3dkfsjhHKVrlszUy8kq4e1GRetATDr5pTREWFMXjrkhD/2ESmQ6xEU
q+r8+4iuL8Y5oRWEW1+6VeA0y7rZW4zySiyr0x+S9PU5DJB4V2Xpk7nI9NK+LYYzySjtcbJeA5U2
+eoq+H74p9eowByUqNH2UoMds+oB1oc2pwzQ2Ebif782ETkJeIPqsqsGwqsXOd4cvRuhS1R9B555
aPof5hpTtx6ncD1E6yYy9qdADwmHXtVo30diPTDfR0fWGotUe5q26yH4flg7o99Pvy7K1kJiNyWf
62FZr8F/OlTr8RkKvTyElLvWg1Ja7g62vbVf/QRfh2i98pwYKixoUloii9avXyrqkz0dcF+niCwW
TeQyOz8i64fPSSttyfr9FdBJ8IdFS7HmmqarpWN9/rXphna/VSXr53UXqst+/Nrfy9b6VBM9a8eI
BthytUSLnrJJnJd1gFyvHXfCjbtdN7+uJexvR6ugflY6tKatzBm3xpKLoy8jg1Q0HZ6JjYFEBTMw
5sgwV6/D+u4aORrgXvStuXxez6XV0FAsrobvp+vW+pq5hGsNTCDWMw2yYE3/jNHmf91P/09NhaEJ
DS/Qf0eCPhQdmortW12kUf4fqoq/fvQvVYXt/Mvkq2zLsqDBURb7t6jCMf5lkBVgib88TprxbYAy
/4WWApEDUAhL6Hzq36IKA4aocFTTNk2AyLohxP8EFKpjnvpPBxRcIBPZhrD5Ugvvlvo3B1QX6Ule
x1FxqLH8Y2Tpbfp83WMmdAeBE+a9vmGtWdG/GPvek7ipruLp3M84oDrTcvbkdrrFTjhBdkMzPIAK
Tw/NnfeFop2MIgQXKYPAJ5Nn4u586KluxWSbAz1JFtrxkkrA5HETYaaitjRiJQYDmMYPboJGv86N
pylIHS8bDWWnYb70RquFPpQYe5QclNVDx9mmzKJ2oi6R3GqsXlWbspOZ5/FBL1J3V9J6tgnMg8qJ
VAGYcKJr3JH5QzeoZgqkuyVhbwGrynEcIYGABTfq0EVlEDGCCRfmfRjQ+LduGpqSDbiUB1uDpJ31
BpkXCe4nKndeFWnlWQUJaFSDc8yiydzrckQ44CyNgbi+Usx9NzrRuRx1Zsbu0LwqxkhDvzb2YRy7
OyWN8Ni2tJ4CzpeTNeQfdTKxFC4Il+oLnZ5QAhAf2Gqx0SxTR4rd/ACdfjX1inyGLHNYuJsbI6qM
PX2ao85Zde4KWzvRFnqvmyjZOshSjlp4tCPNpJfTCCqe1THXa7HLM5ldhWPA5E4PT4x44TbwM6rk
b3PfXGXGk+ma7tlAQuHHwXBvqHF+mFPmU5aaOtc2eMnejnBLZ/cBwfdbEgTFZZhEdmxcbrGJDMQ2
CG31bHbKObGm9CSTNrqJe5eakls+0Rhpd0Y3Vd4cAaFNywL3qQSXgnSAzvREhjq8B4N2Yp2L+o6W
xwuB1tWVWtvPwJPbrWEmnTeBsb8fEhZCPQE/QdVNjMLWsHW7PvanYcHpt+QnRQHeZpqprR4YR70O
78UUGbsqjbdOVUq/yvJbFTf/2bCwBI56lHj09+bzlCzQ7ta8q7n13rNDPcW1DvBah8eSjs22cRF+
KxjWN2kfW3jJuFMlSTHg4iP/Iqw/NP5ddNGoa0QSuwhDXstMK98QDcVXadDnd0ovs41QoVjXem+9
yMg8DPFkUvAjvaaw04sN89RPxhLVX2iRSFNN15m0ldumf0QWXZ7JM7l3ct2HRP4gXJT65P34jgzl
udSsK7cJjBPUX/NQIb26C8rmUOoIkrQcGJaglRnBTN8YrTCOctaOcVp1fus46pKRXW/gzjZncOd3
6GmSw+xCsps/YqWYoZmoDSdQ9mCN7Y2eRtNdEQYfWefQDrJVleNKZ7mB97GTFX5GvA3RRosMGtkA
0IF4EHFf5sNB0VTtjFJKI3Zhch+rqK4uSeBlcWXuOVASF4E3xQ75nyBmoCApGwA77impkyc1E1vM
We4VSlQED9xkadNcEAqnFwBNN3CSz4VFZMhoOKB/QlUFZayfOo0UElfB1OfKctiZBXrssez2SR9L
vxn1+jLM49bFEO4CPHhknpsv4TdLiTlXteiGBay2jV19O2qKfYuU+5EhyL4dhg70jUEbLQ+abUS8
sG9lk3Wl0mDJgJv5btdF9A0gQBGGkKPNoJGGR/9mDCP7qmjdYJ8ufoEpSqHat51yLZzuPisrbCHk
pnvOMOXbIewMX4krw5tKN2L/6D81mwCBtErcvSq7j8ZKdoTJ6XvIOskhNhqyPET9aXcTASEDmQUt
HhF/iJ3s1pv6xDkPtfKUxoFOOZ8ohKwsoBRRgd4A7aBeFSq3s4wnn2p3D0zC+S3c4Lk2ZLYttdwg
/dMS++KF+Wh0MzlhyLENAv7u8cKu3cpoyu6r/BOzePdUd9qmGIUXC9c8qCLuEL2AsSItiLbUtg0J
2KlpNJFeo2NhNNXR63uyG6g1e9IhgsGePoMyjwi9WehTmpyp9lQvsUmjJuprmll8xkWYVJOfsXHs
sNhWYnzKbRXU0whouEGsJkmI2g5q/mt2qlNXaC2tv+EXZPZsqye0LeAp+/ZEKDooHJ+2aLPJiBrQ
VJ0Fo0EsNwR20lfBMrfhtNOniItSqs/lBOaiMBJyMmaSnUNmizv+9MPoyiPaJ/tKCGW8dTSJTmc+
jlRjTp1dcHuYGTgIYah9FG4Zw/wotrPIJr9RXhYU8NSMkW+WrnGc3GZbTsO7OaKvsAxn3LtWkx2N
uXrVw/ndkWlwV9dHaxT9fYMSCi/WHWql6DaMNFKUW6hhwkLpNRX8E42I7mq5JEJOXJo1vmCvmxW6
ouLaCGjg97nt7jSC4La1gePZSDCzaC0xxALE75xmraeq105vzpfWjlEclrl6cPL4fZ7N0Buw5G9m
dMuMdHsEX6hdqukUNmZ+kwlRbduM9lyYx5mfWbp+snPaVGYeQyiWE2SnuaKyKKaDmwgygoz6xWgt
edDbSANZG+UASfI34oG2Y+vGxxmV9aa1ZhOBIsIKyQmWVjoDLHCtY1HeWlYcPo0kC2Vj5c8ynA/N
LD4m25bX4LCMTWqYDD7t7wkc0SOBamqR/dDsobwH/vhSVPMv0G+hP7ecMxBHPLMwm0uFfEgxjnG0
dwNFOWld/epYSXWoUmpqQPh64rFjcoAa2yIpYc4eNL09JgF5PBHjN4KPQL8N+AeM2tHuXMvy41yJ
fkzJMR6b4ODoOihsW1N3Ih+DEyWz9iXpxYMTjXdNrskfvQ7PyKSdW8ad+egEyhPD0qZkl7zYWvgh
Rd9srSRpbuyoq32XGcw2bAv1kMDZ8xLwgw8iGtDgpPSxK5UxT4ULso1lE/wYremnPrXtjYYZ0HPj
KyvUxVuvhg7hgENwBv5+41RE9Uk5kDiIJvzNlM6PoAzepDoPR1Vk4jHvSuDwYWpfyXoWj71dv/QC
Qhl6r37nOMjITAsFVC1ldpgnooraSBEwP8fk1Jnjvcj6/tro69zTZ6U8WDC550B+VkpF29Gq4wdA
I92+dzRIep1hXoDlkRklCgvFCg1Qqv3HMhnE7yKMGRrTq0GfPkkdubKlXR6rERyrqWq7uSpDyjDo
rJJIC/b1pJEETmvApi9+ZeX3UN2JHZHlyaWO80hbk1/uGv0v8FFExVT3kQN5pgrU5lhO6DqL4oFd
he+hicpj1xoUNoOZNmdah2enit/AflvbuHI6DorpFbVWYSiL6NrHt8s8Cx3VTk8Da29LqvpuBuEI
7yAtuuRoV1Hndap535XNLX73oKidn04g0DVos/sww/b0SdTMr+H8uYzVAHdT+s8iCj51bv5b0RL/
V+bG7CnLiZPUdH+xDmA0t2nBmrnxO24IcSEywDpkuXqLBBIA24ugq/9hdO5rQCTgDxWT/LafSm5w
sfCS2QSqT6vQCovnEQKcl4e001XFjPwmIwxoNGf5GtzmgMEDexg/Q+THUsj5dWqMByhC742bQ84y
+uMkumvGI0YQByNMKiryAp3oonFabsZuIIpzQCakOZvMZFZabN3SL2at/gxajiNeDuvioFhDSK34
qvLbCDp5rpy882IVAbJiEfYxNpD1NTshyFsR5DLqQ7vF9x3dggDPEIY+O504MY8D0e+U6qUIFHnU
yE8snSRB16VNyLfGl6oAz1/SCXWn2X2FMX8dACs7xratHsx63IyReKb/3G7BVvweMtS1zHvIMFo8
lUaU5DuWCR9GPm4SS+/OdE31jVpGsAr16HntC7D0mFHjkOW2ei7XH1x9mFJkwwaNNuEiY/BQDiSw
knXublhjxel8blT5nKtEiIh+/HDMqCMRoUDuWbUWmWCEqC4ShZWq+s24ZXw+SrW8A+SpekU6xycZ
HVH+OyDuoWMhHtozAbse9Y4whJJ4HZTwiIKWhwEuPLDi4VUrCL0REUQrY7HimuitttAye6sYKH8i
2Ul7ALO0B1F/TeHsqXZLXbleijcBCgsvKemTVGX8QvgrVeK2ulEam9ACk8RNAK2COFoMoEPTnUOb
vFlTioYVZ2V5Bhi0E9Kp6TQwt/SNjBIo5JF3tBWKn3WxvaXtGZED2z5W4xR7jYOj0ZjDHaxM2tQT
8Id2kneo7qydGXbOkekJbet7WDW+Ld+tpE+u2g/ZuyHrBzJ8zc5EyY4/OtCaczGm4REBjrga+xMo
NXWftJZLr0fIa00J6JMm8WE2nfji2HQyYxn7YYZUyHEWytScPheyqJA7ieg+GVIEDig8O3cpaiUx
ekF7X5rVp6tK9UGJgZEM2Lb8NAeZmATxREBP/6oMSraF+avuktD5QVZdtSla0lJdEgcHLskmbuQp
RkhMul37MMeuu1VC5zUei8NU9/Kg5umPLrVfRWzt21IjUlS+S9PN4dSLF6W+lujMq5ZgqaDSkCzE
3LT6YL507fSKs3lHsMeGYEPaVpWCRtEKToQdWkxoJ2qP/ZGFyRnZ70mkNwvDLciwHaS6J0x12iNW
3tey7w/5SPevQ9GwikEC7lkIuEymu6wBwVgii+ywGiDXA+05qheB6eMUmFd9NgjI1dVbH88QmyPz
Xmng3boqygIzyJJzJJ9R871Zo3HLtXubd8lLYJRgntsMA7J6Iyy785jYr19UzKN2qMrkUAX1STQl
N47S0PxAJdTAnl/0MNPPQcF1LGuHZWG/4I8LRMvmcvp1STawCqJ8IN30HLiufgQBwlWaTXuIdQda
KBZhUW66h+hxWfJGWjMXR3fKKt/OFgE7NkYK4KC0tFTvvch1Gg+29AMDz13UGcxxMiaRWaCTP1iz
HPGNAVTFkF0Io6jP4dJpu5RjrB1XN3e38FhrMwyOSvuBN3LY1q6Ny6TrFBaB9Y0zTgRPJPboTRnC
vvX/h1vesepxHllZmSdhVOYpZvJ2cmVn7E2+ryyFQxgueidVUzLSD9kX5Kc8iDl7Jdz2olM63nbD
MHmFwjyKucyjVhUIVFwb3S8laHRs4S9mQzXz+hCjOf1dDEZPw4i41e2Ve0JWYq271xwt8RP6m9BX
M3920ht1bolWm8t4y+31WbUwNyiWvKZj+JE5qYb4KSfPjhgxlbmyntAhHYij29giofPSjXvRl2jj
1ODJHsgi6bTpc8hfm2rMHnT905rd52yMwp2eoFzribEBbUUW2uTo+1ResmmYNjSHMJwoBZmTjRfI
UTvHdvuuVdohl0yZZlI3CUK/jUPtZ6d5Td6ZR9Gpry01wFPhtCAwZxsNcRcfCtKzA6QqMibFxNDe
XCoSG7NqgS9Qlg/hDJGaWI3bUP8EDuRekxHtuj91KmUOGdtd1u0GKmOhE56txkGB1Ew9rZWWqDLi
TyR5t14I7KNLjOHSjhJIpRrrO7K9aPBk8ZXOVH9LIGnoq2nHqN2Up0L4Jhp/7IfE2ZraxzCmkhLa
sgagMsJ5aZ0DhT5bFDu9TzOtugx8KjaLJ7VEKQfFclNl5uxBbCCXMCG2NgXVhGYklBe7wSjhGAP8
8Q7aMFj6aJMUgGsVQGbAGkLE0BkGCKREmFVvkyWNciw+K9a6m1GGh8gmd0NJx0v5JO12P4A6z2T9
7CrgiQFZ3DZu2vhN9FOXwNVV5JYMG8neREQmWwa0glLIrN9wXZM/XJ6Qn3yWLaeDblQ4oaoJo9dw
DWVt5LpKvFGfvBnW0Aa6/Jtah4tz46Ei1Gcr09ZLAkPd6GLBmYrubcrHQ28swAmjudG5l2xgPoGA
NX0c9Ne2bXJfKJizGLgiWH9E4sOJ5Qd1Q1fGD2MIVTUxDA5QTcB58jpYi+/uKGqOnFaRJIapwQzM
OxnyD9d9+lZI7bonEnOTIxlPgwFus3K02+AQqriJ6uo4FmPup615CvJmq8ZI7AQz5U2mWv22b9Wj
aIPyikXVWY2V27KAA1Q2l7COH6O+fHAk0XWM8LuY+Q2To3uukTZETBD1n5YO+bfRrJewH28Ki51D
iaKOy3sKTPAVlPcoMKyNIG6+JLGaSBaVKQBnTUvIu+o3WpXtGNQUdNvGbd2SdOiOjLi9kMxaX2a3
/jUP4jOem6dMWKRxjghxhucmsMhAHH9FQVJ5Wj1dK5HxDuf+YdE1Qif86FXt3p6HBeh3nJP8tU+R
qMcF9SOERii1QUgraI3dYfzQ2mIT6C2XD8eBhQpODcqmLBOObgSHn4inJ8MyjwTBH0N6Om6TwXFo
X4vKfBxYBQxFvEsZzNFSHJpebA3y3Wap7LPM9qB0UnU1DxIZvcEBBceelBqpdqrxQXidR3V0Jlw0
okfdps+mVfA3Bg10uxh5SsVbjlJ5qY4Q1CnfKQPfyqPIPorK2Ch1fW3URD+hQy828zBxUYnpumjR
Z+mCdKLpWODt2cRj/ox8FjGI5uJ2Y17WormfEEtO4ojxgDM8XVY3TnaYxH7UnI86GF5Fb2JI1pg/
FrnjW2V+qch6VoxbUKm05p7hJT4WSXvrck6FzjarIi/AHkQWFQc2QY1kBjsRElTTGtRx9Z6sKuCy
6FQwhS3wUKJpm2ZTd8ytpak85JJVEGic58R4ShIH3R31j4Ifn6lBt/jmKYaOv0uRsIxK3KdaEUAk
nflVOmtiqTGD3KahB26VAyp/NzmBOaY9cXm6x87pyIjCTIiKS72uCvzQ/CF56UeGNPZ55ygHq7uv
5kwc1WwjqXFszSyZfDEsR6S7b1xSwVOnDzA/yOsApBCr8nSHMY+85Ci6EOLMxJRiTl5F5S5SGHqJ
+EEbnw/7uleNI0FnKECD8T0kpDmvSiK/5Rk6f7ZlFZ5ighu2zkQLjuLpmXB5gC407tBQq7BcqiD0
4qyJ9kpNWUqUXHVKhxRPjVH4uNzxnIY1JixkWo1TR6mKAM0rhctKTyvHi7KKmiwZmcjqxXFxx6JX
7Zh44ntU8vjNkuQfjyqpoJkbATOvuDjGBO+XbUYbPSJeaEz2xuig9lEUCuYZBX4bAoDDHKgjmrQ3
n0JCFqrhxjK1tzz9hQ7YeHIkHYIaHROM4/iMtXyhX5vDMS7IlknDBZue1oSu9TVAOZ05hkZd0hC+
RLnt5Vi70OlH93PcFZTLBUrCiuJnFWEgqkMsRYFEkmGWhxr+6o15mbtfSNDFFtg5PG7GZ2FKgE3K
VIBe7R8nXSXyGcxraVTsBkoSqu3i1opReefu0tgZoG7DYY7KZNxzXxRwWzrFE2hNPYzPuFeD/JkE
jds6DB9hDZAeFUcvSQtAxhzEBefErashjogs91atxKMmJ1xkpMZcY4nUSQZNjW3bm/eo3GvSsATL
lqR/r2X42Fo05UUTMu6E1FUJxvPVpnlwUtTQXevanu2lBOqxmDy2Ux4SZcB1FZfcIUoK9bt65up0
XBfinADvbBjSvRV5szPRKm+mkFwFzoMrIlh6P2z1A9k2zFEc53ceuySHMVZZM4DPvrIOsiomQnpf
aoKgbgEebLSa07DNQ79Lo8ZXs9YnyYpcdfWZCW69tUsb2SM1EWYg6a+uUHRS/Z7CxK6OicsizHQz
46KG88/GXKyZqVHcgNjfZWn1BA4bOaUJAMucUhZ5Q+nBRXwDn5hSANTlpjcQWJdTutdTvjbpWW9X
/TPV/o60zc+4mU6jkX0Mbe81OkahWbFehZVfZqRAmGL2VY9LIu7nHyTDQZp284fR5o9S7xybbJSR
qn5tDsyHf+r28ODklDAgEqp+aVJQCBOugRyfGKuKKoWWX46WJ7qBXR1aOHgmXBZqtIsF3iJtbA6a
3S1iYIUgOtyyE+Jx/JCUdKKRgduOWcCpeosiLbhTAvuhMYIL0wJK/7PrU8ZE+xobxBXnW7fRB9aa
MP7dhIICfQiQ6QJboU0tvVGxxPHhRIREVn+YU31NlpnuaSVtPyMq7/XI1wiAN0Oxz6b4pszqn/XQ
csamrybTXWscryJJjBnR1aVSThTDbPLmjf42WdYGcIiYzly32Ys10jmUicWcS60+F6WyK7FjuJS7
jH2idnf6OLzQXfQzRLW1biOk737P7JLeFJ/OmJLRXPItQ4hvtfIi480IGl9Pso9Mw4bt3hWTNW41
ouVtd7jSVYvua9D6WW/d1abXzg3JxCFYQyu8rqLmZ0OAbl00z8zyxC7qnBtSAq8VK/bCmlUrIWrp
Y9+1P0rSqpfvIivrOi/EmRnrvjV+VG69pWPBYms8adxbI0GUXJSfw+xS2fkPV59uB9W6d8E5t8He
mvsfum5fcSSJJfP0Kd/DjfKgizNPYfQx/CnX9sS9E3PPzKQuTD9lkKrbZX2iYgYvZpY65XRtlAyV
UaY94NjBmZP/wFQHZSD2Rru/yqzybAzFUyoe2WvYWrB84H/s6IfUo3sxh+6yHK9OoaCbxRd+5Q2A
fbWw7oK2+TmUVLXmGIMWRGYKR9jaCxIzleAQDAMuiihGX1Vza8m4Mwpq66VRk/kzVXdW2r1UTs3u
brgD6Pe65WyU1tzE1nxrxbVfG8WOdvZrbILiL+LqrnHvcs26qSZ5rJ1pR6TBPmdavBkq8znq9J1l
qqegy6+rusPElyiPY1637Lm7OKZSpdguzRpZk2Cdxs/Axz/oKuIja8jKbsNbo0vuVSeH7J/2hxGo
pViMf6jnPZlgbSh7cakIVY47+VEs7lVZYbYcgSxHeFHIHSL6T2/1LVyJi3UTiJ8Uts7pRCJOPlK0
7uMDFqg9meWHJU2XvO+B4VF0t6E1+i3niKJN15HQ9lEsj10sH/WYibdi7GZAY0lTHoJAQVpdbwOL
rkuZE9k40lXSvMDBXZGa3UNAEbhdiOpuvh8FuagMilc64IUsyh+WE79V4rciperBPa3obzCGbHsc
xbVh/0gxj9WKe5Mmpt+0zhON9h9DUngxOBRW2AxXlfqiDQ5Syel3bjghN+vmbuKS32hWyMHpYfQP
Wn5m6nFV9SS8qPU+azAti+BRp/pQMn8pMv1mjKKbPC7faF+/NqNz0OKW3jhOLHv4lUO2zml7CgWv
IBMXgiNOTqu8z1rz0WXiadKdpwbvBSOg9ZG3iHUTC0mjDsmleqaPCW19Y3bBT9UM7sTc/E4q+fR/
2DuT7caRNEu/Sp3aIxozDH2qckGCsyhqdkkbHLlcjsEwz7Cn7w+MyPTIONVZXfteOJwUZxIwmP3/
vd8tCrmVjryn53wYc4XGikYr+gofK7c+7LSyfnJjgmQmDmU/+27q9IFd67GIEgSS/SdlmL3qgpnU
g0bTH5qsfcs56rWiuunj9NWsxrex0zwAFbijpbeXeX6naMFaJb3vCCZcLTkBoVgUuX+MvTTgHIPR
K3o2LeOu5DfBcP+D97qqsUzFbbMr82edTprL+bM28rt0eqK/9BXOgqQG87bN5HtW0Yzz0n0WRzeJ
mm6Fi+ZEK87Ksk+NVX3hbl83cjjBlHq1OKhcKHagN/IgoWcq9fusTd6KHO5Sg+s1ZYHbM5hwgH1z
NOfGSZIA/eaq8mqAwBWEcX9vDTRT9G68WKq6jCaqTGXdajlsRI3zpYiObShvemN8orj02HBOWSk6
IiX+14gs9K5k12b0dAwdxxqHZ27e9UQ7hA+FM2qrbh2hayWftDu5aEZZnzWb7Kgr7+LMZs0AjvjF
L3D4LjtLaObYFu+g04LLFNMqoX7FOINCDio+yeQFRSuAumFuzagnqm3ZYGCOLvaQ7f2ueIK+vBms
ee2VjrXqynqDNxH0wLzpvUeL2BBnthAnUOGPzFcsh9YunygBefOj5y7VmLGnktZc1GCf09m887X6
uzXF+6ipdnGubkK6qK1St7ls34HIP5T5kx/HQDg879ss3jHsHyZn+iwBYbihYd52rXwIMRhNz6NR
f4z9dmjam7FtX2N7fvN6Y5NLAsQFhxwUywyS++cMX8GmCk5bZAd5gi6myXTKasrD1JlBokV76Xk5
rTE6G+hiEoQSo08tLqcZLctzGqtdKJkjMWJsXMKF1Aguw8OjAUEmNiGOFtuaada6sB+xSJF54RnP
dLfOPrEoqAOOrHH2iZ292AOH/aginl2ddMoPhAHuC6Nh96Pw5NjgVuyvmdtDQ2x86CWTcSFg+KnM
MD9b95NKvhHh8+g6ztZnGkFHgXJ5vC4JZ2MOuSVigAK1429cw/65vK6c3Xvd8gnfic+xQV24MZHq
LC8I5ebRy50kSGL/Zor6Bz8uyMpkT4mTZzM3t91QvnjrxlBnIO/RKpxs1iHxsMscQaoD/eflTlNe
k3UcsdxLvsw27lZe7j6h4rzv4y34WeDJWVk8CiQldk/Ue+5/N9uQNF/LeQBWwpncDxQLOIzSKZXh
qaWNqF4shf3MabeV1u7aRKxdm6KI1lDkZrIDEcOkwNxK7YwzAJrNzOlgGvcN+T9+iFFUtw/h2F5m
zTvPkXUgkGSXKutgvw49Rez5aVBJMCXzXoj+Yidv0VLKHMuvdBTfqbYCvacHivPXjbzvtf9Mi2Yf
hdlXaItziCF2Pbv1QejthwrdhzBPN2MfH0RBBafHWG/QytHaLJgVQ2SVyx0lvHU/e+8F3bTAoUOe
ZWD+5MhXKXt7Q9AKqSGFpwUebdV12uVIF5AN0IEq1jZhqJwrzLdlyIza6dXN62Ih9Lhrrb24orPW
fqrXAIL2vsnwiGri7My4PplPHAvt/0fB/zcsLdu0/qXuEyPlP/Puf3/AH2pPof/mGBDt9SUHhiML
5NXfGVrC/k0YC1vLd9F16kgt/yH3tI3fUGGaro+WxOU/h5ugMHXxf/67JX6zAN0bwrZMIt0N8T/i
3ds80Z9x97bn+4YwHcczLGGYtgAb9meCVjhq0UB/2TmgOA48Yc/EH3P8DQ4SlzxyvtN/WafiuxiM
h8onciHzWbsMrWAWLoqtA+ADG3YUbhp7OMCRWFXXtY2Vqq0Uw11W5phtKe8fS89T+0LQ4vabe8Rn
kBQG3PMwR02qJ2BWLPogEYPQQaW3ZQd4BxVAS1v+TUo93ngFcob2qSh32azifW4sqKzWPBptb27+
pNq9w1lFkve/FQS0Y8jo2v/8d/O/+EpYVSD+dFDTYqol8+DPX4nfiyY0RjL2iKf295GZWOso026z
KpnRsGo7tzBNKklVuJk4jRPisTeVfNfQYAZpBYtg5pN2lS/XPQQYlUY3fkUEXIvCz5QoEsSgcV73
3dfZI//pX793g5/vLz+oYNAUBgELLuQ117YQCv/53YexmVUuCSyHMApf8xrvf2Xl9/nk6uTp+OVu
VsalGL8VWO/Wc1UD1MGxx7glvpWpNu6MhvrmFGG1H8es5kRvbtxx3vekmiCYM1aph6qmTZh+19+H
CjyXZWKWLQWN+AgTeutkJytDv5WD5TJMdZ8YNcmEWvOVO7JdVWFH8y/JSDOdTmSP4+NWZ4QZ2F4n
8WoO0bNXdRjlE+OgK2Zpg3swZJqcXHEXxcTqtVXfM8uUz+omowW5R75wyDXiqPDXL8PhZrDRmVj+
FMgkXjwulGKY0sbu8DkXx74W9pqCHmTs+CI0gy5aBKrLcJFhut0PM2YlncHJF2k4H9DKtRum1fvM
dr/V48T92rpflRLGhPZS0UtfD6b22fVSIwGicy5x1u89k7KkPvhgXcJl+trrN/XI3gKPepGYeGgb
3KcCnBOrwhw8Gk+iMYddJ719b+fFZ0R0wMochx0CKqACs/Eh56dpkPaK6fWHQIWA5pU2bHeXcPq1
9YoQOXKKVjJvTzIXCPzSN6VcBD4UYcsGzkFrL6HieXuubWVt9Rg4l6PMnVcUH0rOnFSdXAf1UwcU
7FhwI5GjiF7RZ5qmDTVaoBEiANhwyoGUA70oisBJXQRvmbAuZtjXLPoDKzRuwMb191J7FJaQeybG
Gx/7fK4MABPDdMzplYWsI51YUTRW9jZGQq+5iNbyboSyqQ/FFjfxPUANiGPV/JYPz80w18gXC2R0
9nvTtd+9rN6kdv9KvJ8gW7T40abJvRmzLjYo1Day0/keh28g8d6Us9bscKb2PmdwJ2kdij4gNe1U
KVrwk26/ekmymUrzXLPEXzPr2CVzCKu50YBeGNHOqwxm7ETyrEELQ+yx54Me11vEYivZDZcZ4lVs
djdx2exYE67FNB5a2Xx65j0VrmPv58+tEWYbwu8+NMPZECl5lBa9MtAXpWCxW6p5NcESmiJ6/4KZ
QUz6TqDF/cEBAArPGJGObn9DJPi0+JtZz92kFZazeEpzOocRXEBIUD3MvCEpH1K3/SjN9i3Ohp0d
4R/mSFoVcf/eib2FVw3lGz3GQuxbw+hX0g+Nla6lgeeHDKzukyox2XnZ95b6Ych7aRBSFLb1AYi8
whfOgO+1KcsH/y4ZnNeU39NIY6S4yQn4565r6mdKEYuB685znM/Q4QMU9oc9j83OM2QQFuGDSKtz
6iPC1pdGteY8ZHaz6WxaS4bpsxoLAeGofNjlkfFVcOStREzO4mBnz72kSqEvAFXXCzmGwPuZqmxW
FtDrpMUG23rlg9dlKBMlz0GANaPGTMUmsy4lVMeyR3eYD/ezJ+6SSd6n7nzrW9q+IlYM1hMAWwdJ
CxnCDNc+5u/2dk6kxbwPAhUMpEMb9oe0iYHThd9NJ7/RivgRamKzdufpucpcM1ChQ6171O9+f13Z
qSB0SybOi0ot/cikFyzH99ySEttwKDV5ciBjc0NTY2OwDlB29DZQpF2pYfrKKDOsKLTzJVnVpjPu
wsq4X25Ife9VogdyJybPXfgQgUhkDYDUFlExa+B3MVk3kTiFyMPQ2G/DenhVh1mHk1cbhGtW4Q5Z
DzlXPrlJdd+uRjhNCI7cXWmGLZ3Lhkln7NTb3o2fQjq8QFt6TAMMmTF6lnVrRFvDHi941Q5FZ3yz
HDTTTRawYLp1vfJb5DcnmTivMJXSFbSTOnA/dK9IMEJMNyqBngHobVP0EYb8WAQeeMhV1QNC7Dvv
iXD6asX6Yj0yZT6MvnARTQFrggMVcv56sZJ4n2XGYowykZnZ1iWrmhfa8HeuR1pnVHgvBtmKqWx/
xAkLb7+3fiwK57JjMVtwoQkpBww5TYnlptmvHyrbvyHYinMg3fk8tt7NCQpNlRUwamnO+4pGhr1Q
2nPqQOiRVq5UGjnLw8/J6u/dxF/Txf3u6pN+nJp0BA2GoH6kbR0l0+I5HaqtOTuXCA3dZs7zAwWv
J/QDIyF6M+ML557Z4DNL4zOvKXxZENA8OYiVZzlvcqIKi/T6o9LCb7R/0N/2/qqwymI7RfrOshHM
h/o59+hXYuvQVgPFfRYYBZWr2T5XJiSxWTxSego04b3mYvZXPb7T4D2tko85V5uegKYPh4lI2sXb
RjNRZthAW3APFxvZeLe2MOFA9uyKVefeKcEH1K3IRWvHyELtFf5Gc2cvOBW9YwWcLG6MyuoudPoQ
sOd+dXZRQp26NvqhhI7qalC0XP1ptezwWtvSZjBWQ48GG6UYzQG3/Er0ip6+UVLkgJNCtXuHQe8A
mZKfhz7jRjhP1GSjG1p13pTBssq9O90e+bHt8YdKLPqT5rzDQv+MEbPY2SSMMLjU697zCNLlDBqJ
o9kNtxMlEjSc7lLCCDXeLeNWqLqPzHXVzmGXOG+dLD2PYf9NCRa7ZZm7ZJvcjJ39SDkz8DrZUXwH
oxmmFPH4PUbHeaWN9UNpHMR5rL+OHooOFOS4i7xvkZE/gn6K2dGNTVsar15jVlvPpk5vZz9IUMad
z2wblwzLPL8++Zl2N/bDu80JEdm3hdWleHYLOsBD1pSrui5fBOI5gklvYxah/ew+aOZ4SatGoSV+
Yvp51PrpifW7sygVGJqUfzD8VcujVipynq+fjtPj2ib4Is/m7LC8rOXa6F/8R5G6X22Kb2mevJfK
S+4HPqFrt5tR2nsR3rpzfdH8hjduj0GcrcmJ81ddIwCU+n521w/f1ZCDXZR9u8MQCzmYfmw1Qmhv
wdGgtUPg4VprcEIg5jAIM9QbpMLWRfU8IihDdtcf+9HYT5qNSTIjx9p0KLMWY+KhWwGYXaoaJauW
7jXilVd+U24r1262QiUbbKLdqfTHu8wzTSq0KaqGgvZ6ZVpHA2n7Bg4tWsqhupE2fLRODERssIKR
tvUputQ4jfm0mmlz7+i+PZtgr1f40Yhmt8VTKmHFFdQZcWB061Dqjwb5wov2HGH3ri8jDn9jPDAv
6ZEu+F9J1IQblPx09lK+eDmOyc1sgnOSLSpijkOiPMLmFq29/lAUEyfCKLmvc/Az0qdXURUY04Yc
mSOCglXWHiawWoGWkZsZNlZQCehJk4k4Wa8gXmajfqg97ZTZDqXWQQMXig4IgG1+Rlv2GMeehJGG
iGWI41OfmdoOSme/0moa7K5yy3UWxtkeVB02bdoNeVC2DrOnESf/sGz0a1TBP65ebzBm2m3umOyu
N46aHOk6F9TIfz0AQUGjJmZGeMN/PcX1EpDaYesN2l3dY4IvR92HhkWj07R2caTcg9Z7UFiHBCt1
vDhlNTOafw/muUboXHNyrk90vYqH7q5I02FbLzyNaVhQ7deLUg9ZX4QVWmLxNi0YlyK2QqTyI87u
1NQOlWkc8ob0M4qM9S6ZkOR5jY83vvKjI6ePRw8meZ/O4ZPtVHwty9MvT3O9dH2JyBC82vWP2QKK
F7YxBW3IwBRpskZ34RKpYuQ6v1c93iRt5B0GD9g5Ueeo9Y3i4De6TiuupwcRC3Wb+suKyXKqnaW1
e5HY6sQuE18azYgvk6D9rWFVYBxoEfxUEDAjo01v45CAyYnaclBF6DvJYnkEfaytp7AzEZxE8Hlp
u2yZwTCby2q6xmgvA3tBDZLl6dw7ppEczRwfUGTX5hpJLL28nN49ADG6UbN2LkNRM28fgfzJVL8g
QNq4Q0k6r18e7MhPaEQ2L11OLz0Zig0Szy0l8/qsA+K+03ImDyKH+wWhf6sZlbOVBq/fOlN0Mw7O
G/WFT9UoechzZqltEx57bZu1WXVIcqdaMj7th9hIUd73iE0c+GVuy/hQUDfddHiTKEk62bvihCRS
S6wy8lNP9TLO2mKwNnXU3OMyaU6m0XgbsAiP9Mqm80jNcaXnc7vt+sI4uZQ6YvT1F2NKWKsXzoE1
vn1ohzC973yqxhGHDFON4vvQ3Sip+SjnOIG1Wl6cKKUu/rWofY7mhMaWRkXT8DQGinjIXj0vui9x
cVIASKdtmQzR06iKn1bN+D2CyYaR0R38ETfejIy6lvlEM8dTZ3YREQizw941RtHeNQfmmB7WLFfz
Tqj+fCd9mLuK4kkGeDmixdZW/ow6lv7v4rORffTdwS56qEr7ezZ58UmGg9xMblsHgCnT2w5z5q1m
jfYqjKYm6E33OKt6ftJczQhkMTBaZuYDRjrxFGltcdCGPl+XJhC3unXvJmDpuNWI8QbZy4y1SIV5
Uy2bQbfv5tEZ1rGPktNRnfmceO6drIDIJf10bhctgk+c75ga2V5YXXuKpvE58yiLMi8n98S7E0FR
9OlDY1iEhGXoGKJqoS3PD/NMOT9tHOM4VvZr4jYoO3M5bEfHEod4ijpsw5G5KXzOqnr9GjIbCTiJ
WYfWSf1DNqDZypvqtqoRQdl5ZB/cbFonjnUXjVLfayC1WCJl3T5rTfTyT0ZL4UHZ7tktgTvSSibT
PDPL3TRExwR88jbOwx/dIKsHBMVBWgzebhGCQNF2+MIM9TY0E1X/bqdNBHf1hTxZg16e6BdtSKVG
tGo9Q1s/wuO2DhgjWgrmxbdQEa2OCSqgU9OeRjr7tZ4nQeWxQwzK0pjORaeIqszCPZbTCgTEeOsQ
qk5rbLpPZoNgOkehF7UlpjrFOt5wKjrxLRoqU4u1U0js7SBo3DQVVqAe8UXWxZd+giqYWy+Dz0xm
Us2uGufmvmHPjesIxTQGa9VTRTdiyvIDQOl8VkyOFkCVapJ3KykHaLIRGkh5bPIiukd1eRta+bCh
FlewAMnXMVoQq9BOlZj5dBalc1u9KB1ftp/mBb3bjLgLk9JL500UFGDuzd3JHmV/Wggrzb2T5OCF
FaTFUNjTzp3bei16iw7SVOBB0uYL8+mUxlUhUOXvlOz9iw6pmXM16cWRN9+GUpnHJrNzdhvT3yWd
79467sgo0xTzDpEwtga3eHa08bUbDP3cfKsbLXnqUQdIqhyLTWtF2+gDfCrti4jGuooQzhU22fUm
bg6P2XnXlHT/XXSvudWam4kuKPpY8SNa5OBq7OvTBIjNc7D4VJ0TUCvdVpGgtObSpPVz1IoOQhmI
O+spS/19pfd4gLviBm8rkCL81RjQom4MjzQWRFed8rKqjyprT2bZ6vfULFcEedkFuoURpBr2b//o
LZvrpSS5qTB5HbVa81gaLRen5oYlcMjZMSYJjE77OA/wHv1qRv5OLUlDxUDGiAYuebZ6yjZapR1R
Fv5EvYcvUdfIqaFevDJ0v9+QqBbi4OxL3MXXi0k1WVQU6uyIZA1djh5ezCyzAiVg+bnMS6gvpttx
kupo+yzguxwfYIbE74hgD5UlaEVWGKiWlj9dN3Prv0w9pQ7AeYvZI8HbPHjm8MdFWdYJFHMUFjl6
hnnZXC/hB1SsA7vxj+vdnNGtTbM8kEtOA/pbyC/LpYJ1ODN8mwRTd4os1ju4IZYb+oQGTTml7iJv
rI71Erxnpq4f6GUjf/9beJ26/LrZ5dy/iVr5zjAPskj63p8ee32C6+bXA/5yVddTADtkCJjrJmIN
+ushtcd8Nip09dcnNIigALizvLnfLxoQkqm+RXnw69F/utP1j0JDK8zhRBv4L5/gevNf3p8vjIol
MHnt1xviOnRXnUkS068X+Msj/qtn+XUXY+LIJYYcGTH7IwNhtAI5nAFiXdI8NNeJV22Jd+Z6c20L
vvZxAQ+lzQNGOn0x9tOlXzbekmlK8RTY2fW6WP6Ii5LSXZiVG5ItWby5eT4E7tBzFp21x6wQT66P
yMC8hjqN4adPyWfj4HXWN+zi5ZG2xt/TnsJmIojCzB5RaB7zcKp3mpXH8ylrG4oCNBYoAVTlMbX1
96lQh2YYf8R5OW5hZrtReO7N6kiWLhzxAcZpPAOhkB7AK/YiaPfM053h2ZYI8htZPSaJ9zMuq4vv
1EFk+XelEX24JQ1BY5Akbrs/m57ckuSuJkccc1ziBZWbgMeLXoEXISFzBApU67vbomqh4NOt9Eb7
6BEWuMqL1qmq9lo9faK5QNRcQbuItd5eo6Pk1TskT6X2M3SXUB7jsRjt51SOT3E9V5seq8O1g1Cg
8QQhPH5aiO1AVnVr16y+NYtmjEquI4ZLrg97Mz8MOhUgvSHyPY67L7vQ1rFF2G4sT7kW7UwjekdN
llD0WsII16YhTt7vMq2YVxuDjvlf2hO10uMxiKLikcDd0zj5i294JWtvVTj2xXT6l4RiWEwxPatf
htkhhr6Vq9K2d12i/WiFrQd+m1zMeiLuTj3Lcpj2ho0zqvHLm66Bf6A1x4y5m5ShPFZQV/e5Pz9U
eJhuh/CnV85Mi2qUhDEc7DlE5Ny61rmOrCxIXISdDGr2ygubVQM6HUUTqwE/e54WtU+N0lCgELJG
RM7CD3zqEH4Nhn3JJFlje4dzq9UPXf08y3n8CVEf9rBPjN/7rI3begoPRh/e1kAe/cE/d0XNMGkt
0/NbXaRPtuHrK6/0HzH0pPO5dmwoxsO5Fs7eTWac3tBWF7zHqH2Ofn0jB0Puysh+qUC2m+m3KYTH
HaGJ34kqPQFHyjf+OGK2iZMHvMdhINzqe0mKO/J4fzMwkOys1MLd11vJdqxdZ8veM8KPqw2exp8D
Gvna0vJa9xVNiBwxD6YKByIwxi4phLG1Syby0bKQcWGFBXX+o9HwRCkTKWq7t7LFt4pcc40WBJlF
yhdYjQX1p5m1ICv1oxj89fzgayQ/Vkr88PrsYnt2tzanEEpiTY5NGd5DqscCUchoTUnxSVjuvPGc
8DkpvV2hty8syg6sJVwoDPx2tu5jwrKdO6hOYVARV7MKG3Uq4+yrJE05lo/AY36KUa83Q4kHWGbJ
ylIEXoW++d7qiwminQLY1OnapqK6NnGwKs8lCI2clsCjfm9+Q79BUTL3KARlWHid1u1X+rSIxick
u7LK0PyylrR7vNuqPo0LDQDh5CuJZ4d+gonvUDVVfAVVQZjWVLxnnOS25nKsVW7OouVYOcbt8g9v
YLImKdqhwIk1oeP8qjnNEzs8I40LbNRvugGfk0DxSMmuzqgyNIqTY1mge2wm+P46OSpJ6q7LeHG3
ZGWQjDhwO4XSszGj25xWAWczD+anHgFvBoLuFzjWNHOTRZy5s7GgUPzWUu45taWMt0oQK0qU5hSU
hDDQvh03jZCvBGUqLJsNWaRN/RhmHvYSO7vIVlFu0l7zyaNBNXJcuR4FO/fdLP2Q98sXCT+F/peT
37JaoatFMIc9o0r2PxvqIfwaxrvY4SwwNyFoolRNXx19yEbKhwSbnjcWAiVg9Lw0pOl21au2QyMi
3GzXjDWRN4snz5OEeow1uK4wZEpvSDXBPcmRf4zpwUIGHoA5gYDQLR8fo0cAgQXzg+VQyfN2WR2y
YrZZD06WywtCbm8d/a7TiPscYLCbddzuUnOONrV+aGmkNRlKFtz19Pzsn4NgNVw7J2fQLtNSsO+W
I7LoDwWC9gCrnbteuG+xr32acXqDzP2zWerp5oD6vaJUeDoLH2nwAGKlIk985+GpmbrqEJrzZ80R
1FB21gzjZUgo3XRz8hZOPydtriBbWwGZk7ejQXsXLBOmFoCjlE5196ekZLCtKloHVGTWC2Uoxnm6
Z+XUrHMWMyD+RDkvMVZyC96C2knivCUGXeNUflqZmW2cTFERTCtMudF4r8C9S8bQSnOePWmcwPZX
YNrNi5YPE4Iq+6NrMSNwfOMZbHlPEI6CQoNQHhbuJZV5v3aL1l+JqUPxuKyTXBLjmUGk9fWnsJ9o
rAFp95ucgWpmh8DOCctYexBLfFJedQYCfkINIGDvJsuXaDz3mfbV4NekbkBnp3c0pM05DBNwES8y
u2Slr5D2jOYKi5hlVea571GukQSzkf2trhf1pupJE7D6s69jVIRm1axrxeTAzKL9teH/vz6n/x19
lX+oFdq//QfXP8tqblCcdX+5+rf95mHzH8sj/nGPf77/33Zf5e1H/tX+yzudH7dPf73DPz0pL/vH
2wo+uo9/urIpuqSb7/uvZn74avusu74BPsByz//XG//t6/osT/+dHMdxkdD83zFsl+YLgce///Fs
hx8IPOzrQ/4Q5BiG+5vtEk9nucJF4GGjePl7qJ1pE3gHRg15jYsx0/lTqJ37m4mkApyDxQrfsXze
wx+CnEWr42Nl9yzkFp7t6v7/hL9m+O4iufldlrK8W0d3CNtzUf844GMcgXDonxUcsu2VHHs/uSvC
d6ED/LxiPl2ad+sWKcac0dwr+5fYqsOj8uEL2KwKxZT8iPS4XVMwxHSwsMp/bcRCOw9JOIMxawQZ
ZugrQPG6aSx56uoy26HsQD3IMEoIZVd5W2PSzlnUI3NdNuWyCFM58ryOla0/YDl0DaPcdDFDX0rv
BC+CouMfxd62lcO4qVp8nb01nELL/kwzLbyr2XG2neW/FIIyMy362g29O5ZOTTTOd31dJ/dS5Iew
s2+NScA5bvOz00vajYP1HdAReedKO0X26K5qbURpeS28qqUa2yyF1+ulK17SNaeXagSaWpfuxRqK
audkzq0cdIlkEfn80LY/win8RA7hHqeMMkhZYTdJlqRtGEUGJmBGV9KStoUxOrCy2BA8ZB2t7GOk
KHfCuKUHzeKEjPg0Ggmdy4wfw8YfCNPr1Ss40yiKp0l2kp+M36CIXG1PYWOFyTg6SUXEtupn2uUD
WQjoGH//DD7owP2sKEJLeja/I011Xo1VeJVthrFLNlGZPY1gwtJYz07zjLV2LkldMRvpHUUfO9BB
TIwwzVLcpdTa0LLXaKXoWHqCvI2ZZww68B9jcNtg5OzZRxBik849RKFod4VTYIDCOImToXexlY1e
cwoVCHbCMLDYRlAh8sjb6d5gHCz/z1/9X36JX79OmUjoP03/07KLnQ4gZW+Qkb0yxFRtqGz0x+tm
mtAFiNL50plrZ+ALwHTiY9j1C9DWXQ6G66Vfm2lJN4fiEO7s2dlavPzxurl+oL9cveI6G4VlsTFp
iMXQTpGzU2QBwblcBNN/NxJhuk4M881eYiPVRPPjeunX1SvQWHkN3bAco9Pym5cL2fZ66dfmujNc
r6p5wsTqtMOSgMeKYNkRPFX4f4CNr3+87h1j6rxaOUbKdmkzXL+6X5tff7Nilrt4bemVEy0JK/6Y
qRkFh7XUJ4xlc70lUyPz9gocQhKZlDX+sbkmwF6P8zxZUpxbiW/VwbK4wZZbHRtrKTdcscR/up7J
rTt39wSHj9gSE9jKMfAPtWmyjwj/0BGZsB0kGpLyHAHEEbGhoo7H5nr1ujH9FNxUVGmAW95SssQN
7LXVUMh9VHVWICY8XL4pFKqYWXbL/ISLdYFhp5g6op3Cb6JkSlACKIFipIF0s55moTiv47xHtbW8
KfyrJIcfgabwRS9/MJav/Lqx/nHpetWnFbuj9bIzPBIc5uUBzNrNXZ4mZ04QiznPOEiiEU5ubqDG
0DXKmhZ0u9hmo2vaTDFtTLbKnl6TvPEB6cXx0VbPfLOSpoydDUdQQ8NxiP2eun7NqB07r1XbwWXw
7Cf6FPn2+havXaQ4x1g+YbYGlMOAdr1hSNK8fvV0vz4AK3SNW2NMn+a5Q1tp6C3IHdw8NTN2Qq82
/dDeMsX93uGeXVvaSLLScEMPkohQznRr1nA/Et/IDkyviBeD1WWGzWMm9GRPp/ZFt+u9L0YW3oX/
kVeGE2C0vve3vd9kxyTXb8Y8ybZFzT3qpNtHS/JDP6JobLGXVcIrdrAy36ZRBcYk3yK79A/WhAGu
xcbLxEhhcl52hYl4xEYCt+v1t5CsOKh9yD+nvr9NTGKJynQJXChIi0iGpN1FfDqAahXRS4S8kwNK
8GlcwIJUOUPEkNwsnDjlsTdF+XmpC+hmpUjq0oIJmMph7syzsSz049ZYj5gSKfd6PvwUFKOYabfA
Vqc96+mTSsf+WIlFnTPF7cmX8wvRa8V6TolZFHHxQyI4IZ+q/9T0yD6qyvA2lshwLrWtWtcDITOQ
80x/eE5ULXdVOl+0VOBsncmJoKO4JAvO49rV4ovFqvnkYZw8FBLZCTlpUaZioqwI53NCSVeWbi4t
6e44z+VJa3yLiWk9rJ2prXctiJG11eKrA+ljBtF4AWdlbhy77kCmyvUErgElmkrXg5Nggrd6bZ2l
BMA6VGJZU1nW1rKQp4tcfs2G0nfEoj712XzJaOM+kaFobugsbLvS8pDGEfGpL9FUrj7gojT7vZni
B8EZrFEjzO465ZB95RXTySykRhs75sGAxubMvRWZlgV1CEWsCPPnqeqmjfRSY2uU9nuJxXU7Ku0I
fWoRZuIamzO8c53QiXuJ1prWaLe9K3UAq/Au+nwAPOfI6XFMG9yvdj8HUU5/EzP/WVS0ZAkZpezM
POl75qL9XLoucJn7jHLbaP4f9s5jOXJly7JfhGfu0JgydAQjKJJMcSewlNBa4+t7uTMred+tV93W
8xokDAiKZASEu5+z99ob37c+UTiOB2QBuBnX0jxV8bgVIvmRRSThTkUIzNAzrsNobuQCEWJkPD/2
MzfQWGKwAtCInQeN4kir9YSmY+E5G2B9dMEwDssPz14QnJnS2ElWd/b6A/rho1eET0TXXrOcz9QV
1V990H3xYZWFc3CdKh5THvdtRlogqTrRbYJufjRzgj7UrRpn3J0xLXtc9sN9V0jndfVwri1AG0wn
MrAm1K/Zkp5YmJyHdpZ71zaGbS5SUE1ps50gqlcDEUqVG3zPzZThRERy6wvHuK3kSBZVeiBAjXtS
4uaC2caSLJ43YliGxwAr+G4MHEzC4/Q9Km1QrXkIvih3cOqfYld+mjphbmvD/jK7DDReAEJ3fu0T
uhkoNn6hHXKeyhYVSnxPB33eeVGfnVoIr1vmpea5rEb+3DQ8dhYlz9DJil3tH1tsOI9KfMIf+pgk
0bDpjKm5pqoAsUSnrnB/pov1ea0jzIGNuLdE6O9sgfE+smqcK/aNkma/H10TKUqB4K8thHEt8H+Q
KZhchNX8qiuGCAz78b7KyUVNpVHeYapmSms2u7b1vtGieUiNoNnPornSYEp31Ri72H7kPcSQmwXF
bUPz7sn0YL2KPNt0Y/9iQ3DpYhxQSXuJXcARip8WESZHvOAo7zLZrVwq8G9bn/ooj34MNH5Dn6hu
mYHN3ScyhoZt/ZBUGeQ0l0LkYi/y6Hb5wcoAffpKpeX8hSQjvLQhdnEnRmUB0GXXN9RpCpBGk8dU
RthRv5HMvMvu2zhk+d5bja8rdvF4KD/HUcJMfLWTbR5bfFfwKfapbQxJx/rBptQVT8NxqMXFmJEq
QnNkHWs0P0oIBCc+CHRw6UPtYAKlOPq4+vBHKN56qXPN8c25a81wZGDDRexAjRlyHd3oKDjrQpOF
v9NkxL4saPd4PA03xtJoUw+Prd8MGxkmxtYsTT7YBVG2SxRzIQBPe0nKMkeMoG2rfahw+jFtLBYn
an6ij/UexAXIYerLk9KnwnI7+mr5ojfMTaG+/jlkSCwB50DLsGum30VJaHVRYsZU4LFUTaL0ZlLs
/38cVsPsnKL5XJrM9yxGE3A/ywfLaoGopTUNtKlLLt7g+du6Ab2l03iQyeWskjLs++7QEtUDcLLM
X61KLHt4tcuOIjKTG0k8xZDH3yMF9IeU0J1XRabXm3SemQH7TIPQ+oK9bYru7NlOquT3JjIz3Odw
KPtzrjbSGbNDEif3LXSJc7mMX7PIWHYWlfcEUMJBv9zKZBPRJDtChSHYB/6mG60YRNUmESiHHMhp
XF6kEfi++WPJV5KgShsSp0xqhxI+hNyp/dumV7NysFieWtZdXTUV1ptazYeLmgJboNshQCbPlppP
9zaQol2kjoM8XPZZ4T34Dr2cImNFQ+4Nu5ZKkkjVrFwfSpXjAW5EzexBOVPvNdUuz66YtDomhsN0
yBGF3ZYOFQ1Gqg+OVX0M82w8MoogMpxFdI3G5gpB1X6xIwhTlo8gpeLirqTxkHrJjyG2skMzVd5l
6QZ6O1hdCY9NcYaqDf1eHPMuUBDVfjQmMqJky/pojYcAYxthaIc4FH8lpepbuN+TiAaJvaCfKRLP
ISyQSwQLUXNYpsJ9kONyDEvmC2Xsfh0q28HrG9JJTSKCkGuWpgUYjwz6IfO2qdt3rfl1ZsnlTV31
fM/QUH8wyGcvjPaT7NOIhEcDrFQNP5LVOKwCp3Rex9DNzi4tYGmPv5Y8rK697M07xDSRwtKCALJM
e2c7I7e0J9uHeIjah8l1mH+Kaji0qXPhyoMvEvPIdBNZcldWpEImLhxX24jnqxksT3PeXQn4uHEi
gmOVO+mjLX9aXZvdbLAk5YpuMa5B85UpTkeGeOgxbrEvUGvvu2BRwtJkeUhXCN7SJTQ4kzSyqnl+
KgYLzNLcXFEIsv7ngoHEgZCmbrSWEzy4WIuLERUtxFwfcbnd3oIl6W5DhXaiThCaxnOSXjs39vdi
an86C0WDIAoP6Aebtb/2nbUe58V+xFNYYVahfUzI3borOv50x4o2Nr4Lgqm5lpnf044S64WnAjog
hKx4e1KinEwc01X3oyGrHAUhzjtjCsE5xnRYGorCCzgTI5BwCBBtY6p6jIdZnhaKx8C2nacULNfe
z+avbRD9ZZSL9dgvzXgryeJCXWRcHWGFh2CwfyT9mh8QGdmAe2E0WAKdyoKot2DWcmD6cBtlmV9K
Z2Q+529K0Vc7TEVARazJoljNkyrljtoMitmFqxU2xAOFvHtnGexbahoXgbj+aM/FdzpJqJRV6z32
0/QGSjGi0pwjwGii8kgaONWUYseqebn3yLITzCh2I+6qzdqCXG3zz4TgsjypOK+5M9PjG1AvDhMk
ixj44LbnHSHM6jwurno8xLEf4B/ir0mYwZc8Zg7dulgboSABC624XcaC1aToAPUv/QQfLaSvAoL1
rjYyjOmReKYkL4/8WoRmESplH9m2bbS0dSpCtTlvO0Qx2YMJ3yROwvDeD2c4D4V99mT3lIl5um+J
SLvXeyxRiP00UrF13bY85KyoYeynNese7EAT+Uas+q5GjIRuyZ8prkeIckDfQIMUEJ5SVWK3gbwt
I02thJpvCgVTgosDObYL02nciSZAMeIGZ6LQ3Q9ZNsTPMprvPjWZcwj66nvu50Aj1RrHiAixDx5m
BApXIcfXeA7Fsyi/DD33F6aQfTMW4ja6pOvwdM02ZftNCmQ+ttv2+zIQeG3NYkVTpnpBI1bbeZI5
CeegMfw6zm55920SUQ4m2WpPKGxg3qyRYhP5p6blV+Rp9WOSeKsQ4Edl7G0KukRQfdrqJmznkI6g
UOK2QWTb91+9XFr3wZASKD608LslNLQiD+sdtY7h6FTGj6H2lv1gE+slSvdj1lbj0bHTD+Bv2puM
HdRQtnzRD9pu7Z4jh7qGETnTTaYFy/slO8zoGM992ULKKJazLXIuhCEmddCXqM+n6Do45t6quuIx
tgTN0fZLF8r2XPrzk+cH8ppUXIF9ONwNNfoBpy+mHVFjoKk8lEXkV6LD9oJXHjT5CRHyiSXwdzxQ
OY5hLGS96837MO+9w2kNKOqnXu1vq8mENBoP+9ynFVcIH1Efz0iumM+ZzWK3Hftr0pnyIckCeUiz
0dpSNXZp+oG5Mtys2AbxhEgT5uSMDuhZVVPnYz6k3nfikGEAAkFrZYedADTqVNGrTrqKwOtv9iQE
t8N4jGDBnWf5jSnGdMzKpToKx8FvF2M2pPexLYeugTmKcshI5kPZYAvOPdg6wny1md0PyAs3sWG4
V+kgrS0aQgOXr6mXO3TDuJXcEaW53QGL6mszfM2uReCAtXbz25hVzhPTazpiEDl3yQT/UjV8Nr4Z
/OowOt6Vbt8z1Y2Tjec62DKMkOTXigk2xviXhpTBZUWS6scTzMwZNlRfkKsMzwJRs8kEFmxEvcUr
i6wGY8t+as2bnoqJHtxH6UC/G4DG9OT0bOO2knDErNeG57SNfBMK90AOfB1Nd80QQbET1f2o7ALO
NONLWSjGMFnvMSudYCFWW+jg19VEQ2iGBmbBtThEQ/59bpdgWywjhiLzI96enoQL+xKkAxlAOTCF
Ah6MRz/p5CNOeMF2j2Ji+mpPK5yAvOH5tOAtF1lSPIwrwtoosK9BsTCpN3GsAS7cClqIKBwv4Hnb
q+xu9Qimd3LDcY9WYvkQWR6kEswWlKLo5AUewMUuRG6Q5PENxz1WCxs0bsDyFeL2HbR7bB918asV
aYTrJpi+Om39TMxRsXMaDOSJG/a0xsKXdcksyppwHjLaUdfA8yg4ADcZkjXcCQ++8cr0Z5MkAatW
8wMrqV/jKuZ7r4NcwooRjn1l/gp6k7KJaZ1Qr+7o9CbbKKP9GfukgFg9hY7BdKxdbSfzZUC/G7Tk
yVrSL19ROM8PA4wkl35emg6f7CFlZFtJTen97ruf5bFEztrfjD6mEoUfGR7ysreEPT41rUD57ZQ+
Txg7PDh49LZ23VLk7ORzyUAXNUVwj4v505IHzBEb6GYT2Gl0GFVzKQS6odEmT5pxRlxZHDEezsiA
YkjYoBlz4z5yxEhofNdiK56OtbSpdKkL1moR69vzrnRrIpqDDmV+WX8Wjd/eVxPxhh5//Wx41WZw
C3OL6UEeYbd8LaK6fiUQdpuMPg9ZJ5ifjQZHQW1EH9KQVikd6m1R0v+QqWQB2vnVwfEbWDM9FCyA
ttucpe2uEBEMBwYamGgt3o8OGU42jdYR6M14idsMZo81Gduwt8xrov6XjsotTAckJaJiMq+67VlB
cEHbO/LForO4decOGh3NGpYPDfTP9Llyy2BX8p9ig+lMZG7MULOmuvnRDeiTcyE0IbyD0pyf+ix/
kkYy7YOJE+AFqBanSHGkB6Ku6LahwiTt4ZSY+MWiOL9SmDhMdmAcx8bsYCOV/d7uRtLVsDDSCvLk
iUSw76bDpEiOfn+AoIy5hBxtPJ8yOjIr2ltTxCeydoBkVp/SsTnWJ/C0rNfAkkC8XsetN4Ecjkuj
POgPWsbZxpJyuRlNeAegQ1w8yJaS5dnISLSWyd4GuH7sSZsOE699IsGBCFVyTxLIhov7l2EHzab0
qxeRp+vRiSzjnEb4EBezv1bFBGZylTxlQUPBwaCiWJDPvWeuTIG0yz7bzYyDqFit+7AogkOzFN/6
ImvvxBJ4qHZETj2ypHNilfeklROoQ3kV2kWbXqqp2ksklZS+6VieMq9GmSJoOkGbZkyGF9+H+ZVc
TOJJsurWC8JxeGeHek5YGDrRc0ht81oKPqnpc1Im072f9fWdG1rNzvZ7l9TkgEVaZTwTQuBd9MZv
CcEJjDbdCMsuHpy6pmM/KdBOxBSyKfz2kEyedzWJvr7ytv0hMR5ARH9xnCEAs88ROQ9fADe3Fxb1
IwV8ngWT5X4qPKO8NZi7bqllIp6a20uaEHa9sGbdeRmoV3OZnku1mYmOyEuoIyMrVVww7UODKMkL
hovtVM2WxYN5b+Du3KwNKuwsT4ELJTI9VUE2bctcPpqxMX8Qa8y1jnVwm2DJP5DkhSiNE7fBpe9h
JUl9KLgASh0aliNC5UPiM3cNeHZhdA7Tc1asD3PH/VtV8zd7bJKjyUm9lTizDRIerkE0wD2OJTkS
6fB9mh37KeUyDBiSP4xIjOJc3IyokjfWvKcVEMR942bQ11cm5/nJVvkQUBhySFyewI44PFAgRN0T
JQv1bTu7ABu5Bg6F23wJhqvfbgFpMxiwNMXJkG3LzGlPdcFDuMiN/hrMrFioOD36PRcRqQgZ08x7
crcbzD79NnEmc5vX1svkmBfCvv2DkUaQzsjjujObnuZJE2QPCFsekACO55xyYJeRvWAHVYL9oqRO
M5KvZCM9SjG2dHLBOwfn+w7TM0VmsuvQeaZw6arSIjK8Gnl+BNzXo/srSdufInWbQ1D633A0U5cZ
C2gO4PamtBvgXZIg5LTrDSwZXt0ALVxMcRobTG4clnnuD3bOUJ+ybNpPBRqPAaAm0M364Dee3MZm
NHwsnPZ+MFzrZHn0m9fFq8Frw8AR+RRfnLwHQDbUm7Hq+Vtnpum1P7zUYeDfU8B9iSRjSR4il0oS
CR5n8E6gaauuqU/ugv6eNTcXx8DqDVfwoXCo7cq1QQNiFlCTG/+pnylPTQ4gbsMAa7Zgo7oj2wI+
uux+WtFcXcrGw/btVMckhUQvGGS6oftUutUXsVT4QZbp6zAws/XndKffx+A3zsFavU/AXriAQUoe
Jzm8xj7weXIXDNpuD2v4kQyXaD8azcoj0KVATNALbbCixaRkv9TZRUIm/mw7jDtTa6PEcYbzWy9f
VbR08++976f39Gto/l7iBhMD1VyKvYWqJdWqGzt01W4IKcJUMeEzPknANJ8AigVDzpMA/L9OxJSl
KDa5pzQI+jjtCDhKiZCieIjuOpgosrp9uJVg6M82et5z2gf5LrETwqpE9BQNQUSYO3BE3bfvVRuf
OdR0xK23JSEWaYIovhYWocCzMI5B+5ASv6eMoYz/qlKGb8DDu1LjT3bldI7MEoUzPIK7NO2JR1Kb
OE+JUeuBrFKqOXcL8Y/2zMVd0MXCLY1vhynNEzdLe4co66ODsIc1SxITmBCSUQFhFflggXJaBD5l
DFfWNeiK5Q7t6nLKlRg+stbqLW/SM0R7DlZGXnMNyP2KgleZGrghobxCimb4C5uORnscobLNDFLk
1DvRGx39masi3/trhmWm+2ypXv/Rhw4tZkkZqxFnDqezfud6r6rL+W+H+gteTeBBa9FJYnnILLjN
prPe8//s6cNYfVaVab6s5C7ETWER+TST/ByN+W5x4vA8qQ1BSizxLcSHI6ijs944jF6nFWuqj4Xg
rDyzyIvVbp3T+dQbfUioNC2vtApw3cz3yNuWSxetgnkAH4b621ZV06Ser2QYgHgRKWQ8namq0zSm
W8GEN7WU69iPD10tPsvFAhiriqZ4aLpzpuulzEG6c+A5H4cgxdlMZ/lcYNY4671M7RFh7JAMnj7o
l2gkzqfY+0gW1nCukvT3psfdsp3G3LrTabBaKRO5/hknHL5NoyZrwwWA4lM0K91ovIOBhlDmzwZO
6f2A2ewwxhmqEWcE/6crwjQH5S6w0gx0iUsZkUpmMtuPtp/J/f8qw/6fAZ3Abv5nZdhbQOf2a1b1
/y2ekx/8rQ8LkIfZvmSZGViOY7vwlf7ow4T9L+HavmWr6BKlB3sHNjn/Cmyb1X7gm9JDC4ao67/0
Yea/bN8xXc9FNfamKvsvedy/6fve9X5/pxNJy1P6r7/rwwKUaaYQCNkIcReO9P5dHxaIruzDsDEu
qZGo7g0VF+hIxF+Y0NXnLjt1EdA8TPafYQqDo1nCMyFSn9fCeMyX0CNyiEEwndo7GzPh3hxRqsvj
QnhwbqvJ3/TIrDv3EigWqtvS+iptPsSUXxIXZOf5Hhsct11KoEBAcXYA31FXxTN9js8WlbyIbil2
lPKGH+vQNP6jVPwyUa3OyWoxbWHaVvkAX0TrfQiC6pWEidtkz98BcmKAtQHZFcvFLmlLhDNxX+U9
iATS4GPWpYGqEZrZc9UTZJyuEKCADRqowUT3nJHQwfQm8dBeMmL1TrVp03yXm7NzL7FSdWAZ/YLx
aDTKX3GeH1B/XpJqX9bjbu2GR9aEVHLwWY8z86+w+kUblUZyntS4gOzXgWXZNGQfDS+yMOfynp3Q
Yz3WET0JfT0bSG0JIvP7Ku3d0uP9zRrzucmzMxrED1Tz5jurhu2fDsHWb42/emd8qZvyK4bssccZ
RjdXpm27MS10PFm17oy5fZWCcV7gfViZ3jjDmG7cZNoMkXs1PK+/k/NHkY7XsYJKRFPi6hS83YxP
oTPoOMhyfCSRrNpQxIEXCz8jwyMDtr8nuICKJ76QIbtfQURs/ImVjGEmX4HCoghecAqtfgah9TGL
nAd84h/sIdq7/I59NtTUdZOk3U6ocEwLtUI0RhkFdANbHYWlxJm/tUV2j8WQNUSeJ/tgfc6T59r9
Lmb3OtX5dO75EBYAUM/LTEbpgiE1+OZnycWoW8T8Q/iCIeIx5lybYVIdpmRkKZSh75kb7yRttDVk
yO1aucDfz+PXwZr8Y9z216w260vtjS+VD61A0Zjk6mT70aOC4XS0UjiZPM0zLuVUfipQQW5dC5x7
5Gf3btWke9luant+6hggjk4X36wRQIflAROMxxKIRv0ZE8ByV4qPtpd9qlHrb7IRdBW5bB+zsvy+
jFcRlFcT5bOfAZaBuGSqQjCxe/O+7qsP1eQ+r4WPAgH4w1JPDEpi27lImK0ofHQdgiTKm2dEyVYm
zvPqVfOG6p2zohRzrHbYCaCHVsWciKruxuqt7Pq+6dzE3lYlb7HwWbF2WVZyQ0/LZ2Jk0PmRYuP3
P4fMwp/oU6hZc6JMl6Z4rWtOkclYRG96I1f7S6MQ3X2MOLDEiLoFiII60XrK+9E+RsKgpkS4QTO2
6ZYuIy4COKROT1SIKAUCSGx4k6rZ6r331wx8IRWNYyVO05tB2an0Xqf21MN4N9v+599fJOOIq0dZ
8Ab7fd9YsbAWA63zt6/97dfh/8VgInoKq/ZwnqeeDg76T33EFK+3djJJ6UyblfJuhsRYNAXeE4qK
AcXOeEQ0mXz3BCDhehBNe2RismcNCGmujDfgTYJjnCoeK2EtTFGCqj9HK3MJvTdZ9eOyMIC/v6Rf
Z+16S+bE279/P7TZ3z+5MJZs8S4U9IvphmqeQW2th2L1zEOrQQz/YBzo7yujkF40OTfqh95/UpMQ
Ei9DV5swQ+HhJt+AC2+/6Q3soL8JTdlzFIzwMlqubmesPnQDaQ5ZmdgvU2GgJcXzm6Vfadx7JFPw
uPGtL4Ctw3WQ+JUS/9BUXvMoFb5z6mf7QjLfYWj69DKN1cu0QDAfzNg8urK8uar7PvTk6bQEdJ5Y
v5YjGtU4Wr/O8UiZchtAzgOVC9DVKgCkzU16I0aaJK1lfCkSo9qVY+XehagZCP7L/XPrmc3RjKrX
zgfN41ni3qhrQmlxE+zyJEWNTD94/TxLwND+gr4hXD+3FiGdjvFltXwBUb5dD/Oc9jc8KKfMFNW5
XruvTSe9o1ECYS2W6ps9o03pnSY+xjT9XhP8JoXrZfAxDHdXG2iUDT/60izDTxhb3bMrwurRBENk
kY+D5394WcshOa9V+TiEM8ygua8AsGcwbeJn6vR0Cju33dWxm+46T3wee7CyWdT45yxgwO3ohMa0
Tub2ZsZPLVcXa2EWEzTXurMsmc0v5dBsQ4Q1LADvuI1rtEoRiy57buKDS2Kure4zXToHhdOUR33s
j3S+x+A0T5hDjzpgTm+IP34YR9pVzCaK85wIFv19r2We9gADfHQgxXQdd6Sn5L55iiNWlemwpiFS
xYbCKoT1f6t6/noT0hY+p4G6GN+Pl1qYB2wR2LRJ/sCmhbBWb3oewCg1uOIR+HZwxGZ4Za7KsK+V
lEFrPLR6Qe/p194PvbX+aJSEvGm1h6WCfhdAlkC9ymmXMFc4yhxqWGJIc6O/aiuWSGJaCjynfKUu
jMm6XJJTrgQHeuNAyqQI+UeA4FvOJ9cd/d2SDM3ZYVZg2mN5kk3Un8E092+6jfdDGU+FyrYeN4Xv
suKb1YrkbTdWqz19bEwsQ9Os/m5Ha8dyicJ8yufJFcnHQIEih7S5eMtxWv1NH3sswxfSo4N0dDb6
vK6YrfO7WOlWnLpwD40b7PVZjlOafpB3j6NSB7+f5UEtrTu10Xv6C/mS0R0XRJZBgIfBgv5cb/SF
8H6o99YGOkZf4wvT512LXPQmUZeBfq0uPGYvYetG+8Jt8KlzQdhyTX5fBpJ5A3Qso/tMRJGzIyWx
PonkW6eWaKEIiZCMSqJu9MeqPjItgumJ1t4Nyuf0LozROpko7eTBmftjqJbc7xutXnk/1Hv6tdX9
0lRpf/Lh0+DsVp+pvtz0HsmeLu5gouP1Vfa+eb8G3y9EL7eBAcI2Gg3lso5y/yErK9ydf8RGxCxz
XnRFRL84JXXN86n5qeVFb+fu7R4V2AsJT+J2BZDAoy0j2v3PifMiAwXGfzqH1hAwg/cGwsQ4aaO+
Z9/u3Ld9J62/g7fpdvrEvJ8ifcb+8ZpXBiN+uhLmuTpj+u59k/Loc6eP9VfgRoS7JhYfpVLovN28
bae04uq4o4XI6DN6xYlp311SYqC607eMvpViy/x9f72/JiN58DqTXCLlPiCMnHl0uXG8bj50Smik
NT/6a2/foF6rInhjozMgVFNuAKHk/96fvX+8ZrQNPXXm7lAsla48YeWw9/IEbFe8tpcgWQ+mkolZ
Slem98ogljtSqf7SpxDzxm8NmT4s7JBnmj6j4JvcY5eC/vwjHau6GEBjFEmelE7m7wiCiY6t9qi8
PWdvwdSkb7ekpbyM05qSKqJuSVg2rMG6PKYiqA7huf8+77UlnwhFBiinTnTZuG52p+9WvQl9xnwA
Dljvs4H0pECp2APH5qf1mf7bcee7tM1ywcSznLnm/iHWEvpFfLA0ubCK4tL8fYYdJdvSh3pPb/Sp
16+FFOXDsgloYP+XXisPV0I6tXTrbRcx2JcyiAjPzjp7H6hBplBvxl0yogF9/RZma1ZvTH/NjFrE
OOo7Zsn86Kh39ZeYh/3+WX0YgVxeNqZrKBBtHH8L+4wurhKhjZILWe+9b/7Ta6Vh8BR9/56oUB/N
f/oVM2uVHZKzX/rX5Prn8ABdHMdKDn/7sf/0s/94LYvRUq2dxeWo/lb9VZF7X/GHThCQeamasdF3
iszU9j/kpIajUnL72BEDkN6MHR/3+2tTqm42Uxh70ZreYZ5yXPVDcbBQZ/J4UT8WLQm7+kf0D/+n
X6O/8LefCRZv5+Aagz0Huam1PsnYhP+v/u+3X/f2vWM9K+0en4a0UCHqr+uNq/7jt6+OuJlEwYVi
2DWPiW7i+qolUi5GN/DDnQtoZByqsj3iTIfbYHjoIWOfaUFZHlZ1j2pDyqwH91o7VPpKZuf1Q6Vm
CYYSgTZ6vhC7/DFRWHxuUaxAj+COWJCAIOqbkNpF6gEH2hAGZ1jeL4ay6qtbTlee9UYf+vrJq4/J
U5I8LihRv3vmEv3Y1sd1b3EJwTF5sn26cpM1/CjoTu/4u7lv1MZTw4I+/F0jL199DwwvgZDV1lZP
nlFEJR8bkGz1DvRL+g3pTZRK9zAW+aEPnLk+dmrgitUsIVFDox9ASdalY101NhgYVGAp0wyoJhCo
5xKmlZ/w7NOFUl0d1XtdX8TngQtRPUCdXHxxJtLZta+qU6pOvYeqdGsniHl69ejVViu911KxbSX8
5TfbmHq0Z3j/GQl0QVMdT3ZOUYncNxuVFs0Q9XzwlLSjMB2bp2QIW2edAHuoyaIub7/tCSfCjYUu
31olscW8T19VzPUe0dpEFK7DNW0c0hZMFTPBDfSnhO4O5JCUoTPc1bruCxgF04eaUIDjlERzx4Dx
/AEUT9qxjJtiYx9TATys+RSRF6tuvcWIHhunQvejH6XKMoS9mefpm0urV0Yjm3yWIFpP2pslqGdh
d1aeHd3CKE1ibeFWgTBgUNdGLL3HOWJceH9RjLGxHVooDroP874p/NQ7rJ1HzAFvTm90H6ePCAnr
u5ASie20+9kwnvRv0/Vpvfe+idSg1MvuE5Qof6d/R67HLr3rzgUfvJ3SKm9H59jbLMYu4RgNRyyl
MAmYg+tNoy81J95aaT4fBZpwFNjqq0ZFsJTfN191M0NfbX5QIBPWx45WDMfknXNyra/maF7KIlqY
DKhZnd4k1AjFBj7UL4p9DdYZU/CrEe+vpOydGtXFwBs+n4WwkTm8H8PGRfJE30N3MXR3p6I1BWsI
1SXxxKqjkSQJf5xTfqdTQbsjQPkThWz04X97LW03RjDRWJ3uR7OsHtDXTbchbCGpmTvmNRSKqN0H
mR3u1wI1aO8aH0afdOxEhN4+Nl134wdVCU+b9DyMSc0esCGcSeGvj7J4XkSJqwP+GKC+D3W3+pd0
rl4Q3WOASGgd9pb7BVFlfE+Yz6atVvE4DLK6xyZeh/6V6XZ6HRZhXWZJ7GDqcUOoLDm59LtE2hsY
3I+oDcVHPL/ZKRvrEhaM95ySUEYVpqd3IWjBZhQq53QMj224PmXhkhybzusvKDrvR8sNjxPyYri0
zj6JBPwKfC2Dx/Jj6dLm6Hog0Y0JRW4wd4RndPmtDPG6IGGHsLpwRbuNO5z6AeZlRORh1DjOLfKA
VWPQoxS8fJroPG3goS5IW9HqSANFP85n1B/m9EBlq7m0KWGsem/Imp8dsLC903T1vYW8mkkujajM
mGN4HhgG8F4RSDi00LwcEAZlhMDaAM1AyqWd3PK8oPDJanwPoWFVCBGUDdUxJefnWJJ5vI4eUR/d
9GINib9fTGhkuCHoZZZiOkQIgemK44hBX04ZJOq2DrEamxYR4GJFw73pl2Iz1sO4tWwTAkeVkGDo
+1erbMu915A/GlObsWniUyp8cmrjJQ8sgBIerfKeQmphEYaUoDgOTOiPS3wYEL7ekYfSoTWPi601
Bzs7HH9USky4yI1PuAwuKuvFIaDrGtZ4IhBDv87CJHs6LYFKqJTmOl79XToMf1UISQiYl/kGN8uH
JRXf3I4ibjn+IFMQC9oqqPAHx3VO1o3lDteys9F/WzQ7W0tQCc7T5wYDxsFq4n4fdhamZGcWTx2Y
tHYq8+0qShNpHNpCn5Fio8weYx+hswgcNBWYOuaGMG8H+odtYEf2HHB9uB0sNP7VCh4+Gu5cpv57
aymmU72ay6aYsWtNZLlCHkWLjuGFP8NIfwoZActl2rcRslRhMzWM76K6WpYBaLXhP64dCHj5IuMb
Ka8Lc1kVSmBVkOoHmhmJ3/zsHTXftCC1ZSww6UxW2yHrGOzNiNEc/QwViOKQWD1mRuLfQhCHW6si
ljxMkLI1XbAlEGjalJ3/gLTmEqDcvG/8/ijyujhlWfOtJh9sU0mr3/5v2+7/2rYzHVclcPzPbbvH
nyVav3z8Wib/1rb7/YO/23ae/S83gI4XgFe1hE+D7k/bTkewBJJm2VuUiuS/K6tWhanYJliHwPWJ
Z7EkbAeHNI3fbTsr+JdHn80lYQXCJF0/+/8L68Da49/bdrbv2VgsPSRltkfvjt/3b8EcOSDAtajF
cpzzGjcjNmpygz4Qz1CBWcJmQAUnMsjmyAWlZwGv3zftbl/4YtPRsT4GjZc/1xh/urS8W/uJoMS1
b3eU/aNdwUz7zptZ3LmkLdxXXvc0Baz+C6Ovt3M8Kxsrsrx78hh9UOgUnYuBfxakxsian+eJh3Ig
P5VhRH5QsqKIsRf1u4D2+JZxM/O4P9u3JnfCx+pb2o4Jjj6o6A4a1XUK4iN6Bndn5zD8s9JOt12T
1VsbttBh8YBRdFn0KbAIac+VKGUIqA60k5tehq5/TeNnRENIeAJsASQWEbfifYlDLFMShdbSRb+m
zj10Fl7hWMVBLHVwb1ewimjlG3dGnuN9j8kjU7qdYmTYaujp7DsecneipEQdJbjLclBs0Mcl6d5E
YG4EPreTZ7bfsNX9ivHjbf8Pe2e23LayZdsfutiBvrmPbEBSVN9Z1gvClm30TaIHvv6OTO196Os4
dSrqvV4QIEhRlAggM9eac8za0l5cbxT7NUMKOizgX8fCP5UYOnC9mDcwriFNZ352Su3uJrduprmn
+2ejc0lGsuOqYKKxuc47tO7+ac4hvSFhE6fV1LG9BXl6uyRw+DMAjLU73qSx3Z8N93uXdPk1tYcb
S7M8TOeMRzMyqX2LFO8Awwh8oStQls5eHkqKpI1OeOst2H2XpmBI7mkJjroNuqpytIOVpcSpoMFP
5qUnjSVDUtok3a5m4gKIqntmMXge22k9Blgu6fTlPk4HXes/IqP+1s4oZufVxX7gIQa0ZZSnS4tN
09F7911/sxaFRgh2fOfUtYdDLzFvA2Cic21/9Yyyv0OEcz03QXPWRjTuGIuOqDIgu68+UX7a8hwN
8j4+Z+Q4T8F5WR0Pjnx7KmLfQwgZvaAjLLcuMUF7iiElvStrE8IM1fEV4nk0Ae/Tmxa43l0bA5tv
zsehqOlXs2w+iORHC58KgyGS/JLwQMMrQ6fSforc7rb5TB8OsQeKn9h67P0wmTTvlKEeBaU5XFdd
zAg84QXQ3cK45kfENug5T6KCf5ys56Pgj++HEUzVNJvDaQUuvMtG771Pkvyoz4xARO7E+070tKR7
/W2mZkI4DD1WKvI3uid+TFXEj8zdU+AySsVd9F5q03WpV09rQnd6qNIb249RT2IfrXIyGaHC6Dtj
tN4w4D91K25/+Nd47rv21EYaf2rRdAdCV2/qb+nqLptxnqvNYj4tKbX9uJoeAg33kyGO4DtM+stl
fCjS6DmetJ9+SnMkn+lRW85C25kwGJE/LW4i9mWvS9549auEZckapIfWGlmcL5G+0b3QN+L22vF7
eitQeRkcuW8tVXfmw1oP/Je/pxkSoio1tmhiBnrv3nfh1Ye6DMSdFQTPrdFedy05j9Bvsh1a3/7c
5y9B3l5PkX6wG7z8vbuWD5KUOf7Ip4UPMQ8AzV0c3KnOqpAeOgj9YaaRntGlXtfsLRIkYMdwDutt
Uq1NOGD+wJAdbfAWnCMfLHHZQ3SZcwSji7C/W4B0rlgvhNU8isOEMBi2F/EhLD+eK5d1iOGlDv4J
3LQ6FhOc8BvmpVxLwtB30D+ZhBZjiMIaLG483lIRL49gRTXcdt5hWtNjh/0nXg4z8v3qhRZacKpL
cWiCMyKBQ9LiAWMGt3WCAxkL5rE1112KyGlf+uLN8SdwLIUlDnVFoKVuAYxrDNhcQxoO45IcSfSl
uGg4GKPmHHDXGO0wnyJ1rjKQYt1pEZWHucfpXgEWb/Wpf+4dV4o9/JhuOLeLtUzOozCirWuVd4tp
P3ijGU4103OWzGQdZAuZJhB9SIfyH9/WwvIpiw/rfvVPy9iDfmHCPes0nmYgiAsTx61P2zcrdLI0
SBuwriaah7fr0kebgeLATe7SH+qdD8C45O8O1i5YAJAHpfehBc4RtV500EwcEmOrm/uutwkryclk
QACmuXh9POeHXRqPuuMhO4gybd8iA3VdwnNEnX5fe9i2Q1p96aF+kLiXefDnYoMseKMl+tf1T9HR
G/Tv+piSVGklB221CQNA5xujEdgE0XCipE0kZYZkxex3Vmz9Em71mpOQJH1oxsZq0+1qUBA1fObQ
g6N38NaKm2jNH8164VTozWALj//JMlO8iihsFyEGOolcx45lHEbkRJTCaUR3BAWD+gkdKcixAOwL
9NlNKfOFFmtPP7IfI6wOGF0xpG+tgJNIRrMExleRFFiEuiUJARZI7Np46vUJwJ5pQIJAyz8V/pNe
G/229AgOd3pQn7M+nlY8vKHVeAzFyGq2kgVD3nmKl3gTu/VBoCvculH80BrrqWJNQSgGps71hPWN
vGvcf9skSt9HzEU36PxZY+T8KQ4F+hZM90YgQo4D67YMKpDZOWsKw4AhGiCnDXp/Iktx+vBHkWEH
OkCO+Abq8SVYAn9jiXYfOyWL+xXdjFg+cpqpO6poCDQJXjACe9fHOZRK74Svwt0K50u6+B9OQtL0
0L7S+D1gA7437OlLPK7LLhMduI1rbgqRXM2deze7i/iAfQWB0h5uNLjvG/TCUDpz95SyRtx6Y7+v
uBdsB/pKjG3Lvo9Es2G2cSia6CQFJ60IaFVBmqKL/H3e+GWK4jd3kyuz9a+NRjAdQY47mKS7EU5y
V4/ja76UiCNm/4b0UNBNlgUxH05mRqTAFsf+Ka7rL+0g6/Xc3QhW8w6p0b0EAQYLa8l/YHn1qepY
d001vqzIXGEUoHUJcHJMs2eeY0KMObn3fhKDAG4avveB+YookGgUj1VKUK8QP1AVsuCq5h0ZmPA9
SP8o/GcbTjxdA+8Q6cveTSACsTACd5234Ek2DXMr8qQx+ToVl5NLiyPKRuQD1Uvs65N1ZGSPIYdS
kFebqXfKzQCpcJ/nPQPuhAJriERB4BwlGzr9v2/UMVeqVNUTnABMOd0RxZAsCKquwaV10Opcsloc
Lv8y4bOwoyCvHnNxFqRroG+RGlnV11tHt9gPlP43CIWWU9Y8laRpEhrRaptKSj1Vb1FtclnwU3vq
CaeZ3J36QzRV0otkoU91SxJpN1/66tTZRndQx335pNpTG/WKbhAfjmywXQ6pPfUen+95eTujoeN5
bpa8OWXi+5q51lU9PsWpHpxcz4QYo+W3SVyBhywxsF+pF3jromNTIOvm0s7xPyuRsjKp2jvRkA0A
h3V0SLIJ28rqNqk4NGHVrjp42fxxTL3DH8eitIMOZrXHP45fHvoRIOwsw3JKLE4OpoSK6h89+cYl
ugDcjCxlo8MtmiXYq77n5WvNZGmzUEV01c0uZlhPzPZRqrvz9FrCHNkT+c0x3YvrY2cjGPvXOaH2
/njDViKsKFale9Xlv2yULkB19tSxFPTOrvWKZaM+gnqrXJ1j6g0/dwkj+yKTGvez7MSqjpzayxVl
q+gJqqS4+UM19QKMa7CSJq5Wt6IbtchCMB2IkwzlcDZehpLk82uLY8EX87mv/veZy90co1a0+2y+
kReGGEW2YNXepUE3SW0bqFpztaHNqr7b567iKBR+fHCEBjfa67+otpvaeF7Gt9DIKwqR07LzsfZt
jAaI+xrQMLcqLqJloU+gHqo9bEr0XEcKilv1mMB12LJ6v48q0KFWU3/VAh+QDvEVm5kjCwWVew7T
w2zaZ4dyHD2BvdnDYBURfuZ1fjS6a3tp80c/pTTURm9tBE/K06Z0L5hKA28Xbdh4EWZSyvH43wn4
tIgG8cuHyiKXwImr7JDUC8PlAKGB+yWLOXjGeyqlzDxM6o+2QzspoSq0EX6RHbvV/TANIzuO9DYs
FIn4NzzrikoehqTC2AWp5W/hdKO3nJlFxLl28uGL4h7o8vM0AIQxxqi8Nc2aEZJknB0eadoJFkSF
yCMSgarWnY4D33V08zzM41eqxpjKGqJ1krjt9llhWjtyUAEwTNUvrvBn6EzNqQ1Yl2kaKsxB14uw
HMAYFcQnYaG/7zssipHrxqdFI7wr8KMtvMl2k8RjemtazAihTWBppLFVHnMTFekK6IsZBYw41RsF
KcAtS2XeqN3LwT9eo55VrdPL6+rO/dq2QAKwCNyo5/Cx/tOLXUeMF/Vs3kdSbrbKECBDbtTDz42M
5QmKnHFe4vDhOZDaU6zCPSWkRjVzziQBuadCv2tjcD/L2B/1RqoFqPZaCXzPZVCQO8OX4f3VcxHF
+t0oY4XUMSGX+DqZQ+rJQTYQL29xeYi0BPOFjDCCksJQlstgI4q5e0XvB7BMt07tXjYFZILD5E4n
uqi1RGhYu1leCpzsXCMFhgeWoKT3yGOXJy4P3TaY0LhUcXMYKu/zJerZOF++mR0pf5fXNl1jbw3m
eYQ78P9S/xfEa+khI5CjUToO27WvC83wQ9XuVl8Jtm7mDep7jcs6oHQqR2NTjks66iTDQs/UygwG
tVlk8IIKMx1b5ENj4EW7QdKMWyc2r6asMREALzvV72JejlJFdr4C2Yj745htgpUwJ5OEthoETSw7
bZUcfoNJ/ck5JEzSLrI9nQUCqdOTBky7gQV1mpYb1fJUBEG1N5YkXxTadIxle9Cm4XtwRvPIwjXe
t1waGxY56IPUJ1iVGkFRFdUHbCfbBISmJzv122e8WmHdWLeK74h3rDv54/siMW4TCjPoxOZB9e9w
5rch0o+HC5mzzfIYV7f8i2eJjSFOK8j22RynRGs5BJd5MTQcu2jnk58DjP6nN4xvyS6PgxwRdOgr
5NVkS026WfHZ41ONvq4nHLb1+HcrCqP6YfXE4EgR6yelMVOjCFjTZZeUnFu/vUq++eU3qt+lfvy/
POZ3CWPK5R3Unvq5y7HLw8vbXD7e5VgmuFjJDIaD7WWv0eWd1Ys9JUn5/OyXn0kKPzmS8bq/HPp8
iWZ6VE2UY7+xMPYsA26gMXbDpoXKIeVC9UJfZGDoZYnPpayavxSvkpp2GXcAdbBe55epJ6DQzjL3
uE7xVvXSEdynO7u1jA0OMU4Zdeaq8+SymT3/lsxHmhtr1uj76SGzZCtZupJSn+F/ks33lTh2NBE1
4rtejsONkjApvqf6EHo7Pk2mW4U+hNg4tcqj0iV4oN12vk+8go/x8Io/gWJzf4WCNT0ldpt5dMyi
7KRsRyTx3IMmC9ItQ/am/5e2gVGc3vS0Ov2hNQpMUslIEA1GfuQQ/5vY/p8R0Zalm85/6ig801H4
2XU/f/5Oif77p/5uJ/jGXxAqPIOyv+XxZn8TogP9L8twLDLZfbCgPtt/tRIs9y/Xx5Lh2ybqaiw6
mIP+aSXYfwW+5VL0DJh7WbQo/ketBF9akH53AFEYCgLMP7ZuWOCmA/X8x7dHCgnkmRv/xyN3S0sm
4qUSw9PA1nIBqbN2sq2e4sCrEm/UltlAztf9aQsyqtheZB3qaYzNiFOVnEM9VuoOtac2F8VHNZCj
Mw9UwKXrRN2fFdlYj7H5fz7+3PVhyphF0B8qN3KPCA42CmlMdRjwsRyw1GZQg9xApF6oCetOql6v
DCUvVrtTBF19r3aVWgdcBVpjw6LzUTtaG7oiHaDBaSdhuzFNvDjH4J6/OnKYFjgWNw5Jm/16nhDH
zCWePkPnot+sEUDH2ayMPdDQsyEAFZWdAEoYYMqxA6aiSfzNmCltLnPzQnVzAr5MkerOsvWvJcXR
28WE8pzMWpjba3RM0DFty4EGTdMUd70+3k92ku/hfNZbwKZYPmCHpnL5PcTWNiF+bD+02UE34xQE
DuKdeE7Pfe9BUxjkAiB5a1rrvMxxxnjFnQ3G7I0Xwy5E0SNRW4cUHc0WpaRY6Q5NL3kyJqFMxhum
GWXVRNhsaX+hgP3cTf26d6MAdVlhorEgkccoS9KHU5CFxJDi1CV9zw+e/NggY4RoMCpc/ltFyatp
2hkMKdzWRQ+ul1HXyS2EholxmRl6R1BdjbwILgtBT5pAbd8fslpfX7TkceqzrwUqsSol4NsuKF5G
BB7myG4wAJHf4gX2Nksgfk7krm8G2Etm7DyVXIBHPW03WB3Ikx7s0DMKIr/SHrtnQc3bp1RNWvCN
3TXz0baNX1qlubsqNYMrUTT3Vt6KBzO/cpj80jGAEra4mG11zw7xepFoQoVzVxkEdTba+uiB+AgT
UhO1hSJSWgTUVBCHg02lnmHNX82UJUdep0Y4GzSFqsj9Do4DgO5yQ2zfG+2k/ghfjKxef31PIzOl
Koh+TUqj1qeuqMvdAsZSr3Bfoe0gtyoFl2sn9kfcywq9RQZn4XHaRFlzIjfUxLfeHjpM1tue3D2c
TYe2LAKQOtMjSzSKeCLqQsIn6MTHC3gyK5yTPti5uQ8xmVRDuA7IvMY0dNoJKAW5Mq07X8NgLnfR
Q2DmJ5Ayu8ofx63bOk9mOn4vBlK/l7V+6HsyPwzJIwOGixuS1KXWXE6JBcA3B28XNdQgsYRhfeke
q3YCL076SD0Ds9Acohy0jguxP1ZEL8hKjkGV3NnmjTAAs+XPrW5VezT3Z309ChuMmUlOfJmXZNHU
+jViCKiINoueWYIGfKv+ztlRbeKBZaGeutZmAXHETA/zvQbGylqIPp7J0E7bN4S/Me6Gg5ouGMzW
IhqOZ0OfNkO/QJLrManAcEB+uhLOaqKqRbC170gYSqHUFSzGtbprD5RMgpAT6KFuF5g9y1tHlNSG
zgRkYPnBRFVTHLRi6OxJ3J3gBpaG+557AHCNMHX03STKd7cLaHSg9qeQTG4zvCIUCt7PwfH6I9ED
LL7bCCqZadOtybsvBafZ0bPGbhtPK3co5FIagXUROKh9R/JRE9xg4efrKTfB2M+bwKkOmV6TaxcE
3U4z5wxaNesMbzJ+iOUE/+4tjwcgMqghj9xADoXNpZEghhJJdefKX1KL8rCOE3hCDydhJJFiGgTh
uXXuB93+UZA8VccYLtP5fh7T/hYDKPxboD2nLngCVRu/dsTl8A9KZ2Z51QlMsMTEuuFKH3aTmJpA
4E2rY8w84v+AkwZ5gGla/zBzHgGw+RZr25YGNRTVFM2WTIYuxl2UPC4x0XxmQmZP5VDiBVa46wsy
0hrOxgT3vIB5FNjuqzXjnJxTvIQzEabb2UeDEiPf92NyKLXKi0Ov8ur9OpFGQCFvu0RSei6m6JyY
8HsnqvDT4oLM938Sb22HJLSzGgy4zhuCk8f8vXDxmUSMVH5bvjn2L62ku2poJFf2RXoieyze1s0v
vwZdS3TmUWuN4RhPxfNcRhnOjrY9VDkpmUiM3HtK1Nus6nYdxv7TanDfHH40Il6PkPNf0dKOcKlh
NObdVOHUC0ionL0xBDsA4pqAuGI5eYi3fIRgWjRsfcPowFZDEDV9bTpVS08nyyhHPJvf1wb9S271
zjnKsCaZ7+Mo3i2EVBvbGLqdGCy6DDkyyiCrvtNY/TYvYVOizxq0+Q6iMdRaPbhCMwuYh3RED775
UuUFTfHoa1vr00kCzswpMU5RmRwcB6aP3dNZKqy1OGqYiOlO04xybB3T61reQ67xN7pDiqhuRvvS
q7tTsrjYmHpW0fO5M7gkUXhHuzbJHhbEaNvutS3HGMwG/7xmJYlosmiZBfN8FTmgkTsH6l5GGE4t
tvlqtXdVQqIPIULPomQsWs0pOhR6SW+XXGiSqX85MZmz5WQVVBGJJcr0wTx1XxDXwt1ZbpqBHq2P
tY2swS++bjvQJPE4S1ABpOxfVeBqFNpb4ukTQewog0rcLXdLvj63bteHuZst1yO0htUQAoqWZT/G
RrrPtNU5o+YmDaK7TV241o4lXluWI4dFd2+1LEQFPR+0Tr9D45Bs+1EQdFRzTYDpTQ+u7T5qGsIO
SF0sQkyo7M3MuijaeX1+Tt3l1qucJ66cN50VyxUl//lAnRO4AYsYtcmZSEAL8/celB2HdGg7R7+Z
TEwfRsAEIqk72iNIRkCbnsB06le13FiJ+Y7NLdvpqNcio/f2Ql8hvgN4SnDTwWcL3hFVAn0EbDnH
jnVA6T5zr7OFv0lL51kfaRQk0fJV90EIAXlCB5cQptropbmP/eobWjWEHgoQkWsI3Qlpe9Rz4pkX
OL1xRqkLnuwRPRX49lqEUfAjQli2d4yoA4MFpRaPGmFq2IMnTfvOPb8LA03cxf3ohKro6Wq2RZMw
QHDi2oxZAUs6SDf1Fho3p+myHcx0OWRO91DhMoxKDX7VptWdkYqyvH9nU03mlqx9mNUoQhTGj4pP
O+G/goKCKZuWgmftJoupdW49uhnoU02aNlRdWydtmRimZdNJ12vZywhKjSvv4DrTXUqz3kPuclSl
dyTgzxYS7i33/5spSOcrzzLHw9xlBFskDqGXhDpb9XQFI67douwU24Qi4rEWzafxC/yuCM3Cf6y6
fj1Z6dOSvMYtcnSEGXjcZZndDXp5h01OXlCmITGeiEUFZDqi0K4wodKNN02YwGD5gBAyJwzMIkQZ
9Jwpj97CTDocCHtBg+mcysGcuO/ZpAowY49lc0WnZbuHVfZTOFq/z0s3OdEl3QpP0MSnlwwnhczD
Ph3FTk87XNnRQDNNmuWU6aeM3u0uesnovYaoCeMdF4lu+Y/0zdrjhJ3IMl0SmGPIYHQFpg7G47Ag
T8o9uz9mBk0uDJJh37pvftzpVx06Uug3+K7bIl6val0nWssv38my6FByY0mUMmOPeZQs1FNBfhfj
U5n5P6eU+0UClKoC/n2ozYL8ButlRhdCpslzKjQTdSfFiqGzEGpn7rcgpbmxKuoJgn3+DZGQEWjM
zbmcjLh4XYPB4IPbW4j0b8wDE5zUdCIrl7i4Wg8Lc/w55pG2p6wTxfm0XfTkVz8XZ5WM2ujPjQ9K
L+4t6k1yEWHX6NHdjphVv2m3A0BRZqO6t62CWmw4jYDfx/tKl0CxhgpENecPmnAExLFxT46QQHBD
fY6IS0KARvDDDbK6Uxk8kp7gQdVhM8UfwHqW0xqRmmGK6tWySODd6KsRHJI8PqYEXGy1mLgqmETd
wWLhZk+JhWWq+cqMgg5/yc3Go0MLLoUmpAweLVcELXP1IrjZhi4wtmYZz2kqnsYpAfE3eOOZVJDt
svoQcIejtxbaVZf235g9vFJvTbmsujP4OiCimR3indclKwjVnr7BDit2hNnYAD3dg8FAduycASCf
R+ekKQvzChgaBKf6C8bcmcDYFBi3vKjBmD2YwiQHSTpTgZAJ+ragVly7hrxUUMiP4toIvfHdy3Cf
RI2k3egaOPmhuC5mOq2ZqxHgHZjEsZUzV7efVRorwvhInDoTviUFWh/EmNHL9MDK6oZ42vRquS+d
YthOPW/nWfFzvVDx6rM+OQ8lkfbAfJnyZfpV5GZlGACdiT0L3r+3csOTtT9HQAJDWy6qLUZ+fvfQ
UDMagEPEEfXfugteRQojXdHC1Wm+JDqK56EDoeB+9VLzPcnpx4xLc52ZBJoT97C3yDCEactEyDEQ
hK3okNbVoVLMlJroSTLo8cXkxUjp6r2sgm5j1iSjCv8XTQrtSm10XdIcIsd6mMqVc1SuXW2KcJ+b
ohlex7qbQwld/DwkXJ3s0WRs9moTuV4LfhENNTpMNUknK8J4UD5O5ZtF+mvsNQwFjrUG2MAIX5q1
eeTEpPtNkZSinYutH6mfT/XehcBFSQIaXh8mhZiJJRZj2H8BmWpg+Nbtq1SUzudePgGyBWJ8IjIO
kkHudKgP4ORtKg3umDVjwujjaUC0Q3LM1LKstMV9UMXJQXeFd6SRIXFpwdUon7ts1LEio/UUa+QX
qVRlUZfRlZtljxXMh3Be6hwKwoNpl9QOq2j5sKmrEJiJZjurwUVsiGe4FVocHxJXZ2SWVfpeYE2q
ZDHRbn0SDvL6bZIlw8VGpT7VwA1rz/wZH5rI+toM1ArKnHySTdEmnMyUuVVT/dIDjOQoaSTMdjNB
Jo/agAyBmkJ8iNW5QEJ9Uk8UZFdttPVBWJp7UsPa5bAJfdvhGrrkKK8DrbreDvCXYkVfUvtbhMoz
NCKTOBWPkyrDCrFfOUePNCxO65pP58odyxp5Flg0wFKCpXoRgrI8xZq2jcwg5B6gM7okoOmT0r5X
m1JDvTPUT07vdds+MF5EYA0MnNE+bQHS5Vl6rlvkCKPZN4e2Y5TrUjSBRs7N77AwILh5c4TWHNrp
isX7pXlOUP5slQ9bSQjgj3k7qk2M3/LmqUmv0ZLmaOj0LoysAWBNYEzbQF62+eiuV3479CEV42d1
iDFsuboXknOlNossdGeTBSPLXJGLydrAKO1UipSvof0LsD4T/9qhg1/5Og3wYYWh12FGQkAur7h2
5DYXW0l4cXAuZnvPagyHvmz9m6pY1pjuSz8TKqSa22qjet2+K8IaYCcoV+4UIrnnH7KcPjvg0muG
DgnHLjHfxDUiXSSut2NSpEgNyuOqNubc7Ui3ZbWnwwEZ3ATkhsPK70oNVpgD/t4rjIwE7sp4VTPU
mumoVyYGfAWjOs4V9hHD+GEIcF1NWqKmdbH/uQjhzFjKB0YKPQHL4cgwWSYvVXZsYkb1cS5cZicB
prOZlYAYDoO+QMOPEr537X42ANmOUU/XnXXexp7dnwCLjfNi+2cfCDllG+l5RBtT1I9JnF0lxjQC
BciGTRblaGBhpK4eVb/ULNHBREa+a2pxlwl+1yhs8gKEcx+bcbQHo09HaJmiG+AVOHgI5GG2Ck96
r+U4fPw1ufP7Pam046HGwRL7BWcebSWW/dMuaBh6E1SjlndPSike9jzeFcI0T/TlH/M4+0UxIj/w
fYMtC5tEb/fFmiKnbMaXPCtJfBDxfvEHMkel16HlK9i0GpCmdKnMvd8ZS9hmL0Vq/RyWqmJSC2Np
ipNvrL/uhng+5EHOCp2soJBe99akKAT/fwxnwa0Vf3W04VvKDaSdhIlsqAqNe8uJZtwoM3Q4w+Qa
9BfgLyn/bG8lTdcDEYmmSfo3nI09+de5rbu7YfW+V3lwgul3XQoyjtaZPz9YvziTd5Xle/ox+Z0I
ALm1LplSTUdzQ693DcW5Hb+ZQSl3+emBska9rudhIZXYG9an2aCtxaSDxlxK1bGDHF0Iq7k2iYhG
kZsZdxhkdqWpcYL6KU4hinSGDS3HNScU64yQeSBuXGpcBX6SWacWJ1OPZ+q4eN7K93SS4kMCbKFG
4mzp11ujw/Nj+dZG9NoTBdqnvYiomzfG29hRrsPZklbTN51VEfFM4KbKNX2LGc0eu4Y/uxOoUe2+
pFDIMJ4W8RMTuMy66fG6UM1MUPA2iNEi7lQ4BbdVUz67ZnzjMZfBvpfczPKLFostrr1sO9cxUcKu
+eEJfw29/rUKCndTlN4LJftXh1jbPXh9+wAV9WYCRr0J3ChnwG5uBYxPCsJaiXMJFWQSeacuMcwj
lq0bcKhUOcDnbwcd9sv8ZchS0KjG8uwDJjVcuNcN96xNPbbYZMkWXgasdhapqjRBUNUayTbRyO0p
HPex0EBhw8aDHB1P+9Vwb1xKKF2nU+4um/aq7KZNBQketxn2NQ1+mNkaeyjeoR5NI3Jeu9otmmAB
Nzl7zclBZqNetGNK9GVgBVh5fmpB/8MyE4BIdQNHvC6Y0HyNE4IU4ui0ANyj2hNj78oJ/k3w90fI
yX0pdeV3X5N4TpgT8cJ0LcloblfBP0vnphJd+Vr77rT2r/mjorsDoLG60RbduSa38kuVfbDCSCi6
9PkeuMqw9sVOd02m2gB+UjAya0C1wdbCueya587mBPHWJ+HoPvNca2fHdnUe0ndS0LnSgHoDNH/L
jGliWWeFfbdYG5rP7W4o3Ksmd3d6Uy/hOLGUsxOjAhpqGbuI5XFLngEZw6jT3+osGwnOtV7s3vye
WlWDbgaJcrLWr1VJiROmBihTIzm3Q1uHvRSB51SBqsV4xggl2iWMI645tAbPURq0x8gbr8s6f85t
dHJBtlY7d4SFXgaI4rOF8IC0+hYb6KcbB6xLggDLouKNYOER2P9xykZCkq0pdIkgJlXwJbcp66fN
cSXWaed72qOuR/1TYhN0vQRfq7whr8JIgkPPLb1L3FuAXr/iDIvcMsUEQjSkPxA3Qa0fwn9Jhgqq
LGAonY+Q0itYgyJ6vYKKsKsIUdJOw0S9LwDetXetOt1qtUOyiAFAFAtFtilS7XundQcnopFrdHGY
SeiGNwNk81t4Wx4GE0f74GIHHg8o2a5mwF46gogYiLpn3lnleTS40kT2gjtP37htg3Zdp8jcxcar
R8YTcCYfWW1zjVbvBORcFl5yPNx1e51jxjlMRZhUy12HSb4lUw2uctLxNje4ThDeGvmTaKxfZrse
6Yjw+b3p6+ThI4kICCTpubhJnsGccTc8u05F5R5xyMYLeIsxacRNpE2bTiveQaExWUn7LxR/iVC1
TEJUSAfPau0sHOSRNqId4uCYgRT9HUEj9YYBvtziwvPCdd/gQESwZ2o7iSNuE3fbe2B858qioyPq
cCyCjx5lD8L/xr2Js/U0yguqY20faW2zQZfkiYZpnNNwiTBOdKDTqLRzc3Gkta6bWTssQ8fcVff2
vuvvsD4Me5ZTnIXVdii8d6pSHwKnP3OyZjNPJ4/o+mci2Snjg+Cz+JI2sfWRLv0ZhbJUvYndOpcn
V6e2H3jxnrD3g1GVAHIqCF6IvlnqS5U/stZE1+9IPPtGZ0SEad8vG6quzs7Wsqe2zl1CLvPHkfS6
jT7TaKm4pIHrLdW+aCAC51WOZqGbn22P8KKyzUJfzDP2KTpHSaMjjOxbrq6Em6rn1wi5N2nvb1fq
/Vdx64VwhiAqLizA9creIY8+FrHxhmeKU9N0s40YiaOgMTUV1TcCcZ3CujWb8as2oO1qndo+wZsi
5xwuP61kd5NUAHid2Udb63e/uMd4W6F7hLzM4xl9NAVx7hkHxGoo0tdh75fB95rSgrfSwoPtyCrd
v6UH54aGLPnUo10X/qEf7eQQyTnuZaOQtcpe/8exy0MNCTy+CGlAFxVhigp8UCnwwScTQSk5Wf2J
LaX3ZrsoOBEjG6lPCm0j7eifr28jk75lWbw06sfVa37b/Xw7+fJaLgIJYPCgy2Ck963hzliNle4L
T6qN+tnLw08mw+X3/fbWf7z88/ctE7qQGFNEOBPSslU/qNQ2yjw/KcWO+tWGmxjHctWBUMZEaGBU
6k8ZpLyd8U0z0bDHUhX1KYj6c1eplYS/IJDBoauM8orVoDaZL+lQavcT26B2EzNAf6l2O93LrkqH
8tpo4yHBhIpw87fn1ft5ym2vnlLwYLWnNq6Z/fNOnwftlSmhWzPhZei8vO7ysT7f6/L4373m3x2z
td4/eR02LNgUjiQEEIZRE1WxWJ84AcWr6P71rNpTx9SL1UO1UW9weaie/eNn/3ioXlwO9cR0i++i
lbXoP1ggF5TGb4AQddBqyFPmDgI7RG0UfiNVAJHLY7XnChYtg3+aZKW2HTgTaQ+yG9UeTm21q55S
G4egPU1oJ/V2l3f/4y0tpPX/q/T5b5Q+qGzN/6T0ef3ZlnXV/386n8+f+cc2bPxlexb+XktnVUNg
DIKev7U+nvWXbdmAp13bcKWe5zfbsPOXbnDYt4kksgypNvpb6oOh2DMDA4mPQ7oxLS/vfyL1QTL0
u87HDBzHQDXEB7Qt3MP6H5Zh3yDCKa195xgT5ekPjI7pw2pM2N9i8ffJ8zH/338PFpaE4t9/me27
NK74q5AqBTr/Dyk6+k1UFA0EddCdio5La6D79geTOdNMAUlYyLVR9Os/mOKfBpZ1+nID4f9NaPOp
KJmPpiP1dw9/SAEPijjECW/FtMvnhby4HBqpX6UvKelpTUHrzXWtc1o4rDdMMWHp6Whi5D6wfs/f
ZE56/f8oO7Ot1plsS79KvYCypJAUksaocS7cGxuDAdPdaAAb1IT6Xnr6+uQ/T/5N5smsumFsNo2N
JUesWGvOb+aBS0YKdjCtG4lrIHPyD3fA/W+g5D8SlJ1/MmLzh9pSd3WPK0XQzV9e1VAmsF/pwSAL
tnYD+TN0+13K/cgGxwDX0EjmWG/xRdzUDyfsXTFU9zpJZaSxUIBHRUNRne5CPf1JrfSYJF2/chUq
DlQWa0VIJJ0t/GYCDJHIOQlVqfFC5Bejpi1Z49ZeuOa+k/hSp8AS67wxEfoozmcFIwYwpbN4VxN0
hDxkmH9oe4aktCwLYq6WFhVxgmtroTkez9TiaTedm0DZQLDjYZ9Dw9q8jqWkNAjKXegalywaCdTN
GFC7XryLXSJzPdzw/Ej0Y8QjGOX+Hhi0S8vAVCuoteP0XSblvdKDH6lEvQDT+VggWhc93iX+LHc1
WuotL3MCTb3ug6bJPIhG0v4frtU/Kd24Vo7FdSKMyOYd+pebktT7wkwbtBs4TVymWv5TbKp3QtOY
7g9kaajMR3ndtuRtxzDpS4YGedVDMbF3tebkuL6brcGsOlDo/h3SD3cVFZbfY4oVUQ89I5Nru3Rf
h1omS2FR0OpoUuIwBuEog22FIoo5UxNs3PFsvHR6AmgiiH5s4oKAKhPJUzp4BuKc+77ssCf2vbee
LO8zCck6MKvyNSGx2spzl5Idz6sbtQuIcYdUFM9tn92npNLOXkrCS7ojJ4T32s7u/Xok6RiLUL8f
hVwJIznFvnbXCpL7GG6CajT1GoFCB/qJbxiQU0U/MExsgpi8s24wKfdHuJZhHN953rhyLPQKtfoB
+D83Ix8I9Kp/23n+x8XjX72lXEcSYuKC95diRpb/Ye2oLRNHg9N7u8gs+lU1c5fcwB43hpVzUn9s
LPX672+MK+T8DxD062rluqjbYatDe/irBNLujJrAJR7RHMxDIeVsHEiX1vxmIE3lBT7fyUS2Dwyk
fVUjd3CUc4Xp3804SXdfRcEPjZSgDHCKvP375/av7lmPWpy7BeWgZ7JD/fHFEEadZUycvZ0jjqTM
h1t8SSngcp5EauOfbWEALLMp/Q/X4F88LIJQy7QdF2UqusQ/P6xXCeEmvebuGEL9DLb7pBesBzT4
f2pCbtbBoIgWc5/+/d9q6H+h0c8Xwhb8t8P02/znPSoODOEhknZ3ekP2WRTcBT39/7BPjn6h43Ms
DAh0naK/c/Fr50nFxIyUg+gYZeg/QDsACGPt99iWeNultzLOD2XMIuPraiSAiHkcw0kClMhZiYFI
8USSZZFItHQyvbfAujPuj16ySjtnlrzJOl7qEeUknIB8XfK462RgpJAw446LvuHevKd7gCBR1u1S
JekeOkjNgXNOZCOl7x3JIBqrLEAnFQ7lLDjHaoyEQbrVV6NfVIGN3G/7O88nYYqWKTGwJSQADp8Q
6FmDFSo/VdYxy6ICLe3SamrtA4MRtbpmIBXpsCbuDE8RfXXE6+O88CTDdLQCNgPd6hgFctmKkrBA
yvRokDZnk/HJ7PJLa8zfy9bKAHJ8cIiEWpZap2OBxmYU8MbzPV5cuzRf5Tgx1Z53h9GpF31ZZism
LLoLrwCNIbFnrb4gTyZndJQu/8MdISxqpj9XEq5OOgE3onBcVM/2XwIKfOEnhDRWAyGqYlb2bOKs
u8OHMG01v2Y86Z1dfRgh0hW3polnOmycW1hwIH0Y1I0DNXy3JoLS5DxP9qzv6jvD7Vt6i3EL2YmN
iFpladNX69sUdpXeBsdcGJc25mwKfR1MCHqGGu9WS2JNaHXoB8sWWoj9FTnz4AlB8VinYondnhFu
0qAsckAFGg6dZjKFVB6EmzAdf5pM3jgi0lfkQXzSiqjC/sHLe1oLMxk+r5utQIJzm0/WL6Uxt/f9
8WkofGJ4XXudczvVasXE9ZEUoGNiZw9u6TLIGEicKXJlY7wVr8Tp9BuAMRs7BXWUtB6dx1hb2UBG
aS1QYgVGyuAYwz74ko2WZe0m7LQXKW10q+G4dVPzUk/5m58jBaxq+6WCek0KZ/QYx7RcSk7skoDD
2HeObkIXStbaqZzaPfq1aNU1zpnHZQTjeLugrfZN6qK9C/tHMy52oovWkKIjBKf9bTXG7QpN/NJJ
eKms56bHLjOU3UNW2j9jGeXbtCoIU6ja2WSILsTheRPNfQ4prJeO3VgLCSFdeXGBPQyu+AC1ZfAF
uxNeNl6reb4C70Sj+8Osrl37pocVmOKrUPthIHjb5meBfY4flGbkPqHXjJsxmatTY2MZPvMqupOT
EbqwbsobUhK6OxTL0aabcKyqmEyt2Mz3Aw017gZuCRxAIbe/FW362KQENNNiqVSMfFiJQ5XZ+n6O
jF+ZiINd+Ddr1yrClTLS19GmTwlp+3kKkseYmX3EgCCWoVhiqQ8WMSa/tC13DCxgEMDudmziv7kZ
RtpCupMzh7IHxW23K3V6l2RRtksxemcvkCjKNXzBdektC6O6pLxdF51hnsPe0ejDkfFUi+mDcCap
+DVsJZJJsPVsl/ZJ6iU6V+IgWYbMLeBDJmcD3nAlArHVQ1L/bBxfeXTJ1HCIDcZufa6bC/ASl0GU
kOi9pF57Q25CBgLKm4pqZzEsX4TIfehGwEBD54q2FzdrNrKijGG47CbnLo+KwxSad2SDQUbXPtJ8
OFO0LthtnEVkCqqnIUWO5F+dkg+BzvVPKx1wakVSEXmvoqNCtalWcjjWm6zVHk2flXnKWGItsodr
hmJJHM15a7yf3P6h1jqiTlotJIJKHKdqpoUbvKsbTJ8jQZ7LcjG8mbxtQH6ki8IfAUP0MQrumCU6
3dLkfKtIjF3M9sCFTEdgR36BCjwxPzxA1GH7q2S12Vc972Ogd9uaWMKkLB8z196fN0jObovRFAtX
y24x8WxkTOaAEz6rtPtGERXB3MMdYBSnmgxMWb41Zfvk1eJdWTcKLF85kssdeWgY1ehgO6oymBxO
/5Kgqm4bn6K72dqqPJETMPEioJuIu2z2xtG1DdNLlXRzSon3oVyo+rYaHhNvCqByoIYzU7lwABGg
O/I2meaKu6ZKptWIrGodKJ/0SBIZNWGhsJmjw5Lk2GX+E9OiJfin6dTVAaIakbzFGa9OSAqf3qfH
tKJfzNBWX1LavniC3YSkZHUuNLgP6DzLhWeUJDJLbZNzOqA9utMGEk2AhfucGxexM9LLFKjyE6vh
9+v9BcbJNQvroUSjG1u8mYtceKRlNBfHy84I0+6QthIvgXodSx9jR6QQZU3AZD05F4fzzR7jlrUo
hog1cppTeFNfbWu3he0dJmt8M9nCC+MPP3qqaqRx/ciiGZrnjIEdhy44dOaW5IJwa4Txk1OyksaV
hL3fSBYFH40/Dkua2/q66cp8ZTuWA5qW6U/kojzu+0vhjTZ4SEgYWBtuWmMf9Tnb7YinYOBaEVPz
qUXvvMuhA8R9vIIt99zW3nkw2KsDT13qotpaAxCrRteDxVnHT7GXdbpVc3yNGY45IqqSMJKu3eip
ftQZly6pIxea1dYLezJfC896gzEhirSlwGPfjLr2YEuy08zgy4QYlQRfqUXWR1pqyZJq6tIUTE4b
Jqqrwu7JvK1fdM378tNoJ4ueY4SvPSsJBQUp8IqzPigsxP6Yla3XrhqfUpYX4pLdu9hhwtQ4Capa
b0X6DTdVAtHL+YmZii5st+KJdvlL7zGzdqSx7rPwlJvhqx+81uKQZPD4dAU4Lza9rVEMJAkSFXH9
2R4l+Spie6snbz0Oib0wPUqD3gCYEmJaL9WwdIL+JZQ9MCfNjRcdLgTojBZKrBYPSptsor4Ld0xL
k9XA1zOdNbdBGtxJpj+JIlRuNF5yFP2rUrfXgmH/WrfgzLPG0YtgeBm57mGovJ9hfrDJzXmrofIL
C/r+ZUF4cRlcQsFxzYyJbu3fGi3X2TpfmXvYr1p1jiP9AbJqtSawUlsIbfKWaGOpW6s0fVO5tjXY
c/sxjreyczHaFMSta57xHcb0ddvxI2vkfd/j0HDoIuy1YnjFfH5sSF3rsg6pjBYusUBdxtGw9gO2
fDrYHZ6mWZxp0Y5mG0hWrWPdq+IgAFhYs+INmoYLddvHr769stI5AP5dkmIjrkLLiNirkfaZcnXa
5LOR2AVksmwnjb7OgERCpyENJQpv7dCTk3L91+8fglmXlcZMTpCj4rCas186iARjxrjhGuVszm5P
OWtMmyk/jQP5x+FVjZRGMc5xOqnX3+Y2gKtb5NKlHewsF2+OmzKfTZrTVayjECtWUFg2V3UU5ht2
jl6Ei9BhvKliY9ua4rawsTjg3s56Qae7EbcxWSMs+hducbZdS5nEbWIPayFtSRuNb6nBsNBJeSbg
EBGwgVtdU99MZO77KWVa62bftpHcOuG5iDh7TGNw7/vDLWUSckUnvO/z+pLVzPVIL6IJ/V31w4EA
3JXhig+3le/WjTsfPzvi39s0/xZJcC8afWkIUGeQzsCbkuxElUEssWRfby/Y7L6poUA0zWWKFa5i
fWLroxnm6giWR8wBiEBYTBseZUKLvS689J1z33hz1ef0ZputO6fmt0pcXwvb5u0qMmvfEX54UxTb
35EWkhicNeGbz1fQxBU5objQqrYPQcpbVIvQZtaj699cP2Q9uk1kJifqbn/zG34FSp+VgF+7ipAr
nRnokkBKJqhV/hSr5quegySvV/f6r+u9Ek22sYpGnzobqCrTqNkdeEWqXP/lzpEjRok0LQzJdKw8
hBIVOYfp9Iku0UDuHe6jSn8LYro/fZc9+66/zeaGhh6rHyi3TxyYyDvBv0OK9FE0wQXFWLQdpUdW
iW7vooHdjdRK8rPagIx5+jtB03Nw7RoYSZ7axylFXJSHDbMsDuuW2eDIyuy1LaZf1gi6dO5hNjH6
dOTXXlCTZ54bHNiAhk1V+8qpjfJIB5gkJ2QRcEH4gsm6ue4lxxPSMRZVE/90Fg0529a+hy72FlXF
H9AIbWEXoMpwVFDcUGLeOBwvK+CDi2FkhlTKH1hJ4m5u/V0PiX4BhlYWMAvSZufmiJeuR+6p43cb
GAgQsjf7QqTuapgfLvLNC9nIaw8WCKcX8rTnNpeWek+lnrxjLKSuVYy7yT7+qn31Yw3TGpEJVAb+
vrg6hboGyjdIIJuhCAXZoT/EwqXH1vNNznindYxhvZzdlYkZs17WQyJEF1oBEK4YCFRqM7B4jYFe
X3qEUYOVaKAnkuNNBy0qmNr6j3Y1R4JZDjgKtXOS9iOV2MCiTuwTWuRHER3BBbmr1MfegxloGaL4
2Tn0U5uPOp9hsdwxwxTKVTn3MeUk1mm46Qy6B1WTFmsbdIdVjdEyACFKG4FL6SJJwbajJ/vB5j3e
zm1FpJbejAQ8N071y5d0BLJ+PBRGQL3e0aiQcf3iu8XWGelwgDd/NqD4Lq2SuHvohofKEv4KTgwH
1Mpa5yZFEz33bJUSX7RUGk9Kag2Wq31eH1qDN/f18oSsNFEYgf7343eiDAqwutmz0NnKIEG993Z+
F+PnWSjg2SvN7x8ma+gXqN14eyjzpJnuWbdpnACq4/E890FDe7EYcIosG14VUDTJAnjKW9RGZ82n
13u969QQrlND7wi0pjrpB33JZz/TRP0AIvLaCAFVQHCSiWvPp+PI/EHH/OE+QdXE/Dd/jVNbyQ21
JwXxegGgS3GknjsxTgomr7K+oNjR4wEWRSPpO9L0U2Y9hh3a0zH0NteXNEKIvSbxd25U4v+jzoEj
eP1tufqgts0pfLrw6JAFiwIMCp6s0Rhzg6/7Rj2mw3CKc7rzXc5ZLo1gYrY6NN9kmsgXSpE/FWqX
0WwgRw+T38QNvxgaruu1uZ3RjKOz3e8bZBnoK3h5JTnIuWoFg18cC2Ufr8VAYzgvrGjHMLyh6aRo
G6X2vm36OZ0nfg8sujCGduwMmhJVDOAotR6gi6oNqmW249A5lL0RrjMtRxzWuRvMGpjFrKzZef5j
WGMJCn2YNGlEs6ZCo4uh1EYqvEl6TgqTN+yNaNxXmo3wLP3hVIAYKPNvEAN89oHq9qoFJp+400+q
X5r5BrZDGmuap5C7oXSrfI7Hs+9I0TczKv3cF842NenOkdhMvrYdQSNqaVlw49G/QKWmDteZDBK6
H9orXObefcJTfEom+wyHHquesa6TlEjvoqXcQcJ2vccmK+tXQ2yiBi7RSHSVWOttea5ri5NArn70
iZW2rYCeAqPVoxTm8mjTDTPEQQgLPfbW0AEmChF5ywF7WKrX9NU0RHgKbpgecuk8JCS+79/OXVxf
HZtyfMBi/aKnvKkHibgl8Yol2tK5j0YVHHTuXvqA7Efez/yF9XdZqGo5RuHBNnDrFsz4drFFg9SL
+53GmrIMQxLPNVqZDP2RwGLq8td99KDk8FEhR2eLJR1z3HPgP3p9ngGbDfBROFSJA8ec2sIiJxrt
LvB2KanaebmDb1gSzLRRFqjxosj3TApeIqs563W/y2eLu4jBYbtRw9StzFG4hFyPZ4l1igw2cgJ7
OD0G7gJ8ghc5OTsjdT46V/uqGrRQlaFZS0EFV5JhbVAWRnFEKwqiWMX5phDxC4QJtYzG4d2xew1J
kNp3ZnJUqcG5JgNB6iVduOhkffI9sbMb8VTOds0pOullcgKUe25zRFNJGh0nLyaSLalIY9aDQ5nL
T6NNXpuAwyJojTU598g28RMoR88wnU4de5H9SlpEsOnr8qR5VrmlZRsf0ilmWo/d1mpacic9lR8G
ONA3sjlHFv3MRdTuxgn5vLDNb38SpbvUfSx09JkBJpn5dHP9EOglbqHfP6882polw3mtzt1DVc5M
cy14mPMqbowUb5hjsYZ0g0b88GQvWEtKgJH0XIdp1uFjP4XiKCv95vq5F/p3BrGBC3DGKd1FMzv6
DGSn3s2Y1TlrnWbBIowEzpwe4hHwTqz/pnHTKDU7a+Z/FjN25/qv6welNCam7N3r3/OC/Zbsn7JG
1tPMgcG/f2EKoyM9/2EdxPQJq9zdxIH5GLRmdCxWpCGgWoaClQtc/V2L0JP5JC1Tjsb1vmU7sg+6
xwPl7Nrk9MRYT/7xwfYKtJEIfgkZL7ODhnj72gj+338aCtXXKNuvvBh5r4XNXz79r936Yf1/5p/4
x3f8+fv/a/udnz7S7/rfftPt4+bpr9/wp1/Kw/79aa0+mo8/fbLOmqgZz+13NT58123S/Hf27vyd
/69f/F/f19/y9J/UCOY8S/6fSebPUQVv+s8Uc9O+/tB/yxHsvxmOLUzPloKZFtLaf8gRXPNvEmuV
Y3kO0gLbM5n//J1iDqocuQHQEV1HGsZS/AeKufwbD0CyIeMZVwgh5f+PHkFY8p/GPTy+iSJBmjwN
1NV/GZ67ncwhlgbGrpnKMwPBEoxkFq+dI9pDatggpivSkodR8iafnEPTL5XVGVuZ2owmrvHyv3Ga
kMTiSjjlhHQaYuBsPkNMcvBAu06JNeO17iYttEtdReux0y6TAUvDblvI0nRtzWRAxgxCTeImN4YH
hyZV0Lo3pV4/SnGZ3BqhKqEj9MNuE0O2ayc8KYqa6qXwh1ffKfQNWc0MX4Lhva/vo2fqbwPhwmGK
cCU4oniP6+BzmC2MKceQoJAPkZBHklSNlStNRAn78SeqqxWzUH8T1HingaN0485xvWWkBE47PciX
pNFTMGbyjspU3NS5Ze5cuEjK9skftWCJwAxGUGqxMUqA2vjAwXJ5YJ7p8/84qW6D75B3ZeXRssKF
shrb8iMeALF0Kn6o9OfE+2Xa3pMZdbdx5F0GOPaLK3UomWmXXL6HyCfp8wrcohfLH2MvUi1GZ2AP
6bpKZ6xnSz/MajTwySEDGKFno85GAk1RmyP5Bg/PnBOuqiqzXmOtDzZTHG2bicQNFfH8hWnKNYKG
tz+QqLTMvjVnl4zy7se5ZdBq1GSTSYuiyC74EJsbLxjqJYcEhgVWcOiiQRjL0kMqMWASrAaNn+vw
DnoIo8eOq2S8tz4d0Gu+S1qLZ4x+4YaeVE14ekWipdxFcCKXbqIzz5m7D3HybffeEw72bR/kvyZX
+4RknW96ofq17o8UvxabFG4N7AUj5M1t5mbHarbrCCPLN3P0lEtHK5pqEmdHcG1dRu40Qy9ieTq5
0FIcDEhoQCxbDBXG8KAqquGuSoxlLtPHYorrTW6Mn8NA2MdVXem13XEmn25RHHU39mD1q0zExF7M
8sbrhyodWvKYOD9egWlyrAUNUCbo10isKzvKYoyF0BXT+HxsHpI3bFBvlp4e/YrBSePNJ8Ev5brb
oFGAbaqsocAkaDatBk69zOXZS5MfOi+Y6eZ7JKoZneUc9K0w/5U46UuV6pzuQTG0Zb0eUHWgbaBL
3/v24sq+un7wsVNHI7De3+V7jOEmM1wyVspXjsbMMg41ZhH0uaCHOytzfmFgK9zGaYW/BV9vNSSU
2jbExNlV9du2lAY5HUOarGAX6kOu1+eqlWoLD/XkypgGkrJPJSbkrQRIpxXxvVPCKa/tkGkGymcS
jPubqwJPWJQqDRi6Jvcw6OrNHhrBXRh75bJA5IG8faDn2af6OkEqW9VavnNa7J+yhv3ezb516nNz
U3X6XUntv4hkYCydNtz99jwj+5HNsN90eUsym84VMvMOXS05pGEffrhhTRuTbzLm3LIqVcR4Io2d
ftEhGW7E/AEixMLtHxR0M4aYDGLwP2TlVN+YyHaLwOGlxWGt8jjdM5hY1gNRoFcxaqkZVMQoRMBr
F6hOq2DraAi1tOyjT810g4XmPugRVrcF+tkqqz9HJpibAp3iqm6Fzb1UnvHZWysygFHgj6Q3U/Ww
R2GZCKz2c5rXN1cLjZsptXXmaOXP4DY5p0L53WvmMacJvfTc/ialf3oaqW0eHVhIO2BQvKXHMcwZ
60W3Xu0mJ+WlFREGBI7HkzMxzI9AHxAn9sisTJWhcac8prTjMBkc1T3t7vohWzEwdw5ZVH7xXPFU
yanCjW+m+ErEBEqzdXFOBPQXzMw/O7Xwl3A0mDHX0/xpVAL0tx7qyj82TMovtkYOAzhBEsk5j7Z9
Ky+yDekVo46eQqIqRXfCgxqtZVY0+8GbGEs2ARbr0QrOHMWCRSDMFPGbXR3ykbaSK20fcmESbR2L
sj00g+ncajaUmLL+ZaQlUYy2n6wsA5OPyHVMSVXhXGLtFkomp0xWvX3KhH9NmV5uMY1/yXnoiDyJ
KIG4Sx4RFJ3e6ymwPyMfJ6bcZFOpnUvCIg9VmD4HfoATZ7LQvbjh3vUlKoZYjUcryo3TkJKNJptH
042DX1MaPVu6L86NIjPKssmDH8OLm0TJXiyLMa3V0okbb9PGbHG+UdtHLXc+U7QVu6Zu812TpS7+
tXMZduCsGCm+mkZIny3VTkCHmrteb5ItDX7nwNbCVqXn1W1n0r8wa1tfd4kwoOQTR+TK0b3zbFaB
vNLNjeX12ZIceOuoj7G6RGbMuDLK3sDKDluEPI/CQCuRp2n55E8Q59XQSZYmDQ17OX5MqCEZIEYQ
Qcbga5S9v5siXNIFOgp85kxW/umffR7Lw/WDUY5PU0LayO//df05Jpp//47Qm3/D9fPrV6zI+RUZ
4qM1p+lo+Km9taYTuZ7xc8iE1XK+FAa/lZ/N4w477DhGodDKU828lVa6KrVcPU6QvIymBlJOwLNR
NPFLwGCChmbSYYntxw1FfLMPnBiWriTyCGjRluVEHOx/fBBBKg7dDAN3jOwubxlMTBJf14CvZyMD
DXgO0PcHIEKj7IoHCdXoITJDfwu7lnbS/KnTAtHFDHZTDtXSZOK08WxFLMxU4X3xwVOQADzsGsKA
l/i0z4NTT0BGY30XuBjcLZyQISbuJb1pAiosnk3uNoc4MldGbrAouPXTSNLaOmigpMgEYBH5diT0
6Xa0zugobBoz2dWOx8zejt9bi6+lRFnfSNBgehi0+7C2AFOB87Bj4jx0cEEJ7uW1vCQaytB8PGZl
kmwGz+QgBsVs6anwWVZJeSS2K1yJEAUFWIdF8dmrYDgPk50up677BWkdx29rbWNl78y+tAlxtr4Z
vH/bySC28HS+2owDLE6vXWPnNF4mP1v6BZHE8HeIgqAiwAopHHIr70KjfuSverVqEqxwv5PsFZ6z
aQdRqrthU4OUgZXlqLpxHTYn8APjix9M9p7oZIhqpZU+0Lzae3kw7jUnPnZd+4w3lYGl5Zl7O8zv
7FprDpo2D7gqDGETg89zzqC79qDH23XzxYfVVCgWz8J5DOG0gYLZaH2YYfeo8oPd9UzERLgaChXc
RRH1g9WN0SagppNYo5TFCzayKqJtrN6kw4AgJMRmHZoM7J14esi06JGGNBwlEETb9nWsSeSJq3bT
V0ax4v8ILM9RrmoZYSnahm5ivwmUTfHdFM2iaUje4zC6C0VHGAGFFOQV1tOMw/KKq0C6jWSp6YyP
coIefy+c4aXrc9pGhMjsIJGRajHpNDj68aRCVzHXTCXdA07DK9kWZ7RD7kHqDnoJzT2QHzGsWFuj
NxF2e4bfyTud+7XlzHy5qAxvsRJGED9Z5mp80kwQQ+gtFRVXPbT1naFTZ7n8SSsZ+r8wldACqyQK
wmrEb6+l8b6Lm3PmTuZ9rZnmsnSxVQ4m5Y3uEYgJVbRZSDqZK7rGhNLAAdtV3E1lztbhEORiFt9p
wO5uBOXKsGpcUZxc7kld7bGJVc1Ow0e30L3IvvXYCdbOSC+hYWyUAECoyuA2yZiFjV29NiWUxRAs
2Z1Q/jGCmn5gLkUkUps+0RLlzQxupG2tx6inF182iFeidt159lNeTv6KFF3ulzEnDDSUsFCcJkXz
w03pc+gICpqLhM26nUfnuzbuPG3ltDd1jCUT+hx8bJpG3RjcillUNIJibiSNwDo3syXiynnXZmtk
f1vmGndVXkSfWteTbVK+GK11KhlqDkApqqDdVj4jjqHK7ipmVCCfWHo8mNlJZ154dbuKMujOFsXb
4Fs7NXB4TJG6M8NeOg4z9cw1b216o46pPnF6Dql7qWzvvnBD5kO9uUBtx3EukPWPFTHtzfOQgRkd
pMSnr5ON4o6u4FIJe0sBcOAcSOnD3cccqFnxJr4E4IrJq76EiRWs8ki7ZEmHP6xscURiYlxMIXb8
vn0zCQJcdfatgxmYIhVzaWJKe9N5uDCHOH1h7uhyistfbGsrtQItXo/iBGlvm4Wolwd+qsinNxHd
h+FA/Efyyr34bmHE53xhBptC1m9NaEVbYfjPnh9/qUFZW6XphAdgx/VDZ9nj0kaRtyBzQ61I0UMF
EBsP2NSpjhS3JPz8lcJH58w3LUjKs9IeHIN0C7s3qaqq5DkYJQ2yMCsgyFjtqkrF1iJWaxG48cWi
iy8S8I2cEGcEjTatiLXliK4N65ao6mU+CrZxLp+exW8t9T8pWBIwVmcum54/tkmnn0TDHh5MK0gs
i8xA7lgcpbs2FAFTWGJAwNRJBUul/Gzd4dPRCo6FDaq7IoMaNCLQTjUEk7SWjQD4RlN7y5LTYjWU
3zLy3ydZT6tqwE2fJ6c2dh2ErdYBG7LAhYWvf2dY9gHoRry0JnVsA0FeDsUL9atzn6uY8r6yOMA3
/c7t6QhPef3uK/fsGGrGjZT+xvDqw0h/wXDUzvJuSlAj69xw93lgwaSLabXV0aEqiq/A8VZyiqIN
DeHs1nAOXj996kmqreqAskqPkWT00Wdg9fVeAWGlPr+P9dHY94SyLjo/Xlkta5PrmEfJl9j8A9B4
OXGXRf3tl5CkpioG+RZ89cLqXlGDMox3sls7cra93z87VOC0/QgE1f2JXrHJS1sVg73oi7Z8V3Re
MfY76q4ZZ1u7Nrkbl7+NdBZiR2HxL9DUcmd3ZrcSRbUfplwQhINvtA9cc6lb4hSgZT1mNBCwpz27
sFVkt3fotb7rBDGuUu1HiwX6l4k7DkNFsLfRyCBfgEyFE55FaiAzlWxMPJj0l+2uvYTewHy/qO+x
vKDMFsmxMTX3RiQUTnkXt7dJw41QWmb5ZOfhfjA0douMdmzOz1hdzvi3RvwVocjYAkh40eupeotl
0SIY6bSdjzRmZWs14kKfUUiqSVr73UAcj4K9TNrUrWvaRy8r0Noxim3vtcnHbK71JXlhSFkYKOGZ
9pBAkoWFcz7gYNFlp6wYH+TQmJuppXSqArHigHGWfcAykz7pE2wM/NOMFBML1QF807XQOEGXuXZv
5oAFwodQMKNt2/xu6pOHSW8KHJpKLeNTWqGNox0In0C64aGOwzsU6VT93fSOxOGzFUXPnd90y5B7
i+XGwJu7RZnRL8z6M+iNZNOFt4h/5o28GzdOYJPGUPfFOqnhRxAeWm08GTqIozDIJUFyZM6ZwRKM
Ni6KpA0ZOuTScfnqAInTFO9NZDjLJqu43bNuISr/hzjAn1FZ1tnWadd48XDGy4KaXrEpOGa9s+SI
0y9iDdAnBI52pSGpeicILl3aU/Aa2gGnany+5XA2Rpf0LiE+ZBXYhzTS7jNV75shj8kCMZqVBWKJ
mZFJrlzxyR2RMsfsqMVuLY1i29UNdZt5VBEcoRDVTM2l72YBdTs1RzMp9j1s1L5xNXwZ5bRK8+o5
9poHyYBiiVgO92YDW8c2ma/I5CMj2xBIiP485pJp+lQSLhSNYoPaSR6dAvBn41zqUjcIEMibtdTz
eldF4mDq8Za9LmOk4H16edq/Jvp7TuW/ITe13pG/1W7KUTN2E9NKlqba/7/sndeS48YWZb8IN5AA
EuaVJGiKrlimu9QviGojeA8kzNfPAlt3SmrdkX5gQhFUkV2GhElzzt5r7+tDDzczq6jfp85ndyhf
YIqUfuC14+dhgPeATigO4t2cG1+GMqAtPUevQhEABacMvbbjtNuYBsMX0bg+2c351cnDPXW+FScC
H06D5il+Uywlz/SH15OG0nO2s2ObseEN3OY0kx1SCVZ1QElWOVAbH8hPvxqARSTCeNIYI7d5LV6S
IGA+qgrykm0y02tBkRSFY4UIobb4S/h/bBr55Y8CEtm2tL8PFWqBvEKmUqZk0onRAjeYX/uaI4b3
2qTtES9ZhDm1on1fGgR6jP1aV3Bn86DSqM70T52hf5l4c3SBQVlYzvAdvhwgnlyfbjb6ZNUybiFl
3VoNTUJp90uxY2guGVpkdzrqkdHfJqO8Tj2mZjQT2yY92NQy9xYuj2CW8wbB2C6ktoZ0IZ8Osq22
VaLyBzH0n70mcVeW8alt6e12o/NCkO2r0fXPNlnLcdViG7IBGA35IVR6+liRRvGYsBxEbOM9h5XS
j67Vn9PIVhfJsFqatnaltmVX55y23El1TLK6Ex+cCC32xM7uSIG/eCuwaFWCwRs/xiPy2EeW1/UG
0NrB1UJx0VKdrJOKuYodPHJe45T3nt/IQH/kHmbhWzNvMdGsW6tidYHPzLRHsm8lEZOyAdiBLHAz
wMXbyOriIqQd2NSsmFinajzYWX1TJukpo1W/9d/iXFf7Yra/SE/GbMRzwKF99jwZkuMW6xT3wVsh
7HA3vcFMXtp4w2zqwrMPWWux+nvqwZ1zaK8JWjg5GbdGxOj9EfN5Cleflaudq3F62j1MargTY08h
BMVqA4ZkgBrikGT4wFpf+D1GqjjxoocmOZC3vWRmw6apI+s1BJ/PpMaYkZrHxGHppU8kBVPxrBOU
Aqzk4O04GdUUhrpILhsNQgXP0zZnWL913TK2x9G808cayKHRbMSE+H+Ot5Th0HRDL1hH3dekEmLj
RAWBJygcZsEIXQIRuQzeV1URIEKywYtdcqGE5jCsVF9wcIwf2cQyNp0pP0aa/Ukmv/eJ+QMR4KnC
eOiPGV16F+M8H0ZhvouxW8wJaM5BODcndECZ0BWZQ2S09aei4bLszO6TUwn1MEp5jQUNZdhJ5tXL
QYcOwffUMRDtEfd5qDX4lOOQvuOBwOkin0i9oag7BK/u7D6NAWTjKdSNU+WOB8MeLDa7NNNFU36b
+4RtwwzMTjkuWE+j21WYNAYSOtettyh7+vFdCXsjVIUy0nkfHcwFbfbuiWnvShS5mcMxdihubRDG
1us+nsnN6ImENM1YbqBjXVQerUmgnf1GXV09uHEEt0BiYOQa9Q5Xzl6BPSeLlMpeiFaI6zeFIqge
wfSUm0K6E4vqao0dwthO0K3FbF4IynV2jtv/0NLPyDHJE3erbWOblzkdiZKY4Zg4CJuUeatE9CaQ
CwcOG8qWcuYYaxsgOvxV+VggEn4b52bwqZX0qy5rKESzpd81BQET8zxsu7i6JOP8XStR2+jT8J0P
JPFm9oCUm6dSL5682zyHwyu6vq203epsd/IiTR0gGeBg12ITC4XkKc0d1y/Y6VqMQ7jxcLsaab3j
8jnbdYOfTwLV6KInEYdnt9balTABcmGreegiWkt5gugk9rJDHy9qI3BwCu1A3HOCZtYkGxocAB2q
GVRE/QCGFnZPMO9yG0iKC/Ee4HDIZn+0V0nO6Fqi7xd27ZKuyisO0ouubhA7gIlGW1ZfVRm9DTSm
/BiATepp9K2caxbIWy2ME0muT31NuElpZWcZ0qYQBkWdPg9fvPEbtIeYgqJB3wVHksAPu7Z1RZyi
Z4OQEtxvBdORBpS1M6u3NJrkcWkWsnaFItO3g/JLVsMrbWq2PVfErtF1AMV1X20iYNe70c3Y10TQ
gx1nAPyDmytAO7SlUOKSzhunpyCa3lq3O5eIFI91jlI1hFeRdfZDGCPsEGy7LJhka6rJR2F3LcTr
ZlgJYV363FP4BUMI1Ym3BIi2X/qIzVPkgazKnNeGEuwY0OhLJ2YWt2fWHEmVr4r35V/jYTxbjXOt
Ne/IxsvXgE+Dikl45zayk8qmEjHYW8tq1kCKbmPXftIN4c+R9lJ2ajhllfGi71HcMJM3Z2Ei+AGz
VRwwMq2T1n7y4nx8CTLNF1GabOgmJtua4FKUsWoVhmW9qUKFh0GFYFA6oW2AnBEDPVXnGYwXGfE0
A50QIJqKN2zNp6uyIws9y3vN5nptTj3OCepsvXQhBymgWyySQs/SfYzPWDYIE9hlrQRKmyaeX1n0
CGH8NSsqx8tp0y1fUND3KabMj5DIzw4ktG2Agm1jGM+Sto4fVkxrZVCcg6iN4G4aSOVZduXCXSEq
XheKjuOQlgCo4YYvcVzIFOaTEYzHlHOy2LO2bhjlJxP01jBphE9YFGFadywPyoUqCMWQurmPvb/a
WlptrE24cy1K70U/pbkpzHhvrvzwtyCFdxVkqW8mFrBBt/Mwaz9kUW8zyx3Dwj1Hkzeyu6Jmuty1
awtzHSQ6vfCTJLh2hXzXW06DjDVCZ9k0TDVZqg0hRNDBVogA7UNDGmLTX2xxiho9P+AVeAdVh6IO
i6CfErV4NPTw2icwaN0g+2FNM0kP+vg9Qm2l2KqZifJ2cDrRZKD7v9navqIJui+NKfATke2TkWDD
sunXXVmssbEFCAlNCFe2TlcRs0WhnCfA1ruYFdcm6tFWq7JSIJ6hKSP0vqIOiA/wl1h8u9Omo35u
Ug/jzn82zKV0ExV7s+uOvenu2oxQADVG3CdGZYEqzxD0lLwzB6nJAyW95yRo651dv/ZzMW30idhe
rBQkvrVnvZ1evVy+JgYlwinpdgDXN8qhaJQpMjda590rjWivvnaT/TYNhHbEFu25IRZP2PvwYhO/
sfJi+yuaOXTCcV36fUkLCva7Zo2brBjNDQiyeVWzG3HK/LUdmWSTM8il2hXaugtbfd97wB5j2y/o
zLHSKmb5ToDD5GtMEg9JVhTUZ0ck4MC/cjzx7DSQP4IHfUtxyFVF8r0gUK0ZQjob9rQpPBaBI9NV
S+3TZ0+MbFNNn6b63DaT+iIjCScx1dEtHFiLeXwNUHGU5Zky9smiuL6fvWcYvjezN1oUyeUDImBw
cSF+Ny8k61dgM2KT7Lj7sudyYtlFzXmqyOTWYnSV6Ocko9dBiz1U7r+TQm4d9W8F+9ONTuPpICuU
EHZOpnCcZz2DAL3alCDYMJLNKYItPgvxe0xTbiPi/kXoAeUD23nrrX4X5zbxRFovHqnOgT4MKQab
vXzLQzgIRHdaO0rmhM8OCB5HJd/0GJl8ucK1wpY7KpikBvkbGUgD1KXb6F3irjA+M0/wuRN86bGJ
aYIkBmoqLh4kyH6oBsrBt8iwy/Rpl0IsWlfQ8jei7dkteQxk9JXnVZaYnzr1BY40zEW9yXbT2GMr
6/MduOyN0wYEpDUsThH+Jl3NC9VjrGbISU2ncOSjrkib+DNptwII9CsOtGtHfXhboFwvmGb8qAlR
ddgdNMXkzCmonzPXfZyCieTvDMtAnj2ROX1WdfFb50BWsL2GzgSuxS4l48SuWRIb9riXxGqvumrh
gEOSCira3jmg3o3TfGuTbBOoac0yHCKOxKAHQE9Ns3ZTY8oSsvJeG4wnKAJNEntRClt2RkZUuewM
rDYjVcBjgYVXuA1qAlwy2JG0a1gKYQ0M5vOc52KvA4Lgzqu5sHXGvUnuJyefwU4GLFYNAF0ccHJH
6IoB+Sq/KiZ8MvwwVWhevOoTyruWUXyGXIEHwguuZpjAkNSjaU/VoG3gV0V1sb+TQVNyVmsbSFxS
EJxYag+R1111oks25lzQHKwl/sUg36aB/TWPVL1LDdMBfKEYlzncZkO5yWCjjtVNI4A5siMUOYlz
8VhAuTMmsrSqqs3kVphzI27BybPOBa7K0vHkBr0FI4HUzm2d/wgA4m3ZSY/6b000n8cc92jTPEnC
HI6N03QHDU5dQ+dsTYfNXjO2+bGZzesQYss+U3SbKeAmMO9KCAIbWWB1gu1+iTqFSIE6GlMqG7iC
tjuXHQR6LsucZApF3us671i5zDTASDB4gl3HvguuudG+i8VpcxfYZEswxrxA0NsFhx5ZLFbokZOh
scDSq6WnXxCTF1tZ7+uJ+DEvaPXQXLQ/99xZ6lQ1Tc2DVnWg2JvoUmeavUURBZW+0ZuXbEG3Ew5o
0JDmeml0Mv8AMa7DBfWu1+MmXeDvZtWBgc/q6CCxv92pR/MCiyezJ4Zn9smKnx1B6nNfBU/mgpe/
U5QKiPNZ0KL+dDG+jxY4+ruYgpngas2l3HouqZYLvJ5690hgY3ym9Exxpate7oFQauoEWJR2I6ld
4v4iPjegAL5qu0F/aOClzQs2//52IEJTk+TpJk2ehwaHEL0ba5M7E3Ltu5zqHmqFKeOJYjde+CWc
UDMazAkq0DdKYRdfm9T0UKLM0C812d/6oJp2kkXAEgFQL2EA+hIL0OacVXuB39vCoyS+pMuFhUEE
EokCENXR6ejxt8oFKr2EDthgzNZZhAzXWyIJPI+cVxIC8LdiM7VBIILZB96/npc4g5Zcg555mISD
RTRSLroazSneoQYafnDPRFC42XEXJX5IXsK8BCfUnfMCTczFtohaYy2aEJanLPd9RORCO2tfBBUI
2ivFzU5xhXqCgAZu27OBsphOp/GlgPcHC3t5WIIdYhIeKqB6GytkDeMZMzYQC01rSSKEbTyleuX6
CerOe/jd/aEmRYIbbtzNi3FoIGHCJmkiInFCs+PjAArU7sPxIVmSkCRkPMcMjiEvoc8fr40bvc7O
u+mG6nBXA2WetTMlmuDKkodUGL+HmvKYZhd8vRcIcDUJpxk2LzUwKNt1Zi3J4VDspwA6w+SirbUk
siy0EJ9MQ5i7mkHOc1QB01C4D0EauAjXXNL6UBS5xIyvqUktWhkiRr5mSMb9gPCvdTRxSWDvGtdG
V72zxf3sjgLufA5bQGCzsnT4xeUSGQASw9rWXf2ENGrw49x58tgOSHYk+dDtKM4HoAWpak5TdqTy
XG8lZcYGI6V4bsfy04ybG/e09ma3o8Hed7GiZO93ZZDD6uOnlokEacxRiXdj48DiCdd6uqjtujnd
lVZ/1TwvfJh1/M7hBTUWsdszwQ8Ja+EwnMkCCopxTZcZ8D3daKTZD8RzbXXJndAzRdPeEhvNo5RZ
SdlsGxPViEUOhAiohuCKa/1Kj1D0Bo8mv9u/X5Z3VdP9YW5KWvTBNRzRFXbaDdMyXYHlnZdVTSyA
O30CuaG2LDo+Dw6IG6YeMrmXHASNgAbCzfTd0ObioQ+spWFzYthGeLS826bEJ1ovV4oe6MnRmsJo
oyfUxkd7WGaH6bdImO2DVof8ComGtHI5tPdQxyGor3Jmu1KXwRt6ijOQ/HhvMibZKn/KcMxtRTiD
bswijc+nwh9eMTDPNajmJ5Om82DnW7BKaysxtH1XL1d3gud6SZomg6NiTw3tyYAYoNs0fwYro2AW
BrsaKU05mXBAWE9RmBvRmPcsLyOUcz85g00/fqdAzryPmS5cWO33GzA0GRI0Y6CTqVGsjpcYCLUM
ckb63JNagSQka9NLL2S/bqcRS3YcPqmUhqqHPXdj1Fs4zPCaqpbbzSojGMsYtH/COP6/Bvv74oKJ
IW7G37q/0t3cBUfy/9Zgf35vI1Rb7JL+x4/9ocIWwv6PJ2CEYVD1TJTVAEz+gMIJw/rPIn5GmW1A
fftDgG15/9ER5riOcA0bUchCI/ovEE7+R1oS5S2YOMeyBO/uvwr0P1hlPzXz/xvSJv5KhMN3A45G
eMLS6bOj9LYWCNCfQEuIiSCZtL19S5HWkFSUToe2Cw9oHAfCKzAt5VC9LNdgXeoB07aHErANMLF7
mktbufXWa7x9kvX6WcvS3/90JP8HWc2AiPcn8Mv93XnA7xxdJ5yLA/QL+ShE1Zo5UUd3jESpei6t
c0ZuDwZ+tilxJm6ECD9JUdrEHYETmUrGVNYJYs8sbOEVc2M/DWn6BDMAIVcmp2Cm2Mj+MlqZpKtc
+yCGHUpywgxAySyDr//y9v9KUPrj7Zuo6F3XdmzO/18PboNodmhKYd0wW1W/NXOZwEqhDJ86FYvS
2SJ7DJrxYwRxxxx+o7raPXa4lii5RTDIrZhMw+yh7tzi4iAncTVYLm4nXj3aq3GpESyVs0aOjbo5
KNU+GY7RHql+UrYD9mxWunNiOXP7l8+0HPIPTtbymRwUrULH8OdxDf76mQwzDgsvycwbF3qxa2CK
0gGnRKgP4aE3WLw7EFpOKdfHtmKS3gdlrT1IEU2n0QooN7r1qztO9dHJza2X1OJiuS9GHKPBSVLr
yc6YTMJCYDMMO/+f3/od4fW3t869Y3FHcVf9ytEiRzHo2SgZN1EhtLa15GlCzp3XC2Uc9IMTquiI
OJKuwbQ4qLPxS8VOh6KRlBqypVh4PsG88Q7r6bg1sdNRbCJDHEn6uuYjHGlfnzVF7XJyWnIGmwKg
v2b6XTnox8hCw0bnbVonceotnM8MERT+ONuKKNbA3+KSpPbQ5Ybn1/GcrNMBkUhtl/FOGyr0xOZV
hvABMqsM9+TtYCEHTF0HHdJcTP+HegovoEY9LJ88UN5zlJ2j+o36dZPq5wlS/4FyU7cVOVTCQEdS
FJbTF+y1Hcrh+LPSyv6caFbmM1SMu1YPUBQnYikqdZTcl6+GVD0iS0t9+vXtk0mmPWau4FDC03Jr
Y+MNg70a7JRMBAqUSCqIYBFWt5qSpmaJqzcbTHffJ3v0DhgV3/AykMQ+uhZIn2ov87bZ//P5Xsid
f7tU77YS25BC/xvAzB2A/I5OZNw0oz8phxVy5hKwFzDp38GJrmNcBhPHRDm1r1EsTT/NXareYUnd
3oBxH5GW2HsaBctmxicsboO2CVMc3uZiqpgb70yoovf5X972Xx0xP+8wyKEeBhuGZP7/11HD1sD0
jrIRt1nC+Nft6Imu4ZW0z0XtS+m9RubPiV8wmI5bnK2IdYWWPrfeu+7pBoK2+Hc3LJv9QBTxoc09
MB9R7pt1AbuFQt7un9+u+B9H2RQQ4qgMegwLv47RyvOKFL6FuOV4Ux/1iXrktFhEs1PUgyJy3aLe
JAX2h8I6iblITyJMXuPU7Q7//EZ+4Y3ej5uJHtJBQMS7kb8S/ILJ6ZiaOEt9oSAoCOvUfM6ixD6V
8UL+0vpPuQKbgVM4ntNzaIweEiPDuN4P5UQsXzwN2QWLAySECV8kNv3EOFQ1MqKmJW0iTrQTJwd3
XlEQM587ByNWrMAsEsBqtj2B8AB5ErLYOLV+0jTkqFqSvSXkJv4LEu2OP/xlJDNN3WJJgbvL/NtI
hqu1hOoc6Ld2jMkBGpLjANOBzEzEw1kinyZMz3bp3rQlVReLUvYlsc2zmKihG7E507Du+t2EWPcQ
ObhkO5q2q1ljhQsUBJUxIvV/Pjf23yfye/Y1cwb/YUj7xeUlqkQnC0zRzW07d2PksdoxSO9mp/9W
YaK9utJi/55Rt+idVPq9gyoRYrp1aKHP9Kl8FPhnfascv5FB657oX6QwzcovAAwJe9A5KWRtpIfI
SGhOs1I2bEXz2/psdyEgwcgk17CMyL3lL+z71qTeRNM5Jz9ki4Sc7Anh5Kc+n/ITVAzTC8ujY4zs
dA331EHb8N2kEXCIHELkFPp5V11qVx2YFSDYjHOHeM14LNpQomAiJjauxE3rnQczgQhRJuKZTAHz
NR+1ZiWM0qJ+h8GjyEe2JCaJWFGDP5oPZTSm2v7zcbeWseKXC8UxuCV0VGqmx4Dy17GE9n7Qu5Mn
bp5XUbVyZvU0EfZA8EzTED5vj0+aR3stZn1xmqYZmOgwIXeYPF9pebPPdSvY9q1FmU/skNNc+h58
hbSo5yQ6+/UE5UDolqAMwtceBlhguh576Xu/qo9XAZyAfTFZz2Fhe1sFPhTYkv3ioqnJCuM4U8A+
u2WlU6MKhjPsu+08pHtKJ9kz0Zbm2usIcIv6gpgZJIZD4lR+DrbtYNC3+JcrVLDY/tuRAjfpAkXm
eOFR+euR0kajV3ZgiRuClc+E5QAm66O3dJHHtrWwsOlppLwNTb0O4jw/SgpLEXtU5IpjdaRPCfGt
QvRp4ov553N4R9L++RzaumRMY+MAM5r2yq/vLO9CA0LW1GKwN9HqDil6t4XDAvgpqJFGNo52oplR
LGAMpAh2VmAdokHs2mTE3C/fykwVxeWGUEUDK0Hj0seIe6WfpsA7zxSJ1yh0sp1lVNrW6lLSBts5
3XR9NPmFCcjP0p8G8/NgMy/S3xWrubIR1Trdu1Zk9NKXHJiZMItMQnmyaLSNWbWbaoTHUY1m1Wpp
X7fLxW9Sr9TJRESHUm1G0GiEPHrRVjgADAorlesopPNmIl/dDNLERC0Qbqfv2FH6ExrkKmNoZu1R
slY3AKQJscVV1eC+gvRGnFWzJsYxXLchhXUCEBA4xGW4Qe6b/dv4Cy30l8uF7ZLODWUSKG5gyvzV
tjq7qUedYwpvWjqUl1wD+0/72VlL/CuIl09S1t/jYOy2zjy5hy6JHzyziF66WWsOhPBm68j56o4N
+JuJ7B0kJzPK2Kpm2Sh0YnspimFBm5ADhMjjE+pSbcjeBh6NP3mDfilbNNpYwh918VvX1eIpDcbX
Ttn6uS8fieG86koLNxwwfRclzbe4t3fw65AFu1JGT4My7Oe8IysKZA56X0PR2vKJbB63Lrc07rO4
PxcTH0lZJOCVSYhyItQ39yJMn1B+GzM8skvUUcQqSZHDhZp0nbhNBQHZhaVB2NNOb5aQC+q+xNOS
z27a6Xj6+ZWBISS3HpxgNP0wDoKTiFtfR5t8lUA7yJOh5Kw1iDMy+v04B7Hk0TlFeCIQUBlP3jwE
t2lt2v0Jw8uScpd8FoPT7BNqM/g3yW9OKSU188SVls3tDtQ1RScnvoYAjdH4VGrnJC0qRolTLmyT
dtMNAZuxHrVqKkeCbEt6izC/BPXyN/Dl4tAXHYDtVg9RzFEir7Xp5FUC02vrtx7rATK6xhsIlxD6
VJ9cJmqCqzHwbN8ccwQyWPaKJuJzSuuCSPqkSd5Nts77sLlSra9p8mEFVibS89FBZprrXemPwl3n
Uv1IDGQI+tBecpWBBHADWhT9hI9N62/WwNXD6c12Ve58Fwk2CzCeZK8ONZoRXV1oA5uPqku+gCJ9
x5QabZM0s29TMa2YMwSNb/vRaoK3JonmR5ppWwhe8Qa7CH5Wkom0qi33Nf2arSzb7xbl0cPooA5u
FPh1NGn0LvX5yGkjf8YlnsObxB6LerhealWxhq4rqRBb6mlWHbPJfqy4VfAZed252rD/CXZeEZ3c
sv/hClgEXtMmGKyBzRq22W5pPMGPmOL2kjVUvXOIoq5w86MBT49yBlzWgPmWsESqZO2Qn4OqPfex
A1nEcke8eyRGV2R6qYKPZePqv7qZUa/AYFYIIBdhliS11xlyYn8mWvcqYBcWzgcHZehlyH7H45A+
ku7p7YVeL72lc8CSqwzb8TyZtBp6admbmEQpcG6swBmQIUtppn3sbNXvhmapnqdNc43msL1aGdqk
2aS6nEAcOaJSo+4qLTQp6GdG+LWfLH4KZQwhYxWm3c8jwZgB2YrU87oVgmP9ETWz/jjN0/CYHGQB
Si3uOEjEiVHuJaEK1TCJOFitw0ul4LiUFjFUkf3eB8TLSWfex91oX5HTYIYo2yV/U5Pr0J2piDpm
5RuN922KrDUOii9j4Go7lbRIeceOYHmHK98fF9SaOYdL1Gj3w+mS8eItD05FZmjtUhRib+ccgwh4
IqF732lmho8zpsmDZgSPJVVwjeLoS1m0Z/p34Tm2TfQsXqP2Imo+5XVqPNuhcYy0ab7E+s6h9oD4
Cr29xmX7NZ7n71AFnV05g8MRnUdweSWQ7TJSCtGMx0q+RhV7oZQ26DrH0WB5s/N4X8uESXxtRy2+
BE5zCaMAfHuVBzv06MWKUgbrO4X0nYHA9qNWlQ+koC2YW+exL8cvtd3RFxmjZyulMyDt1lfm/CYj
BDx5jQNNIGTa1MopXwbrWiUOqeK1uDJORZu+SvatIcEGkJy3dVK1MW3wK51t82NqbPaR0n5EnTAP
fUNtnTL8qvV661UI41WLZpQILsCvKZa0Dnu2dCRJ/t8v2b3zfDca+LbZzdYPaqELsC0iX3p5atBa
uO9z6wc38a6MyjNWSXpVEg+S7t/bYT+f64sAKm4XOS9NsXrJu70/wBNAkt0SPapxWPuF8/fxQHqp
Hlfy8DPiZWSU9VGEfA+W0EvLZF1kOwE6RulMFL15cMJ5eggqhEW2ofY1IpJ7hyEalILMkx+SUJv8
fFLvP1+GUgI1J91VC/GtWR7uqIceug8VE8D392ya3ELDxZYeCBugFzgpBDXfH352BXRaA10WfbPz
Aa5qRrgqGmnoL6g9t0ORvaJOeG1soHOuApTi0YD1Se4sHrIJuZIJL25jKhEfnYKbZca7vQKn8Ew3
ZEkKBCCsDQ9FP0pAukgwPnKDfnk6DzCjZw1qjuO1S7g59h/VFp+wCRQsDoLy4f4wL9buj6fNpFl7
tEAYRP4bJsNcjEF7eXr/KhzMAnDR8jwBAwSwp12bDnaoUTwn2I4OZOiEC11Z2w0M9jT6QDYR9rPB
AT/vSrt8EYAYkGj07Ual06NOpPxGw4TZYDTwHfFDr+wzcnIyLXWIy42jcEu49rDq6rkmW68OgMDZ
ME3rQd9ksLPdISkvmffSUWPfhk6Q+pqRvQ8eIdpDTDKjhYCjV8TUBUO1BXOhraIKCnVEi6PFB02c
JGnL8Gc4UNQrHmji/q552ruHeTfWHG5PstVWKWS4Jhn8pgv3kL0smvlolljinKBMFofF5eHWzP0Z
Td492XMYELeQdXpiuVoaxzKkEVqqk0Fc17JXX9SF2rMtyXSPAkT4TViBZxCOWk9me6Q0tAc7yQWR
Dx6xeEukcro8MH0dvJA02PtLiVYXD/fvu391f+3je3/+7P/znz9+g4woDnYKKOevfzNvGVJXH3+m
qvV4503j8U+/O71/j1GrbCeKJZ2bZujPd3z/uWpZFZHc96NpK2NGpsKnKBmeENAgrAzQF+9//pWP
d//x935+mLAyWPNj3QoneOIN+aeIp7YJxMkjHuqFUsQGyS277yjcdtqIepV1GqYtDyUUaasxlOnl
YTbQAfSJbq5l0jHgT2JrTNg7C+EiEiAqFLI0xPWEoJyjbqfuJvUUOw7LoBhWGd+iJLYPsR5JyPy1
fEjJ1SpwYXhLGmP0TMOdO/n+z/eHnn0QfWovXRt1tRAczZh8weWnmQXlA+jUY5Mk8+7+ffeX7g/3
p7ksMJHSMG+XX3J/XWbuH19VGY1JwFTe5uMHWMmTCM1ueZ1Xk7uXAURxV+sOeUpWsmyYPKFctga4
chCP+Sz3yVs4QCikF+1TfkLGFUogzfcvyXvAMN3e25n3F+4Pg62TMZYsLcgSIsiqrwm3vGMu7w/e
kub78fQOwXSkxaX78aK7cD4+nn783Acy8+PXjKQn+l7rMsYMOriV3jEoIhjLLZFapjsva/YXaJfx
1qAHwAII0/fDxwOBg/afX5wkMriPf/7l6f0fujYu/vQt4RS50/qff4TlAFxBgUAh6ql1/PzuPIe5
/PPL2Rx5Fx9/jHR1kNhMOdLqGeWNYB+48X/f/Me3ffxRLQ7+/Lbv//DL9927YR+v/emD3//llx9B
k675s3n2zOqxoXzaLWYyjtzYO6YAH7McJkRZbfesL18GeZrnIBQ4MlWqinw/63Apc0fu7+fs44ze
n3qdwQYsJ52PQ3//+v7yx7fev7qf9xhY0kyRZfkBpQSC6gK9186kT650g3X/MHuVD7phU7MR75dh
rpkGCfNluQLG2Ujatzv/1bsPPnbD7kgseJMRILcks+SQLkyYAqHJz4emdUEkfjwPZKittTZaogts
5GWzZIex/OpleCLWpnyQhgipSwTHTINGILVmG+tYz+5H9X5eGha+W6MuXyp2dQckc8QiLSd47ggz
7vz7Afzl8N9f+9Mpqu6X6c+j/vFlkFZcNjExe24ffnO0mC4WWZfHqcRtRJICqtLaKW79GBxHojQh
Q8rxqUzTFIMFOy4dl5GG1QiWv7PDqNAjWaCHaaVD6juQX/wKGwnCJ6DfJUtJQoDn5kwL4jzWRv1Z
Pmp2YJ7c4hYIGR4ggB9CPXTWcwkxtI/E11m02KFL/UXiWTsY3aVP9ebo5datdhtjT6Hla7yNWzld
LCfNfIshmDmPLlFbN35p1PY57qMXYA1LAIP1kgw1EOna/VoyWK36LIFUBPva12Lm+jH2vgDvE5eS
wFR0XGZw0CftmAWIKVtb/+JFLpIyI5n3nSt+kzh1IUkjCDRyGBsY+a/pjNa9L6AE6MGIaJINvWZN
7/E8filI2iTvgAqUrrN5osNksDbw7G3TpuzwcaesRrMcD54Yv800gLdDrnm7IGzDR731I2RxhQUo
O5w+SbvE/VI434sgn7ZoCT38m/hqHN17qoswfoJAUe8qlbyq3AIxmbuYV6Yq3JhTiZ4pH+S7oSiY
mWIOd20YHwZuhmtYUq2KcZVviaQ4e4n+WU6IokUR4LHLR3RIenMpyNVex03xTSv04qyqEWzmkj5e
948MSPXRmoEMg0m5JAmOV6Jmbpan5y+9Ck2WRdbX0Zj0T022101ZHkvNcbaEIpYb15h2PWRv1i4q
OQRu6A9TylSY1B6p69QMOB/fZuguOFvkMcaSVQRjuqU79DtmRbrMOlELeluItaxxBT3k9IFwfrnF
J9LF1ppJhlPjvmchGvTQgEwqyjCDs7auurE/pTaDghRt/Wi0E9kQrUC7L7xTTfKUCxyEdXYw40lV
VwVFbO+IEURI1OwlQTCag3rO6EZKKOZEjzJ302O4GDScLGGjx0Snuc5lthDvIS4O6A5BQ4qyXd/d
SFghOE1Z7ilT1acQoffBgndZq4AIlokaoi7B0zZBivdJoZ4cB+1Lv89S6wYI3Dv9H/bOYzl2JMu2
v/J+AGXQDkwjEFqRQc0JjLwCGnBIB/D1vcDsautB9zN78zdJq6zUvBGA+zl7r5XHAOxp3Q6nxPjW
KHSstYF1wtRGZFNnUvqhWzsHKvY7/wFlx2x6Go8LefUZYm9CqCO/Cz9KrqlvvLK/4QTLDX1rGAqX
ulNdx5oPFpSnNeyg8mQ0IDPkUqb7mlk5v3b+t0mzd0qgCBmJ/WnV9vhAjhLx1jRdWOEVV0ekPMR8
fTg0FWDcqWpfm7FxnswaX5vZpOdWH39RlqU738fuBWoEPjvFHsmHKzCzXH/2tHyj9HSkBpSBdG2r
V2V58sD99EAoQt8l1ngGBc3+IhkOkr2JixgXDTEMfNNM+bfjBwy51db2+TS/pDJvnrMRkb05PmTW
NnKj9hEo+rqp3CN+sZxRMVtRIwe21OfmmsbauGsI2O9Y2gAiIndESy0isYXjclfl7A9qMDon8vZr
mrGABXivNlnnBOTw7FM3+2/jQEvbbmdysmZP639mRjih9wqs0LZOHLzGdVmY6R4NCxU9AUeo7Ine
pmT7+Tfntg/TuunetUoB0x/y8EI88g/huPdYii1/Srm1zJBPt97LUz32/Z3owZPZmMwT+N0AurHF
tkUD0yC+F1g8bWzv2sf0hiehfSDgkFfQI4BvQEpJy02OWT4X9Om9X6ZeUU5qn7to8raRFPvKmcGP
yfdKa66u04w7PWTX6o8fepcZQA2yaZP6TQj/ARyX9UdPDwqz65fxboblfNFi7G7NQVJze06mz0RY
1gGr7qcye3dP2vDe0f1z8MzsqSPcYKIwzS3iYOAu+9yyoV6xaWggP929pIaONLouke9yflIDE0ar
5BfActud4Naau6n2Ypj6XsC7zlPzOba8hTLSnJ3axPfg+WJdaBqxN48C6hTphyputkTP3mYbaBtV
xe7qDDAZq6r2N754glHXoKzuGPTHI2TewcPDxA1w0kS0S5lHrdyRQnWilna4dnH6ACCrfDJbj5GW
JW9xrwrMdUZ/hsJeqal59BjX9aZ64ijnbhTbgxFmy7vVZvic8nNrpfETOpt4EWzUx7ptJPA5Fb9o
Vjg8CkqdyewT/5nd/nGYfiWm3XxrrUudqSb72GV8aJlGlmxjIeEIMU7rZogUM6BMPk4d7zQvh9rX
L4s+vhALNOZx6NAQ/Pw/oRU1J2ss/1BayvcusLKCijfVz/KMs1Pbzy1nKHNO4qAN+cLIKqVqyz/H
TgeJ73qEdeMovhe0KhkNZ+nL1EFsj6p4PXlFeuvCHj7UXLDx8Bt+M5a3Ed/asUlynMsgN1rXPPUt
LwbhSqLu3fTbdbrrVEETiqbkC4WvOETl8tgumEXjBOL7zaGSo1fjb/NuZHQ/EXrou/3MGepBuN0O
3V/lHEZPExt9qDtevbb2lKOz9mz7bwkY5FU66TGDA0NQJE/ubY7Yq02inV6l80PsZ1+LU+TSDiXo
FvbUx+4RNeJ0cmsbmiwBGdYuXOVtQZm4jJh3A4zvmIqa7mGoXPXCaIWPr9bNqwagcGVFaA1cdzkr
qS+G8/ouT7nCe8R2LyReCQ/NJuacbLw26jGSH/wj54Pip7CdjPk9dhtSozop/0wboBlNFuUlm5Fp
yE+G8o146SiTLyKoBmphiP45y96ivAvZ6Jng1pTZUvqcGM3Rs9nKMKai2SLO5qT6btv5y7CEZk1G
rAjaumBKlMt5YHzOnNIkXIb8RqnoNjZMP1E2yXWqWWINtnivrMnbMRZmuBKRGHW/WN4ZV11Qkol2
FrjHDwv1NRnQ6E8EOJ0mpGk/jiOOoLoDS+4/jPQUArPMn6qIj/KQYK9pDR7/HGH4VEwz+morPfrc
lVUn2ttswD50o/E14dbMBHlOnmG5XaIIAEDtTPNunnyaYnDeUv93Uo/5Th/4unYEiDapaCmJd00w
TtYmbW3xptt/OdWhZTGVCEoHPf3YAyAabZoRpv7b0hIGyb77xttLLuahwMBc+CjpMMZzMX/FEfyG
Pp1LPh/UTUaa2yc7c2GpmbW2gzqGe4a66aGNjrxC9Ve9Lr+FlBs/aXEgJ/gIJnvWGLOF/XmOYv8s
3eJmuIJzPemRTZL3CTVHbhrADPozV3GKveJRa5eTV5jvgXviJjS8x7kuG7K7jEv0OWHLZshq6TEg
0RrdgPxuz1gYf0dcKAIQacZFOUvdDz/KPz3C8ysnd+uzMoZAqTE66d0Ur4C563tYM6hYIuvBW5B2
Tql2oWCCkavkxEpwzyibuYo9f9R+gXyQh0HLOiYwesZwFWRowtFdeATidU/JzKypn3X7WkP8ULlZ
fmBZxV89srDLOezHOQYV3Uf8yLx3H9skfNMXKaCideDyNp3QCSL53oMc/emYmfoHajOa7gYvFPBq
JcCRM0cFGFW8+PZSjL9rx7iN01YqbKRpIcJTDVaVFOjNNBi2GHV5yGaRrbuiDdCBiAca8R/SyE5J
L7Wdbpj4mmYB6IHt264F77/iWJWSieiGQ2wU93TShoPv9TSRNO8vBx7rpDXAnhrfngGwqIPLu20B
Mx4aEIS7HukCI9zxy21ZwNhan7w4enYr0OiMY8ixCTrPNmlwkWWY273KcvjS2x3mIfdaxgCxvezT
kZP4U7bhl119JJY+3t1Uv+W99VERLb0JX77RuAOgbdrFxpTtxHlTIWFMHWevGf2pysCbxMAZaOsa
+CJrbsC8WIhbDsWVLNYxXv6ehdPhc127tW88D7ncW1pIwzuePXLgDqsv3btnPH/zCapAXnUA+YFQ
cFupi50uB3Nn2KO3IW37l9n4PY5LflgVgC5BP8+V7rSfI+OjUuGF41F79Cx3Rw59vuoJaYNmfBiy
s4iKj9pWxoMZ+2gP6lqiX6vm28ivxEpaTQhkkzm+1a8qo7N24dQ9TB0KK+CRx8p+cqlJgA3s4NlH
RnUBcfaYU7HIKje5+CEQc0lqapsbdFl8mmXC82Lg9cQzIwj9G1uDcMnzdc28pGXJsXT4RvAZgErA
uC2H8Uwbr98DhI5Tv2DnBa/RAnSnp+viipDjl0F9xmZBfR48tQeVRlkI8POan8LECngu+Tsnwc9n
nJhskEUF/JVE/SWGuIuNmr82s9n2s6xZjSbr6mTkTKnbpxq/TR11c0AMhxoPq+OjS3rUDQvjTgfq
Nfa0M1ua6gqYWZMENT2GkA8Eoqk/I+3D18pvMsKul7qY3lQm+j0nvwLEibMvvJr72eI4tlOSSLnX
rWN7KvZcb55b0Ghd9t42NlFJH3xM6MqQYjaQHKW4g/ysnSpzOKYqtC5pWL/+52gg16xDlGmniv9z
zM78ecN2Im46O9I/l9xHVikX5yDjZbPPfO83G3/wZW5/Aub+WGeZcYpSF/9SOp0mS/ALrlNkA4FJ
vbLG7WuM2t1W0x/u1+1em5xvcyzzINXKeK/iCsqXxsXdcd5Z8HkHL4t9Arn672oGCyTow2xp/Lan
vkerxfdmL4cqYyMGSYCtShjoZkdK16aKUNrMhSpm8HZDQdVWlEJzv6gPjIDNA02YjNk+hVirmnT6
S7QDKxumRFtWmFFYfAC95F1Q8OVaM7bJT2UF4h+L5oO70K6WoE3fsLsB2VqtKLMSRkJyMYpNC5Ke
RYT15lS/4SRtxFQpkE9Fg2RHvvGZaU+tde+YajxmmX/VJFOaTtcpk8T6+DChd+po+6/5mNKrjxYG
ka+dmC+sWjstgUVZW6wL1t7VoQdwJYy3s0RBFIfAKUwmr0cz1fr1kLec54l1baOyWHDIyRuqjezi
NGW4dkD0LQMucMGx8HfxBBiFHKbaaYJzJtTc/MTfbLJDvmJTPe3d1iXt1phYbZYBSd61v2UyhJdR
Rg9mNNziJPRfx84golzqxon3brdKJaTBhNuiTjDwWNoGR1I6UHufoODGEjk5OadHlIP1r8grmLAZ
fjFtksVGs1LcmOCotM6821P6p1LsWOnHjbssdPqzX2T+3mFRti4746/W6qjE22Iz9019U0q1gZsk
x5lP6XqEXbAvXdbn2bLcjsMczEyxz9oqPktWXixXsKmwHxqPdC7VQzynR5f5jBZDj2ndFym1i4sF
YmsLQE29rx8Id0yXLvXtVVcs5f8oB3DawJlcLiQR4OhrMfdvcx9vBfXF3wpvYVH4JtW03nxRPBL9
zk2eh6Zj8TuIa92a9adfDNvGzn+Zph9xHzefakdL9hRU9R2a5QR8fF889i4nkm6IcFDh5Kh8xDsU
R2nL5uUD8UvrEIILFrmMNxzGENR0LnR6Zg9r0jppQJZyuTIoCBCsPFuTAJ0YqNYh8y0rcyNCNwSi
Bt7c4plG4ruc+URO3NaXQ0m6IFYiyR2B9SWbdtns65jw5ZwQdpSWerYA4LCb7SwWBqG5GVO6GB2V
+aVLb4ZeYJt9uEtpB7HBoMLQdnbC/k4HrDKvnLrhZ5zJ9wFBxLF3zPRuWCxD4MfApFz/VBI8j8sL
tV9EKhCQgyGKvqnODawZ7xGPi2uslX+LhW1jcSX3MuppLSQLAPoELtseg70355gcueqt2aNoWyjG
xyhdQMClSs/edNNodXNvBCQEZGveee2LlpY8cb1EO7CCt0gzzWLVhSZ81IqdfVvY4ph1E8c0ZDnb
rkoMFk72lm90SVCSL2rDLg95uUmxKhuArkep3p/0zMNOQ7opf4i6McapxWNWTbZNUTmWu2qon2AY
eoTALxYr/D0574KFr739Z76mt/fU50TdSH+6TTPXBdp5KbC58G2SDcAH04tWdi7bm6UeeBslZ60V
7z8jmFwoGxiHaeyzD6vKDXa4BIKqdcfXbbZHloiDHrRR1u+05k/SOHAHEmU/lLBkncI9+XmoNm2q
k9RHfLYWo/PktKW2riuH2ESNqsqt/McBUM4hk+BVImsMmZLKv/xnP1p18lKU8OMA2PpwXqBQltLh
cDQwRVFLhCMO9U88pnjio0wndotIs7BGPjsxHgCz14/JZG9h1yQ7SYgb+mA5b7U4rPemAKPKCo49
uCXzO8r4F29I7v4Y2YcoSsaNPXAAgcpSbHW/srdV4VzHVvRwJdelfrWrEIGctP70RCzORuEE2Ck7
XAukJ6AR8HHzQZilhTZix+UNl3BSQT8HP7DuDcCi3nLAGMg4ttK5QKIrTmkW3lSpbz1ROV9KXsw5
9s5WwRypSGmfOOmMMrmJoEbTp+6aGUhaksABQKL3E4YPR++7BIf5tmJWla5iB80b8lxeb3zhb2CT
A8d8oaGo/s5WtaaAzmnasof9YHxz4Epu3Wwy9wMyf7G86mFwE4aNVQ4lvCKemvFtBlal6HviIaqU
d3aAEN2Z25prvGki4DT10qV1smPdTHogcbwzgaMPW8rmVEd0JHoBYb7JQwSmbU6JtW5JPHgjq4/G
Pbuhu570gkwSLvNw6HU22z67fT+KnydWEkR1F88YOMO0dp2AVHG/b3XjPOfSvoTEokeaKvb0NOWx
hAvcRFvGStidl9FjGtUzsJcHMxuZ0mtTtkWr+l5zGT6nrvY6hOxfPDKfpyiTtzZZwou+FpgW29NS
GdFR+XcpUnH6+U2u2XzmWuqVIrRIbtp/Yu6oBIdJz60USPkpvXJKrs5l5o5vWSLIneKvMmLqDQAK
nqXtP+V8EU5R62/c1l++1RnDuDFnxJXF3Y0kXHuDibrzQz3nGb/RQa8w6LU2ws//1v6gb4SceZG1
8mJlhX5iydIdphmqf4yB7+iQ+Tcy7VwjfXtJxjR7bL5N0CNlUmUvvJ2Nc0mxe9XUO1sz0yedZD1c
6YmVjWFPF99o1th92t3Y5gA322be/cwWjObOFUXb60pC3UtIGMbsP3SvSfb67zHW4lM98LTPLO2p
7Pg9s3cwRxn+hbL+QasSQeS+qY8U4D6TuodsWjR8ozx4O8pjyovNYqU41Aob8D0dB2ZYsQnV06xB
Q6EPm9Ki4hFkhHsSIkvLGFTWVHgoidyyDLiMuNjd6ie9tcadMuJtF1viXoppZ1GvtyrPuBZl9tnN
S4JmkO29xLRcKoVUlbvaSVL7PqQlg0IjqbpTrcW7ajT1W1xWr/wIoM3MHMEny3iwYv7zSzaUa8Lt
xbb2Unfdl8IOLE7EOzK6VMaZsMQjmsPaNc9Trn1ranBRZch5K6qm3MrkFe/TuI9DBT+vBINHNuMS
llkMDXPozrkHgzcc++LaZNASaXR6ZvGFDX6AdwN9XHnRRWad2pSmlW4dI+Vp5CY4d0dKHJoyrHdn
YDicdW/wmUPoZtqzJTvcyhHPLYH1e1c3RhBD7X9sQHU+hOPfkqX8Zoi5XTDymR6AO6e3EXIV5NR3
OAPtsaIyRjQPTMGQzABywrK7ICaEeONwfzDB9CoIv5SOnIvrZ7+KqM4PlTdpN5b9T6DrqJ/7fnMd
FURKwLcMg5545/hAMApxaqn9t/CaNVqa+8G/M/fOnjTtbz511Y6d4bC2l6uOktkZ3BLZSVCeay9K
+LQBFji7mXVL7aq6+YYornn78s/vmAOfCyLZay0hsOfapThpFoFVrVT25h9VFpez58RUfEiMaDhb
HWrXoYdFoZpZ7H8KF6biBGW23ChZFVU7TyfemLreuV7gfmakVWfUtG+9YpKnG/pDxcKqBZC0ycca
RLw0GiZR5v7npsh/AqnfVIPk2/HrC03x5DkdAVtX7Mxk7tdCh1oUJwzvxnR8cCJunFH42MTGeOPf
gBM6fLdcmYCRwmrckPndVfxirTnTGAHpUHFx5/prLiAsjD0RjjoyoGg12Ue0PE+EANFeU1yPWiBM
+jCNe3KMWsAxUuyBDKGO7x/zEsoaewMNmgCuj3pZO8qW177yyezZcsUSixNrybGYSAxi6p6XA8Mu
b6XRv1iViAfsoa1OOvgNCNmw/I2WTJYACBW2pxoI3qaVxOaGgb4Z/01kEjtIhz0DuWg0XoeKa1mt
fjHAzPaTPcXbUBXe2pCNWNnJIgwxO+sslXGS+pzeuCdLrgIJNsoYPSoiQyB4RcTAtXOMZwb6A5Nu
Zqx7R6jp2U7t9BHJBwNl8C66mJ5U6/Bn6IlHrsxYD3I5niXGBmfameECRaNUY0VSTV4QNj25HCo0
kxGbz0A4yEmnl8JGJ1tYjHmVJ/+4VmYfNM7F11LJNYO4INMS99OioyjAK4je6ngw9d7JWB6ehdD7
vc6v2wLgatD7cPgzsqBJk2ZvVoL5XXEaSPPRoo0dMtJLfTJhRMgS61hFdfowMM9YuyOj3rZLu6Mk
bsFO071Kr0uCmQvXuXHNt9D9HCO3e+UXC+6ap9hXLNAGqydd4AKaNvTY3sa2+TJY1bdt1uoaejuz
AOacO1yAZOhz/nCLO/A19pzNrnR6+WEKbaOK5KkwVbnRerd7mKviYNcpouU4X/9s5rKcr7o0lLfv
DEhXtpngEq1N42ra6UlMz71NAH0BP/GAzKdbFY8EtFz14aD8PKd+GJiVtde4KZ1z+1sjjruLeixF
U1Xz2uxR8/jQ56bcjU9dhdpQM7LwtYi7jRfTHimNjjVxPYOpaBKmIREJ5nwGUt5OltyVqBr9Tp2A
36iH54iw0smx4aulrxyd6oAwc8oLucHC6s57L7RYlWiudTDL4oWo9HjyEYieJjZFY+tYx15l9aUh
sLLzvflb4Ps86ahPTj//q3JkeVKZ8RrVjdz+yPYi+98GvnG2aIbi0+vTvL2A+Nm4wEN3CBU4mRvh
tDZNYmNeEpGc7qu7oj7EJvmHABcTS0x9bKGipK+Qzcbz1ETNuhbU2JvIs1djGY+XhvX9T72sZL36
NKe/CGLdajt0P1ruK7FvfEgYlXcL2uZJqJryu4Ku7moAvLKlVJAwDGzxcJhDpx6t9JNYovPU2dnO
hl9KwKyHD76gPuAaViag+O5vlRTvMSf/HesHprqk13kpz2LL2fbIyozzV5Eck2h8R77EYy72QJB6
6EWJeX/95CPGaGI8jffnMtugoklKky5XJYNMz5M7L8ZL4aeQFeEvbxhDffX8i6Rk9VakKf4aHUJV
x+Fr3OjuklfpToNtvxaozojn+QGkpl9pMhcYxbUAVqtxdGbnYodeFYBMqA8+XPc0mbgYemCRWBed
oDOdZR9lgZLUeO2KU7fV9dQ1/OrIzvglovd+5JjkBh1bbqanvB06Ma9+crIoPK+JnKxtsiSVS82T
rAMXB2oPzU7So9uQ7/a2bcH0JFGWhlErZpcsn/sc4jMGER6oYMfWpAISVLsQgTPQkat2ZGDe+AZj
RdWF1NIz9BJFP7Daq5zHJHFz8qnOIb2QgQxfrLZmGc/Tfu27JFJA4DEbLacvouH1XneOkaa5F0ZZ
HPtNbZO0uonrRvwpanJRvDd3BZuXoofmAtkL6mHKTHd2HN4DU7UnWAUShAhCiSGlqwdUIbq+14pv
ii7VbqiSW8xAdkWzpN23rbtpXbXL+lT8Uvu2ajZqVv29MpubF6smwMSVB6pn/glYwoWUPVhBnPkG
J23TuNVDd0ltastF9V4wUltRJxI8X6RcmVJ0UFi55QlCE5Nf1pu9n3f0XlwxbkfoPiT6ivwylv2v
MTWYS4bZwZrES22wIqkFwozRTmmLwxPbdNJhoMq6kpO0Gbieb1y4oDw2odEcpdN8RJZ+Nau2eOgc
c2slKrq0nvEAE3JmUJuHgPGL6RhHFOr1Umcfxv6J+9+SeVRXzUYJ1szt/adP0NnGMxHN6tB1nIts
O31KAXDt59J97exFPizFREtF++0o3hRFnNUbbfJ96jaKmh5bp7Wb45Apu+4raurulAzTEiB1/ik+
/38Uyv+KQnFNHcLF/wWF8qft/s/r/+Sk/Oev/LeTUvxLmI5leL7uoRmkwf5fNBTP/JfrWLZB3852
Tf4E/tC/kSj6v1yLg6Igruta8DToof8nEsUS/zJ8D1AOYw7dNn3X/39BovA0A8fy37qgjs1+BeaK
7dBZZm9p/UBT/hsUJZpsRYArig9Kc9KtZ1Z/iqFu16aiRiK65qRIJWyQ/VFc7fuvDpErk81zxhnm
yjSfQs9B9YBUywi6LiSHsszCwLELNLkIDznU8kQPb/1CA+WoEa7aCHpgVsuQxTcpfRWFl8RlkjJD
l2PobLG4hS+orXuzyTZktd/UFx0IyVy2FkHPm7iXKhCR3LPF5MhE/2SruwzNOyuY6/rQePBN7YV0
OizMUxP4qVgoqMCq2FlT1zQApA4LKVWB92P5x/sgrm/FQlM1eKnm4FXjhW6/8Fb9hbxagmDVKlis
hBzcjWE+gRpLAivrBxYIA5cQa34YXWoExQSzuqZSsxzFKIBOUAi5b/mb0YKASDSn2NleVYNcwG+f
J1nPgnh8ynoIstBoGkhxiMJqOIb9VzPlNkddSly83nneLiRaCSu1h0zrTvLSqBH2SMK53a25wCIY
SVes+Wv2PDUMx54eQNKn2ziWQM+AR8dkmZ6twbsX4AzbKse6CDcxMJ32QqJ2ZewLaT7Lhaqrg9c1
wOxOXfvqxurRgW4xgOGtwfG6ULHLBjZa8jabySqhmFbr2klJ/+ZyPhh6/0UX8svmPT2gXEHL1mAd
nGhadN5h+aNWTlSiAxEcgQpWCzPYWejB3cIR1gEKd8upFMJUy5y5IocC0SlZ+MMI9fYZQGK1kIkn
azhGlZOfPJ3Z86C/J1WbnefJ5CI2GhWhGwg5NSvuBJMEEwFUQz77tF06zDKwPAI6oUEuJLVh1w0x
6eGWFVvFB3zVweVY67VwTn2S1+90sinjnDp2y3zgIoLBXPsCacwKAkqxRuYSIdqBgOKNvxjjP+sL
1dlYZrYYxS9mg4I61K27BAHNwuHRzP1bleHFqNWnHeVi0xjMnmTc3JocfXIC5Z9NLCoXThdOwgK1
XzIuGqKJpDE4+6EMOnNTAa+ZxDR6jB2N/ZmfZH1sF461DdAaKvEU0F+EBmqxeOqjcFP0/RtOGhj8
NFs3/YLGBpFtLqxsXRPtSqL6CxvAmiY8bQFYO+bqB7N5Z7SDCpCuEtYAwp0vNG4jiZ+y1ibLN3Pe
6mCe1lJcOxszJQm87dB16iV+pljNhOjuFaYGra2E/S3n32kHeYgdwW/Hq69hOG39Uue7aLcFWTsY
4hSCIGEuXHHUaAtL+yFciOP+wh4fFgp5B46cjSZfm/c0vdcOsOheyWDAz7gB3HMVTVpv8Uqum+kN
bc4fNvPQ7AeUl+546I2GpC1Qc8Y703bOjIqxx/CAbzEPei7P68EDDM/lLkhVjyrSh88bRo9NF299
8OvtcAt/aOx+zN8hv4qyYiGbudbalCadSptA0kAiOogqZIf+wniPE32vt1/M2Z210X6NTHECoYuA
/c6XTkJ2A6mOKp9pb0XY7wRiNHYKbQR3uRzYqzW/CJ6gqixse5c386E2CUXkCny+boX3sfbDl7iA
lpQ/FTGQ347yD4cPaMPcQo9tCeWmqeI/kv6E4Svrligg/rkloJSGsPFj9Sp8qzjG9iucuJoAW74a
lLfgpT30BiNAUXD74zCz8vAbXAQEg1nxcQFVsjujif/jpn8TgP20PNkrLQx/B5i/AuqPFVTh0eNq
rTn6M460dqPaX1FiqSt5X5wAOUopNtcEF+GS+tTCS5c59uTFgc8QK2b5Y9GsDjzKrV5dzbuR0yUZ
bXSSLhANBs6dNhVrmRA0j5uk2IX4OtyuwXVCf2plwyLJBNdbVAfj4jxgmr1uYvulWGwIzOzqoE0Z
kbK5CRFjwV4wN2SzyAEYqGETQ9/GwL90S/SsyKOXGr64xzZwULtRglFinbMYrNJt2ITmY+HrBF8I
S9XMMo4tgIzAcDbOUqLR2NUNKB8ixXjIyUa54WitLwzMgLL4U5Ozk8r9KN3Nmf/pgmvcF385rL6n
ns06CclEu9gmjP24uCcoe91y1gy5S0RqXFZCsqdIyxq16Qg3smLIV3qEp92VKEsWv0WC6KJejBc5
k5bUIbabJ6+8C8A5ZNgxxOLJGBBmDA2vNWIbD9bi0oDdRTSypHLItG9cfBvuct2fUXD0i4sD8Vp1
TtBztHviltrNRtqRxowtBRoPimb6ydb9p6TF8FEtrg+t1/lNjv9DS919jBDEQQxidP3TLOoXqjrP
MA2h+WZvcVV61ILVG1w53CJ4SBBWTABsa3K3rgVVEpWWsvxDnciZpuCB5ypXEQ0WEFkeDybVI5kr
qbw1Aazm6isWidXMPhw9FGn82YdAinXA0qbHsK/pbE7z7x6MxSoZa2/LV+2TddO97yaNkBaff78e
qDXxweTMofYwKrs1UbtjbK7MqmdAWmAbVKgaqkwGfeljcFHcQGz5hwQ1BhskL/Vie3FrZkZGAgwf
dOQ2caCEsS45EvYvj0MbfxSj9dz0XrblenqPOIAkeTqQ7vL7TQxf2O8ryF3oZ4i3nEEKczfjdZQ0
2hTgU2E24A4XMbwnZrIPQUsFRc39F7kNeuriRsGAGSLem1osBpzFhUP8MebHEr8MiydnQpgTI86h
9sILnu7lYtRxm4xudF08G5l4c/oRx8e4do8wvcK9JY14UzOR37t+12/niF9QgplMGZMvR5sVA+Lo
F2xNioVetrNM6+TWihufx09M12g/W6b/MtBOFInnnk3XNheMhRG4wuc15pivxWIVctELpR3j1Rzh
kFjMQ87iINK04V5M3WveD3NQ1dAmK0KNgs3XFPndORrpu9Iqfal9qNlzypOrVVp2qVJSU0LM8lKN
GKbJ/yJH0hdLkoUuySEfGoxsRo7zRHMtiR8Tg3JBJp0vOSTNxmjmx0STXOPRMKFjwvPGE7H+dBvt
GTQYs/4YB4tNQ40xvYa/SMSXFi0NObb5MU8cgrBW6gBKMP4WBeNBOu/cVWeP25/JY0mJ9CDbeJN7
S1AhfIO75W8bM90Kfp0PnFbysweD1Sl51iUqbLbFoqXqWhJcXoSqirsx/tOJfVfTXKIQxtosvtNM
qhXIcYkocZVnJvuicSB+TuZFM/VvcCGftlkhySLUyPYpORmFz/RyltRUbqXOI7pUUP+1qbyHdX1D
7VWtnD69pzMNnPgRNm6xIXvAkXIRdpWLusuYkXhJbF6CUU3V2uAWGjPQ8X1NNcraptXvFfuFKwzR
tYg5oi+SMNZH8coxl4d7atc7UFlhQH5dV8Z6rJpHJlhnD+dYuMjHqmGk9rAIyeCcpit7kZT5Drqy
cRy0PU+kfjMvMrMCqxlHXs52ZGfW1sCOsJTtA0lEVoIGOjRAoQe5CNKyrvNW5SJNgxCA7X4RqcVk
9b1FrSb5axgXsI/EujYK9Gv8B1G0/FGydcjZhkXTZlvWKlvEbd2icAsXmVuusU9F7uaSf/50Ft0b
PBGrf230dqul6OAodl6HCEEcQ2hUcYs0jqH2YRrQyI0+C2GEESGNEzr0i2xOLtq5dkJA1y0qunSR
0nFOqj/rRVRXWhKT5iKvsxaNnbsI7QbMdjaGu1mUl0lQZ66YZryHMv01eJxG02y8tfHwp7daa53a
LrzYwnnQuWycHWx6TZIG46LXs0KXAcnyh/j8VaHdHphIfrfWcNI9PqNkWzXkk+Z3nJ81mqN0N6pk
G6v6bXKmP/Q77iz5sZZBYV71o3lucZA5u7IuL6VBYrtqW1Rn6SIfZ2Mg9PibxMC84iTyCRfv4BEQ
HOcHRuDHtpdf3KIeXYwBijqcroF1M2FG5vV/UHemvW0jaR7/Ko19z4As3gvMAKtb8iXb8hG/IWRb
4X3f/PT7oxJ3R0l3T8/YWPQCM4LbckpUsVj1HP/jqZKQG6blQTFrsG/ixl3qDnK7gLk8OUDUjBba
dLgxMvtG79w92A9muJgXOuAiyA2zwt07Ur22CwhDFJtc0htTG2WZIjAoSj2zUUaAVriRI3Ptx7RJ
Bb076sMzQEwrw/GebeWuG4b5QPbWoHeZQV9XDPtOMzt/Us7Bce2c3n4h+vxsNuwhiBBOJWrmyoWt
Ud9HZD/gaLHkiNwgQTiC7c90tgOQwsTL7n2JjoSEYqBVbjXbxbclMm9o+88ib8BeUklo6gcIx3QB
AuLkmy4+UgwVRPF1plWzxlA3Cs7peJ2LeCKk7ko3gCq1xTYYxGNSpKsABoPewFR02KElZx6BuZeB
r6d66dF3QjiEfaFjNlmORk75TFynsnKv5sUKtjlmoaH+jMKDk6YXyHdAoMvDna0B/suKK7glW4GH
X2l8xoJgjqft+agKbZbSLAPDMmSZf/5Y+PixKKq88xIZBgi7srJ2UmGweWsgzLWnPM121OQv4N7D
95sLSSIoHP0qwcDaOvFerj9jQINHA6aSodfRetSo7OXGAhgaCC9vmiH8H+YdRwGBAHz8nNDOCJAX
FfUc/vcLFrjXkYNXpYNjjCzMrU4BF/+Qne+LaR5TNBhvTeInU92OF3Gxsj2Sd9pWkshvg5RysNKO
9rvIYghompkEqTUVm8pWVxA/YHaLB2ugwxKwt7ecSOOc47qzK1JtOaIZnOyiabO9CZEpEchtNYYx
SXVzBnZ9Cz8EQhi6qWUzx8oUb09snjT9jrDinuoFtscV2TPolW1oNAskP/DTajT99ibD/+0sAeo7
76oQtcw43IaIgaxVpM5SKi4X+KPJ575ewm8Y8A9s2DQyzBXagTwqRXDC4jZFsoFnG37TRpmRKEv5
VLWaJWd/vXHV6sJ35auupgLAwRWAWgFH3Eq3fiqA09C3khwgPxW2P2SAoGahZQCad84StzsfQpN9
F1BVkeYHvAOJ5HpwtjxDQ2dGV2VuPgBja1YpWYRn4K7U1eXYaUVre5CGS6gSEwwvVqJGUlaWvX1B
WOc37cSJ0nguKzSp3GxJ5YowzlUvdS+oF+YlXhRFTlgQeIJk3rsgdnwGV0k7fl0WhHFBy2lhAOzG
tdfAKAtUcUeKBhDDXw1Z+gxG0VrHWtbgZKG0UyVuFzidbzM396aVlD4YRnDWUXSeOKX8XEj0GGX/
KrccFxZFkk6dSt9prnXB0bdt1ECaGDJiT720Mxrpqlbbe1FSgklxryZTtheSL65MHa5ZnQ5PEL1H
UBLNuQrfGSetV6zLhSjkkQFj03BMwgs4wtal7ypnoSO8hQV0r4Cgs5FC7C3h9U5TNCvmEesOgmO9
9DLxhPYKQXT2ojU0DrrCmAVpBFFQNjG+UOVpGqb71EHLrK1ol5nnoT1qn7p+tUv8cO3Ywdzziuos
ouI502Vv4+IN13rWxG8wZjHLUQABg1masjTgHHsJioq8XcGaMIB4hEQHdpsoMED3lycKpc55HKKX
1TbKvBvlGXVSjrS7DbyG9krsTOOkekI4OphUBDaYP89aTcKIEHLDFLDCGY4X9ryqnUeaexNAgHjd
hSjD2yXsmEJVVkrRXoKr88lHKU76Q5qRUXyJGx7Q2szJJPXm0ahC8oX2NoIzNAWSUE/8FO5iaZOV
tJGpntnFYCzQi7uGF5jM+GuQVCNLBsrAslOrcCWEQ3Y36CvOVHMSWaBVGhrgV4TiqJZw2LYmWh6h
rq/6ztgUHha+AB7mmuYgWldS3gB309x09WuqtvCiaItwcrdUq9SLvNastYJC9czWStjMNXFB3J1X
GYVKQHrApIotFuBLhVLspO2abp5Li1DJX3SHUmBgBK9DZ5hwLISGd5PyYjr6ITaVZNHiET+pLTM4
azL5trDLlYz+1QxTh20lu9eqL9EEbljVtgkoHNZ2RpZDLNjVUwUt10noBtss0l78EmSoFTTnEKEu
BsVZhKIYH1E1nhXm2AzOaGSCAl8nYucMGLMDWHUgoU2BgV5G8oi/CarrKFV3tZRSHOgliNJCndEa
31QNTXbwMyBiZETtkQ0GtworHjUswyduk9VwqceNPDWxyK7u0xLrb9k15pkdxHMNH25NqCUcSyqj
QAc3NSxqlKpeJdpbxui7aAQu8kl6MywpqK6cJl7BbYknko/1hVl0mHlC8MpoGBKQxfkckvQcvrA1
9TC4HgB/Y6WD4jZNw5dC0kCvsJTHlOnajnqxMccXl/bbxgsifYGlx1YF3bzyAwVUTkBskRrmpvXK
bz/Ruh0A1AOJtR1J2vCgkBGS68x0i9rn8SX2IsxFNWFsRJ+zAI+/rGyfJrHKo16yZ25q168XKgWr
daCKfOPWyiUFGdy28rjcZIns4feBuIzhZ+lGG19U1wV0Ayg43fRJx48qlpGoeRQkG4Gy0nq/X1JO
zjfZ0KzaOAYmM1oCqKNEz/GntiKosfp1lHGA0Ytf1+l1rOQ+DUmcu5zWJhU5froHJXSToWNkJKkd
zajJW+A3+dzjxRx/oiSecttPfkcUSp87EyskbZCjoyk5aW0TaGgxWFMAizhZjlYuiSG+vXgJaSud
lQd1FADpRl0J76iRcfzRPCpg5KPEhDWqXfgV5w+eJue5j5caqFv9jKZlsOTJyzYVenXQthoHRFit
TZWESTy+1Dw181bI+99+JXRrQ5SLraioKan99gbd32//6vi7oI8VMHFs7b+90aY0MNScYC7N2N5G
vR1SyXTz24tdqBDbj//tI/aQFwLQms1TYI2aabHAYNGspQ3KrNUMFc1wZsX5LVZn8QXm27OhkThN
WwrYeeycxQAGUIzFgR0/2blS490JulWdFXB56EtbtFxRukZzhZ7vFBFhJBtsSWLjCaFFuf51nHDw
IyMn30ROQXebGCngLIWuMgjO09Y/N2H04M1JkRdlK+BMjXEYhFStsqRZkxPo53XvL4vKiufYFjlS
dytcyJkx0S1VSGD6CKXTeEa1AKoAomDxXR+UUCl6NA5YlGeBpo7U1warMCoQYR/sFCfKzqUspEBv
enP26E3vduMhAP1BF62Yp0691SIgLfLgzZUUv8QsSRYDCkqcN2qwotvLqWriLIL14pRtLp0ODYa5
di130xiLskTucalxms+5FN/JHWi1gHoQGhwwfK/JE9Wpp2fmOnJq0iXomGySKv2gJTK5vKQEccJ9
JveNtpmEzavhRDZNG1CDWjsrkuw1F+lVKV+6mljlKqmK2i8jk7pnrN+HCtZcYaEesOW+LUiqofWd
AZiJ6GCnlD41ZzSKgT8s7mDr9aAfJnForSHwFjRPEKRym25X9uYmCHeNAJbvqu2VU2t4t0A9sgO4
Vz0E4vSeYjz5fgJOoHGSux6dYhUe17Spmycvtrfjx2YW0h4w5nCChs7u+Ri+pRiHUsGnEdc/OqBX
wbrDeZTjW3r4DxpAO95u8R6RH5OanTUdite2UB8rvqEeUBgZVfeQxy0/ez017FTcFtV5WvvGhEIl
oKG+fBi/3VSj3HARGsawtIdqbzbu1pYIzlP0mCjtotqDUl5zGbgWmRtWjbK+yxzin4HHI8pGodhM
vsurbtkI1Ak9v34t24rwijyXCjhnJfrXI9qjrHYi6Jy5LscV+5m1FmCZfQFI26NRY+SjgqIfH0II
s3RMcMNCXTLwUXX18Hd0yCrw5inAaSn9LhP2i+Hqw1mZUYNSwN9M0batYAqgLWa3OXFfhU6t5BVU
HJZ6TZkeorIOf8JqYEf4BoarhND6KCpJLyNKcd+LCwyOkoGvkNDZG6eORpG6z2HgN6r0dBmnZKlw
Se2JWeuPktHO3Mq4VepgSZdSuxC04IKmwshRUPN2FAq+DsglA3zjeD+K1E8WhVdA7k9LRLSth6aQ
9+yV6ixJ1c9NWuD57PCd86IZXQlfQoyRJzB1XVFAsG0xV9ecYmdoIQWE3iCwUa/cJIOE2ubFgnoN
MjOBjjY6NW8DE9xNVAXPfQK6T5SY1JVfzJBC6DAgYhSnGHXqyFrgQwkAjkaEzF2cqZ07gQ35NABx
m6S2hbaefT7Y+Y1Tq69t3MCbQLSYgBozuArVOG1Uf+Qt3zcRPA3LV1GCmLK0e8PnIXX8hscxvS9M
5coGCbaAEYLiGtDuKL8nyYJqQO9+tKdHcqDFXNl2EN0NSSnjWN/RUddYpBR/bWQUZwNi3KaZY5QJ
ZtYvG0Jn35/ln+V6yGd67HCq+twSqzjTzfQBlvalhuvgjDICeqQPZZOvhdZeVYq78KuR5CAsDc+/
Gjghdj/4j+4CT88XllGMYSrNO0vSlq4Lb6KScjbOYIzdybZssexLg8IIhJmJtaKa/Sh5Kpwfi8P8
LAT4XRTGU04IVuqJylkaYr9n3eS28WyZdG5YNolaH0Q6XGf51hTpvNcoA0Kjo+LHG4Ee0gjOncdx
wUMLnde+PZdQ4VM1adOVYGu9WoOUZs6kPtjjbrayDUxUUAab1Qa1ODR9t71DJYZgQcwwrbzDewAS
aSjdxGF0njXPkusUE6upABnJ6z4PNBxHXXWCzt2lg4CYWtbYcmKUBDoee3UTXTBVWoVYcFGnujZM
Y6tG1XVSS5MkMWYwF66On9tXEVDmEHy1UUWLwkxvvFJOJwJUgjIQcmuyz+pEy3FCgEREFPYYRkV3
JhBpuq4uXtkJZEO7WqYWfpEdNZVJp1Nk0wUuVfVNafIsgSiFCFokF3bi3BhAOdW+LZaxtsc8AakI
XX/BfWnb9nRti/wuQImoLLwzHbVxFTNw32NX7OytRTVJBWLHowvNni7svsRrTOrNp8qyvljRs5yi
eEfvbIfWOJQaRHwTU4HgSte9kFdsri1FYSqsnbwa2uKJMu6ITg1II6tlwkYrJfk+cPFfy9qrwtYx
F9NQNAJiBq0UUg8xyLknuxucana6rD1kKDgYMV+A2HLt92Y0A2f81OOiOwG3OUpFTjLaMBOJ8ikx
+Zzu6ybQUbeIaXfWlIzrKLsLmg7dzhtZr15klxhHQLxuS9QqEDdt6mWE84bMYaB4tGy0fp2BG+e+
UJe00B6e5nAzogLhjqCnJ5YFYlnAikRWBlV135/3svaYD/LYvXLOUtQ4E9AJtYljlavTS5GhG+XZ
56BuHsqwkqc4mFypHo54iFVft1XyiigHrXetfrSifF5W5XPea09xntwnEWEBTO3caD4jL4V4WIL2
cZQlC/JHkwPA76YRRuIehEqb7gQcPRoNSfGscz8dCzqDR0O/S5U5nqzhyupv3UCqroNUPs+6mZBz
XBuzTsUtGoFGTppkRt42TDHr3aTqzDe5o1ndoYHT+qwEvUDS14fmJrKZn/gyDa+KvqQS7qscRIDD
QUFbTF0YVX4hx/SLNSYGOEGA+GVL/1a4n0tA2XKfnyUVkY9mcVICITmj8rrVJdmDbrHGLXffNqHG
VO+sXtlTNEM7sm2Wkg2mQY2Tl/H5dsAfQ8IzppTYsmksUPPrNGOH4Py68Rp2H4MuXKv257pJp80q
jHhiCLNnK61XrlnpV2UdkoAK6SXNGUWX7pORaVDmEIoRP0b5RnsAGrDSEqMYbVr6tUfJ+Bjum9Wr
MKhPVS4iSbakjEfzVdI4BCo5WyZ6akpYvUjQtigxK88lVKkB1bLBBjeJpZsBkGcqCt0G1qGsoWQN
K2mDSutdiOrQAmdZBDytrQyp4KymU6LGY9tsoCOT0iBNnZ3tG4+yR1/AdRBHBnFcyc2ZUVrhXMkx
Jao9iJNJdujzhC1DDNcJooumHyLJGYdnKekQVQVaIZWVYw4YgGrCELD0h0lo6jMTbCKFpGCOgPgq
gSqg0eGfolZlQB+3xITuQbtMJf0BtZcWhTMcTwIsD6em/5CL4aomiFw6lkB2QYTXhEBgFHrzEeDN
qsDCBRlKr0CZDG2HVKXHXY/S0iAlo/qyp7ja1HnHlgFYnHIFBH72FW6uhu2rd5Pnbj7HI8/BmmCB
OD5Y7fJRDIEybzt1mEkAk0p7pICgs6Go6PPTPdmg/VBt6N7A/x1eaQadZSVZRVrql4rTmEvV6u5Y
CjD5UN7S2xYqY4q6SnDXyohLAt9xp37CQYbxzzzo2nQGPAziHtpuRM18c7aodQJ2yOmp+5Q4L9O7
qQm/cGhZNqYEYMqwkaQJknyVuWvc6UH9kxDKOaj+BiA18aKGoW5obO0eYEgK/SaibrWk5ywvGyW8
gdX3nLkh7GN9bYeXBUn2da0MZ53nqmtaZpWMWotbxUQ2HFhQLuARIjK91rIB2LusT4YsACtFNS+r
Y+JIT54glH1XURZqBZw5GN058vSAqIv7qsTBXNUf7ezFQCphJpW+M5GFfxP7w02iUqYr6Fmi7tXe
OOG1lbpnAzURU6IshrT3mVFH7QK1zS/FgNPJKN3CtgwDDF7+WtfrL8KOQb87Pb6K8p0mPSGBc5Ax
Km4TkZypCcgZtfHPURwZ5rYrdMJ3de63yaUYovuRJ+8kdkYHAzzBUM7Qk0sWErbyizpzV21ZXTZK
J8+0XlAcrKqF4yn+nHo0VuUhlLtBldkT+2TmqZwh3DVim2BdIutOURT+Fn7cQ2ovjQ4N2jQxl1Z3
T3mGGiEg9AXUkOdE0JaJM+e27cxHRaD7Uud3dQLHHSxMsZRi4xJcL7Xo/lUpqMhGSHI4BV0bNzL8
aVxj62pL6yGT62Vo1S0sJVdH956DRIrKLRoDyKJAyZqhWr2o0H/JbWr1rhXsYRVORB0/thHwJ6d+
ghG8SKqCvnzm5ARU7QUNcfym6BzIuWtc05s11eRgJI01xXoTyd8agkNL+ukO8aocMH/x0ZqLBwSG
0e9TcAgWV9geEGhR6tTVhVf6y6ZFBzzrlGe0jEF7Y+Udu8GKs89dpspdbWvxlDYx4JMoRgFM8mAC
x9tA9zyis+baTsRtY76WQQwFFb1wovXnrKofjWDqZEV8EenY4Vb8fwCyNLHNKMJpdjhX5Zo0VyBm
mQhtQ7t7FWICXmEGXuJuiU8J/uCKhV5VcFF0cwPzcN8HHh2rwyTTCnVmy5gJV97UqZMveYIAgl27
Ckh341kbXcnDGL3xxlduPA3H8q7Fu7zsjcf62UpxNA9zukmUGGsTwRh9pIdjfo7YfIYqPClt2N5Z
en7hCcNfWpYxqUbndD2/80cndRtLdUPgre7z/BLw4bdeCZzX65E3Xoxu7KBklgJ79gSbdkXFr53+
1u3gwj/V3St9dHRXRmt3C4/3RjRX5WhiW3R1M4u6OJh6oyf8iKi2R5d4SceLANt4pI9aJBlZuSWW
8nWKt7yPybyvRCuaOVDr+xYXEmklsqa+DkdnehHgUQ9BmuQbuhLm9Uf08f9/hPa3bzDbV/t5UoFZ
va4PRX9zKGsEHt7cHMd3t6SW1S79z/7ozwf65XD85F2fHf7xX/s/wnzruo3zyQnk+3hNxwv+syGi
Pd+rfmVs0NlC17FLEaQIXw0rfyErpzlyfFuiofHJwMZKYN6lqrqtfsWYfzdHfzQLf/4Fv07nn//N
yTd4gapdjbfB9dMTM0+u+q/NwQ8jfDcH9icNRzdSX90WwtJHRPn3c2Bbn0Y7RUsYsmZbsgaCfZz0
//s5+MOFoKqKhmXS+1aC8glUvwnPSMbnAmznD5Ngf1JRi6OpJsuGxUr4Out/o0lgiRo/msH+u4+D
Jj4hxCJbMp0qFcqCxYDfLwVT52kAnq9ZdMN19UiB+HstBWZhZEy8aylo8icFkz7TMiyDJ18bH/qT
WdA+UZOwFVmT5XEOxNe19zdaCwhmyn9xW/jhofpuW4DuAtlEZblbULd0A9u872fBUj9pbBk6ZBTb
1r4yZf5ua8FQ3vtEqDgaY2esCw00kC2OZsffz4Jpf1KgDJqYV1oqW4fCLP29ZkHBcvJHZtS/vS/w
RChMg6mapg2HabSv/H4WLGZBt0zDZHdUbP1vOAscbN/OrZfuv7Gf/jWA+TeCBU35pAtTmHhby6Y+
fs/TWbDtT5aiKGyecNG+7Z5/dS38hc3j1+CLEDZ6PYZd/qH8vejsj/7gLd74+f1vscb69R//NQYU
J384RmFfP/u3qOyfJ9vGMRb47s232OD4Od/++bcv+PNHn3zW27d6++XKPxT74mX08htD0W+XebmP
id3+J9o/7+P9987mBHLck9+u5Kfg8ddz4V8MXIY/jKthufjucQvwKsnpwPYYuLx/4HCflPvybaTx
NrI82fveO/J0H/lfyKT9k6v+Gni/e2x4a8X+NX27yvGqTUMl+nz/yElyeKn8l7p6G+w4uGmzb713
8NkBY6B9cXgbaRzZstQPmOyZD1/df6l+Sb/8ArOmjp9Ppx02xQeswgWz7r+e3M9xz4Kx+t6ZWR5S
uvOnI38NRN478ooZ9/23Kzwub5WI5O0Xv5sn/qVHff26904WoKLR+P+AcSMMoVL/9In8ehC/dy7W
yau//2EXIR7/gPu3TtvTm0e6Ryz93gs++3lvQi3qA56XM66sfgn7t0s8rgti1g94SEa4QvnTNNvE
eG8f9p+vuYu9n5zsHoAmP+J4uRhpxvvk9e0Kx+kQmEl+wC282Jflni5ReUCT7HR8XfuIKfFfcH7c
nxY2qL18wBN+4XMWIPd6srIxdBit4t+7si98xFP5Hwj4t8GOk44V8geNntbFj0N/yIWnSfXDHiIU
07LfvsV/vrgvD8/F/ofo6Vvs/d7Zvjw0+9NzC3Sz+gHh0+Wh/WW1R4AXtPvJg8n49gc8PeP4m0NR
Hk52qm+VivfPSvvLxaHzX06OMQb/iBN9vPLPmIG8rYvj6v5aZ3r3dafQsX+Z7ouUk/L04VSPafvH
fMBsH/747AMAojby3uFRNz6dcaDJH3DwXIUREclpViOQDfmATfaqOLg/1o71sWT43qnYHpKk7KNm
/0OaIHRDfMB133jp6+GXdfnT2WYaxgfcyFsowL+/EKkqKx9wS79+wM8LcRz+A/KRHbN/KMvDyc5F
2W6sSr73zu4O3WlW+a3S/t5x76q993Z1456iUnr/gLP+/lDEnGwnI3MUf8BZfP97wkG6+hHr72HP
uZO41emjCYdK+4BH8+HwL1SP/rjP9pfypwe/fMET2z+J3FT8cD7gwXzoMXNP3JO7adjiXx7Iv1dp
+rVd9XP96a0V93v/7LS4Nv7FS3TYF//8XwAAAP//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F$3" max="960" min="1" page="15"/>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microsoft.com/office/2014/relationships/chartEx" Target="../charts/chartEx1.xml"/><Relationship Id="rId1" Type="http://schemas.openxmlformats.org/officeDocument/2006/relationships/chart" Target="../charts/chart4.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61912</xdr:rowOff>
    </xdr:from>
    <xdr:to>
      <xdr:col>4</xdr:col>
      <xdr:colOff>200025</xdr:colOff>
      <xdr:row>22</xdr:row>
      <xdr:rowOff>138112</xdr:rowOff>
    </xdr:to>
    <xdr:graphicFrame macro="">
      <xdr:nvGraphicFramePr>
        <xdr:cNvPr id="2" name="Chart 1">
          <a:extLst>
            <a:ext uri="{FF2B5EF4-FFF2-40B4-BE49-F238E27FC236}">
              <a16:creationId xmlns:a16="http://schemas.microsoft.com/office/drawing/2014/main" id="{59DA8B26-650F-43BF-9C26-97B120FAFF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628650</xdr:colOff>
      <xdr:row>3</xdr:row>
      <xdr:rowOff>52386</xdr:rowOff>
    </xdr:from>
    <xdr:to>
      <xdr:col>19</xdr:col>
      <xdr:colOff>647700</xdr:colOff>
      <xdr:row>26</xdr:row>
      <xdr:rowOff>19050</xdr:rowOff>
    </xdr:to>
    <xdr:graphicFrame macro="">
      <xdr:nvGraphicFramePr>
        <xdr:cNvPr id="4" name="Chart 3">
          <a:extLst>
            <a:ext uri="{FF2B5EF4-FFF2-40B4-BE49-F238E27FC236}">
              <a16:creationId xmlns:a16="http://schemas.microsoft.com/office/drawing/2014/main" id="{901FDC77-C33A-428F-AAC4-12A2EE0EAD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447675</xdr:colOff>
      <xdr:row>13</xdr:row>
      <xdr:rowOff>152400</xdr:rowOff>
    </xdr:from>
    <xdr:to>
      <xdr:col>18</xdr:col>
      <xdr:colOff>685800</xdr:colOff>
      <xdr:row>32</xdr:row>
      <xdr:rowOff>191557</xdr:rowOff>
    </xdr:to>
    <xdr:graphicFrame macro="">
      <xdr:nvGraphicFramePr>
        <xdr:cNvPr id="5" name="Chart 4">
          <a:extLst>
            <a:ext uri="{FF2B5EF4-FFF2-40B4-BE49-F238E27FC236}">
              <a16:creationId xmlns:a16="http://schemas.microsoft.com/office/drawing/2014/main" id="{4806457A-8787-484F-BAF5-665F72A790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4</xdr:row>
          <xdr:rowOff>28575</xdr:rowOff>
        </xdr:from>
        <xdr:to>
          <xdr:col>5</xdr:col>
          <xdr:colOff>314325</xdr:colOff>
          <xdr:row>41</xdr:row>
          <xdr:rowOff>0</xdr:rowOff>
        </xdr:to>
        <xdr:sp macro="" textlink="">
          <xdr:nvSpPr>
            <xdr:cNvPr id="5121" name="Scroll Bar 1" hidden="1">
              <a:extLst>
                <a:ext uri="{63B3BB69-23CF-44E3-9099-C40C66FF867C}">
                  <a14:compatExt spid="_x0000_s5121"/>
                </a:ext>
                <a:ext uri="{FF2B5EF4-FFF2-40B4-BE49-F238E27FC236}">
                  <a16:creationId xmlns:a16="http://schemas.microsoft.com/office/drawing/2014/main" id="{88173D8D-FA6C-422C-838A-77D9176C3F6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6</xdr:col>
      <xdr:colOff>21166</xdr:colOff>
      <xdr:row>3</xdr:row>
      <xdr:rowOff>0</xdr:rowOff>
    </xdr:from>
    <xdr:to>
      <xdr:col>14</xdr:col>
      <xdr:colOff>370416</xdr:colOff>
      <xdr:row>22</xdr:row>
      <xdr:rowOff>0</xdr:rowOff>
    </xdr:to>
    <xdr:graphicFrame macro="">
      <xdr:nvGraphicFramePr>
        <xdr:cNvPr id="3" name="Chart 2">
          <a:extLst>
            <a:ext uri="{FF2B5EF4-FFF2-40B4-BE49-F238E27FC236}">
              <a16:creationId xmlns:a16="http://schemas.microsoft.com/office/drawing/2014/main" id="{0E57B243-2E1A-412A-AADE-61BE19242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22</xdr:row>
      <xdr:rowOff>0</xdr:rowOff>
    </xdr:from>
    <xdr:to>
      <xdr:col>14</xdr:col>
      <xdr:colOff>359834</xdr:colOff>
      <xdr:row>41</xdr:row>
      <xdr:rowOff>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1292FD4D-2765-4AA4-BCEE-ED18D3DD45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021917" y="4931833"/>
              <a:ext cx="5863167" cy="4222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14</xdr:col>
      <xdr:colOff>338668</xdr:colOff>
      <xdr:row>22</xdr:row>
      <xdr:rowOff>0</xdr:rowOff>
    </xdr:from>
    <xdr:to>
      <xdr:col>22</xdr:col>
      <xdr:colOff>31751</xdr:colOff>
      <xdr:row>41</xdr:row>
      <xdr:rowOff>0</xdr:rowOff>
    </xdr:to>
    <xdr:graphicFrame macro="">
      <xdr:nvGraphicFramePr>
        <xdr:cNvPr id="6" name="Chart 5">
          <a:extLst>
            <a:ext uri="{FF2B5EF4-FFF2-40B4-BE49-F238E27FC236}">
              <a16:creationId xmlns:a16="http://schemas.microsoft.com/office/drawing/2014/main" id="{248420B8-5F11-474F-A161-DE7D773BBB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22</xdr:col>
      <xdr:colOff>21166</xdr:colOff>
      <xdr:row>2</xdr:row>
      <xdr:rowOff>1</xdr:rowOff>
    </xdr:from>
    <xdr:to>
      <xdr:col>26</xdr:col>
      <xdr:colOff>21166</xdr:colOff>
      <xdr:row>41</xdr:row>
      <xdr:rowOff>190501</xdr:rowOff>
    </xdr:to>
    <mc:AlternateContent xmlns:mc="http://schemas.openxmlformats.org/markup-compatibility/2006">
      <mc:Choice xmlns:a14="http://schemas.microsoft.com/office/drawing/2010/main" Requires="a14">
        <xdr:graphicFrame macro="">
          <xdr:nvGraphicFramePr>
            <xdr:cNvPr id="8" name="Industry">
              <a:extLst>
                <a:ext uri="{FF2B5EF4-FFF2-40B4-BE49-F238E27FC236}">
                  <a16:creationId xmlns:a16="http://schemas.microsoft.com/office/drawing/2014/main" id="{C7B5C9F7-52FC-46D5-8170-6FCC0DA9A693}"/>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dr:sp macro="" textlink="">
          <xdr:nvSpPr>
            <xdr:cNvPr id="0" name=""/>
            <xdr:cNvSpPr>
              <a:spLocks noTextEdit="1"/>
            </xdr:cNvSpPr>
          </xdr:nvSpPr>
          <xdr:spPr>
            <a:xfrm>
              <a:off x="17049749" y="465668"/>
              <a:ext cx="2751667" cy="8879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328083</xdr:colOff>
      <xdr:row>3</xdr:row>
      <xdr:rowOff>1</xdr:rowOff>
    </xdr:from>
    <xdr:to>
      <xdr:col>22</xdr:col>
      <xdr:colOff>0</xdr:colOff>
      <xdr:row>22</xdr:row>
      <xdr:rowOff>1</xdr:rowOff>
    </xdr:to>
    <xdr:graphicFrame macro="">
      <xdr:nvGraphicFramePr>
        <xdr:cNvPr id="9" name="Chart 8">
          <a:extLst>
            <a:ext uri="{FF2B5EF4-FFF2-40B4-BE49-F238E27FC236}">
              <a16:creationId xmlns:a16="http://schemas.microsoft.com/office/drawing/2014/main" id="{A2721F02-08CA-4F87-84FB-53759C6BC4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chael Summers" refreshedDate="43876.926750694445" createdVersion="6" refreshedVersion="6" minRefreshableVersion="3" recordCount="1000">
  <cacheSource type="worksheet">
    <worksheetSource ref="A1:H1001" sheet="fortune1000"/>
  </cacheSource>
  <cacheFields count="8">
    <cacheField name="Rank" numFmtId="0">
      <sharedItems containsSemiMixedTypes="0" containsString="0" containsNumber="1" containsInteger="1" minValue="1" maxValue="1000"/>
    </cacheField>
    <cacheField name="Company" numFmtId="0">
      <sharedItems count="996">
        <s v="Walmart"/>
        <s v="Exxon Mobil"/>
        <s v="Apple"/>
        <s v="Berkshire Hathaway"/>
        <s v="McKesson"/>
        <s v="UnitedHealth Group"/>
        <s v="CVS Health"/>
        <s v="General Motors"/>
        <s v="Ford Motor"/>
        <s v="AT&amp;T"/>
        <s v="General Electric"/>
        <s v="AmerisourceBergen"/>
        <s v="Verizon"/>
        <s v="Chevron"/>
        <s v="Costco"/>
        <s v="Fannie Mae"/>
        <s v="Kroger"/>
        <s v="Amazon.com"/>
        <s v="Walgreens Boots Alliance"/>
        <s v="HP"/>
        <s v="Cardinal Health"/>
        <s v="Express Scripts Holding"/>
        <s v="J.P. Morgan Chase"/>
        <s v="Boeing"/>
        <s v="Microsoft"/>
        <s v="Bank of America Corp."/>
        <s v="Wells Fargo"/>
        <s v="Home Depot"/>
        <s v="Citigroup"/>
        <s v="Phillips 66"/>
        <s v="IBM"/>
        <s v="Valero Energy"/>
        <s v="Anthem"/>
        <s v="Procter &amp; Gamble"/>
        <s v="State Farm Insurance Cos."/>
        <s v="Alphabet"/>
        <s v="Comcast"/>
        <s v="Target"/>
        <s v="Johnson &amp; Johnson"/>
        <s v="MetLife"/>
        <s v="Archer Daniels Midland"/>
        <s v="Marathon Petroleum"/>
        <s v="Freddie Mac"/>
        <s v="PepsiCo"/>
        <s v="United Technologies"/>
        <s v="Aetna"/>
        <s v="Loweâ€™s"/>
        <s v="UPS"/>
        <s v="AIG"/>
        <s v="Prudential Financial"/>
        <s v="Intel"/>
        <s v="Humana"/>
        <s v="Disney"/>
        <s v="Cisco Systems"/>
        <s v="Pfizer"/>
        <s v="Dow Chemical"/>
        <s v="Sysco"/>
        <s v="FedEx"/>
        <s v="Caterpillar"/>
        <s v="Lockheed Martin"/>
        <s v="New York Life Insurance"/>
        <s v="Coca-Cola"/>
        <s v="HCA Holdings"/>
        <s v="Ingram Micro"/>
        <s v="Energy Transfer Equity"/>
        <s v="Tyson Foods"/>
        <s v="American Airlines Group"/>
        <s v="Delta Air Lines"/>
        <s v="Nationwide"/>
        <s v="Johnson Controls"/>
        <s v="Best Buy"/>
        <s v="Merck"/>
        <s v="Liberty Mutual Insurance Group"/>
        <s v="Goldman Sachs Group"/>
        <s v="Honeywell International"/>
        <s v="Massachusetts Mutual Life Insurance"/>
        <s v="Oracle"/>
        <s v="Morgan Stanley"/>
        <s v="Cigna"/>
        <s v="United Continental Holdings"/>
        <s v="Allstate"/>
        <s v="TIAA"/>
        <s v="INTL FCStone"/>
        <s v="CHS"/>
        <s v="American Express"/>
        <s v="Gilead Sciences"/>
        <s v="Publix Super Markets"/>
        <s v="General Dynamics"/>
        <s v="TJX"/>
        <s v="ConocoPhillips"/>
        <s v="Nike"/>
        <s v="World Fuel Services"/>
        <s v="3M"/>
        <s v="Mondelez International"/>
        <s v="Exelon"/>
        <s v="Twenty-First Century Fox"/>
        <s v="Deere"/>
        <s v="Tesoro"/>
        <s v="Time Warner"/>
        <s v="Northwestern Mutual"/>
        <s v="DuPont"/>
        <s v="Avnet"/>
        <s v="Macyâ€™s"/>
        <s v="Enterprise Products Partners"/>
        <s v="Travelers Cos."/>
        <s v="Philip Morris International"/>
        <s v="Rite Aid"/>
        <s v="Tech Data"/>
        <s v="McDonaldâ€™s"/>
        <s v="Qualcomm"/>
        <s v="Sears Holdings"/>
        <s v="Capital One Financial"/>
        <s v="EMC"/>
        <s v="USAA"/>
        <s v="Duke Energy"/>
        <s v="Time Warner Cable"/>
        <s v="Halliburton"/>
        <s v="Northrop Grumman"/>
        <s v="Arrow Electronics"/>
        <s v="Raytheon"/>
        <s v="Plains GP Holdings"/>
        <s v="US Foods Holding"/>
        <s v="AbbVie"/>
        <s v="Centene"/>
        <s v="Community Health Systems"/>
        <s v="Alcoa"/>
        <s v="International Paper"/>
        <s v="Emerson Electric"/>
        <s v="Union Pacific"/>
        <s v="Amgen"/>
        <s v="U.S. Bancorp"/>
        <s v="Staples"/>
        <s v="Danaher"/>
        <s v="Whirlpool"/>
        <s v="Aflac"/>
        <s v="AutoNation"/>
        <s v="Progressive"/>
        <s v="Abbott Laboratories"/>
        <s v="Dollar General"/>
        <s v="Tenet Healthcare"/>
        <s v="Eli Lilly"/>
        <s v="Southwest Airlines"/>
        <s v="Penske Automotive Group"/>
        <s v="ManpowerGroup"/>
        <s v="Kohlâ€™s"/>
        <s v="Starbucks"/>
        <s v="Paccar"/>
        <s v="Cummins"/>
        <s v="Altria Group"/>
        <s v="Xerox"/>
        <s v="Kimberly-Clark"/>
        <s v="Hartford Financial Services Group"/>
        <s v="Kraft Heinz"/>
        <s v="Lear"/>
        <s v="Fluor"/>
        <s v="AECOM"/>
        <s v="Facebook"/>
        <s v="Jabil Circuit"/>
        <s v="CenturyLink"/>
        <s v="Supervalu"/>
        <s v="General Mills"/>
        <s v="Southern"/>
        <s v="NextEra Energy"/>
        <s v="Thermo Fisher Scientific"/>
        <s v="American Electric Power"/>
        <s v="PG&amp;E Corp."/>
        <s v="NGL Energy Partners"/>
        <s v="Bristol-Myers Squibb"/>
        <s v="Goodyear Tire &amp; Rubber"/>
        <s v="Nucor"/>
        <s v="PNC Financial Services Group"/>
        <s v="Health Net"/>
        <s v="Micron Technology"/>
        <s v="Colgate-Palmolive"/>
        <s v="Freeport-McMoRan"/>
        <s v="ConAgra Foods"/>
        <s v="Gap"/>
        <s v="Baker Hughes"/>
        <s v="Bank of New York Mellon Corp."/>
        <s v="Dollar Tree"/>
        <s v="Whole Foods Market"/>
        <s v="PPG Industries"/>
        <s v="Genuine Parts"/>
        <s v="Icahn Enterprises"/>
        <s v="Performance Food Group"/>
        <s v="Omnicom Group"/>
        <s v="DISH Network"/>
        <s v="FirstEnergy"/>
        <s v="Monsanto"/>
        <s v="AES"/>
        <s v="CarMax"/>
        <s v="National Oilwell Varco"/>
        <s v="NRG Energy"/>
        <s v="Western Digital"/>
        <s v="Marriott International"/>
        <s v="Office Depot"/>
        <s v="Nordstrom"/>
        <s v="Kinder Morgan"/>
        <s v="Aramark"/>
        <s v="DaVita HealthCare Partners"/>
        <s v="Molina Healthcare"/>
        <s v="WellCare Health Plans"/>
        <s v="CBS"/>
        <s v="Visa"/>
        <s v="Lincoln National"/>
        <s v="Ecolab"/>
        <s v="Kellogg"/>
        <s v="C.H. Robinson Worldwide"/>
        <s v="Textron"/>
        <s v="Loews"/>
        <s v="Illinois Tool Works"/>
        <s v="Synnex"/>
        <s v="Viacom"/>
        <s v="HollyFrontier"/>
        <s v="Land Oâ€™Lakes"/>
        <s v="Devon Energy"/>
        <s v="PBF Energy"/>
        <s v="Yum Brands"/>
        <s v="Texas Instruments"/>
        <s v="CDW"/>
        <s v="Waste Management"/>
        <s v="Marsh &amp; McLennan"/>
        <s v="Chesapeake Energy"/>
        <s v="Parker-Hannifin"/>
        <s v="Occidental Petroleum"/>
        <s v="Guardian Life Ins. Co. of America"/>
        <s v="Farmers Insurance Exchange"/>
        <s v="J.C. Penney"/>
        <s v="Consolidated Edison"/>
        <s v="Cognizant Technology Solutions"/>
        <s v="VF"/>
        <s v="Ameriprise Financial"/>
        <s v="Computer Sciences"/>
        <s v="L Brands"/>
        <s v="Jacobs Engineering Group"/>
        <s v="Principal Financial"/>
        <s v="Ross Stores"/>
        <s v="Bed Bath &amp; Beyond"/>
        <s v="CSX"/>
        <s v="Toys â€œRâ€ Us"/>
        <s v="Las Vegas Sands"/>
        <s v="Leucadia National"/>
        <s v="Dominion Resources"/>
        <s v="United States Steel"/>
        <s v="L-3 Communications"/>
        <s v="Edison International"/>
        <s v="Entergy"/>
        <s v="ADP"/>
        <s v="First Data"/>
        <s v="BlackRock"/>
        <s v="WestRock"/>
        <s v="Voya Financial"/>
        <s v="Sherwin-Williams"/>
        <s v="Hilton Worldwide Holdings"/>
        <s v="R.R. Donnelley &amp; Sons"/>
        <s v="Stanley Black &amp; Decker"/>
        <s v="Xcel Energy"/>
        <s v="Murphy USA"/>
        <s v="CBRE Group"/>
        <s v="D.R. Horton"/>
        <s v="Estee Lauder"/>
        <s v="Praxair"/>
        <s v="Biogen"/>
        <s v="State Street Corp."/>
        <s v="Unum Group"/>
        <s v="Reynolds American"/>
        <s v="Group 1 Automotive"/>
        <s v="Henry Schein"/>
        <s v="Hertz Global Holdings"/>
        <s v="Norfolk Southern"/>
        <s v="Reinsurance Group of America"/>
        <s v="Public Service Enterprise Group"/>
        <s v="BB&amp;T Corp."/>
        <s v="DTE Energy"/>
        <s v="Assurant"/>
        <s v="Global Partners"/>
        <s v="Huntsman"/>
        <s v="Becton Dickinson"/>
        <s v="Sempra Energy"/>
        <s v="AutoZone"/>
        <s v="Navistar International"/>
        <s v="Precision Castparts"/>
        <s v="Discover Financial Services"/>
        <s v="Liberty Interactive"/>
        <s v="W.W. Grainger"/>
        <s v="Baxter International"/>
        <s v="Stryker"/>
        <s v="Air Products &amp; Chemicals"/>
        <s v="Western Refining"/>
        <s v="Universal Health Services"/>
        <s v="Owens &amp; Minor"/>
        <s v="Charter Communications"/>
        <s v="Advance Auto Parts"/>
        <s v="MasterCard"/>
        <s v="Applied Materials"/>
        <s v="Eastman Chemical"/>
        <s v="Sonic Automotive"/>
        <s v="Ally Financial"/>
        <s v="CST Brands"/>
        <s v="eBay"/>
        <s v="Lennar"/>
        <s v="GameStop"/>
        <s v="Reliance Steel &amp; Aluminum"/>
        <s v="Hormel Foods"/>
        <s v="Celgene"/>
        <s v="Genworth Financial"/>
        <s v="PayPal Holdings"/>
        <s v="Priceline Group"/>
        <s v="MGM Resorts International"/>
        <s v="Autoliv"/>
        <s v="Fidelity National Financial"/>
        <s v="Republic Services"/>
        <s v="Corning"/>
        <s v="Peter Kiewit Sonsâ€™"/>
        <s v="Univar"/>
        <s v="Mosaic"/>
        <s v="Core-Mark Holding"/>
        <s v="Thrivent Financial for Lutherans"/>
        <s v="Cameron International"/>
        <s v="HD Supply Holdings"/>
        <s v="Crown Holdings"/>
        <s v="EOG Resources"/>
        <s v="Veritiv"/>
        <s v="Anadarko Petroleum"/>
        <s v="Laboratory Corp. of America"/>
        <s v="Pacific Life"/>
        <s v="News Corp."/>
        <s v="Jarden"/>
        <s v="SunTrust Banks"/>
        <s v="Avis Budget Group"/>
        <s v="Broadcom"/>
        <s v="American Family Insurance Group"/>
        <s v="Level 3 Communications"/>
        <s v="Tenneco"/>
        <s v="United Natural Foods"/>
        <s v="Dean Foods"/>
        <s v="Campbell Soup"/>
        <s v="Mohawk Industries"/>
        <s v="BorgWarner"/>
        <s v="PVH"/>
        <s v="Ball"/>
        <s v="Oâ€™Reilly Automotive"/>
        <s v="Eversource Energy"/>
        <s v="Franklin Resources"/>
        <s v="Masco"/>
        <s v="Lithia Motors"/>
        <s v="KKR"/>
        <s v="Oneok"/>
        <s v="Newmont Mining"/>
        <s v="PPL"/>
        <s v="SpartanNash"/>
        <s v="Quanta Services"/>
        <s v="XPO Logistics"/>
        <s v="Ralph Lauren"/>
        <s v="Interpublic Group"/>
        <s v="Steel Dynamics"/>
        <s v="WESCO International"/>
        <s v="Quest Diagnostics"/>
        <s v="Boston Scientific"/>
        <s v="AGCO"/>
        <s v="Foot Locker"/>
        <s v="Hershey"/>
        <s v="CenterPoint Energy"/>
        <s v="Williams"/>
        <s v="Dickâ€™s Sporting Goods"/>
        <s v="Live Nation Entertainment"/>
        <s v="Mutual of Omaha Insurance"/>
        <s v="W.R. Berkley"/>
        <s v="LKQ"/>
        <s v="Avon Products"/>
        <s v="Darden Restaurants"/>
        <s v="Kindred Healthcare"/>
        <s v="Weyerhaeuser"/>
        <s v="Caseyâ€™s General Stores"/>
        <s v="Sealed Air"/>
        <s v="Fifth Third Bancorp"/>
        <s v="Dover"/>
        <s v="Huntington Ingalls Industries"/>
        <s v="Netflix"/>
        <s v="Dillardâ€™s"/>
        <s v="EMCOR Group"/>
        <s v="Jones Financial"/>
        <s v="AK Steel Holding"/>
        <s v="UGI"/>
        <s v="Expedia"/>
        <s v="salesforce.com"/>
        <s v="Targa Resources"/>
        <s v="Apache"/>
        <s v="Spirit AeroSystems Holdings"/>
        <s v="Expeditors International of Washington"/>
        <s v="Anixter International"/>
        <s v="Fidelity National Information Services"/>
        <s v="Asbury Automotive Group"/>
        <s v="Hess"/>
        <s v="Ryder System"/>
        <s v="Terex"/>
        <s v="Coca-Cola European Partners"/>
        <s v="Auto-Owners Insurance"/>
        <s v="Cablevision Systems"/>
        <s v="Symantec"/>
        <s v="Charles Schwab"/>
        <s v="Calpine"/>
        <s v="CMS Energy"/>
        <s v="Alliance Data Systems"/>
        <s v="JetBlue Airways"/>
        <s v="Discovery Communications"/>
        <s v="Trinity Industries"/>
        <s v="Sanmina"/>
        <s v="NCR"/>
        <s v="FMC Technologies"/>
        <s v="Erie Insurance Group"/>
        <s v="Rockwell Automation"/>
        <s v="Dr Pepper Snapple Group"/>
        <s v="iHeartMedia"/>
        <s v="Tractor Supply"/>
        <s v="J.B. Hunt Transport Services"/>
        <s v="Commercial Metals"/>
        <s v="Owens-Illinois"/>
        <s v="Harman International Industries"/>
        <s v="Baxalta"/>
        <s v="American Financial Group"/>
        <s v="NetApp"/>
        <s v="Graybar Electric"/>
        <s v="Oshkosh"/>
        <s v="Ameren"/>
        <s v="A-Mark Precious Metals"/>
        <s v="Barnes &amp; Noble"/>
        <s v="Dana Holding"/>
        <s v="Constellation Brands"/>
        <s v="LifePoint Health"/>
        <s v="Zimmer Biomet Holdings"/>
        <s v="Harley-Davidson"/>
        <s v="PulteGroup"/>
        <s v="Newell Brands"/>
        <s v="Avery Dennison"/>
        <s v="Jones Lang LaSalle"/>
        <s v="WEC Energy Group"/>
        <s v="Marathon Oil"/>
        <s v="TravelCenters of America"/>
        <s v="United Rentals"/>
        <s v="HRG Group"/>
        <s v="Old Republic International"/>
        <s v="Windstream Holdings"/>
        <s v="Starwood Hotels &amp; Resorts"/>
        <s v="Delek US Holdings"/>
        <s v="Packaging Corp. of America"/>
        <s v="Quintiles Transnational Holdings"/>
        <s v="Hanesbrands"/>
        <s v="Realogy Holdings"/>
        <s v="Mattel"/>
        <s v="Motorola Solutions"/>
        <s v="J.M. Smucker"/>
        <s v="Regions Financial"/>
        <s v="Clorox"/>
        <s v="Ingredion"/>
        <s v="Genesis Healthcare"/>
        <s v="Peabody Energy"/>
        <s v="Alaska Air Group"/>
        <s v="Seaboard"/>
        <s v="Frontier Communications"/>
        <s v="Amphenol"/>
        <s v="Lansing Trade Group"/>
        <s v="SanDisk"/>
        <s v="St. Jude Medical"/>
        <s v="Wyndham Worldwide"/>
        <s v="Kelly Services"/>
        <s v="Western Union"/>
        <s v="Envision Healthcare Holdings"/>
        <s v="Visteon"/>
        <s v="Arthur J. Gallagher"/>
        <s v="Host Hotels &amp; Resorts"/>
        <s v="Insight Enterprises"/>
        <s v="Energy Future Holdings"/>
        <s v="Markel"/>
        <s v="Essendant"/>
        <s v="CH2M Hill"/>
        <s v="Western &amp; Southern Financial Group"/>
        <s v="Owens Corning"/>
        <s v="S&amp;P Global"/>
        <s v="Raymond James Financial"/>
        <s v="NiSource"/>
        <s v="Airgas"/>
        <s v="ABM Industries"/>
        <s v="Citizens Financial Group"/>
        <s v="Booz Allen Hamilton Holding"/>
        <s v="Simon Property Group"/>
        <s v="Domtar"/>
        <s v="Rockwell Collins"/>
        <s v="Lam Research"/>
        <s v="Fiserv"/>
        <s v="Spectra Energy"/>
        <s v="Navient"/>
        <s v="Big Lots"/>
        <s v="Telephone &amp; Data Systems"/>
        <s v="First American Financial"/>
        <s v="NVR"/>
        <s v="Cincinnati Financial"/>
        <s v="Burlington Stores"/>
        <s v="KBR"/>
        <s v="Neiman Marcus Group"/>
        <s v="Robert Half International"/>
        <s v="Leidos Holdings"/>
        <s v="Harris"/>
        <s v="Hanover Insurance Group"/>
        <s v="Pepco Holdings"/>
        <s v="Nvidia"/>
        <s v="Alleghany"/>
        <s v="M&amp;T Bank Corp."/>
        <s v="Rush Enterprises"/>
        <s v="Williams-Sonoma"/>
        <s v="Yahoo"/>
        <s v="Sonoco Products"/>
        <s v="Brookdale Senior Living"/>
        <s v="Tutor Perini"/>
        <s v="Michaels Cos."/>
        <s v="Berry Plastics Group"/>
        <s v="Juniper Networks"/>
        <s v="Northern Trust"/>
        <s v="YRC Worldwide"/>
        <s v="Pioneer Natural Resources"/>
        <s v="Ascena Retail Group"/>
        <s v="Adobe Systems"/>
        <s v="Liberty Media"/>
        <s v="American Tower"/>
        <s v="Zoetis"/>
        <s v="Polaris Industries"/>
        <s v="Intercontinental Exchange"/>
        <s v="Quad/Graphics"/>
        <s v="AmTrust Financial Services"/>
        <s v="Activision Blizzard"/>
        <s v="Fortune Brands Home &amp; Security"/>
        <s v="Caesars Entertainment"/>
        <s v="Post Holdings"/>
        <s v="Blackstone Group"/>
        <s v="Magellan Health"/>
        <s v="RPM International"/>
        <s v="Flowserve"/>
        <s v="KeyCorp"/>
        <s v="MRC Global"/>
        <s v="Keurig Green Mountain"/>
        <s v="Electronic Arts"/>
        <s v="General Cable"/>
        <s v="Cintas"/>
        <s v="Chipotle Mexican Grill"/>
        <s v="Levi Strauss"/>
        <s v="Talen Energy"/>
        <s v="Westlake Chemical"/>
        <s v="Hasbro"/>
        <s v="Securian Financial Group"/>
        <s v="Intuit"/>
        <s v="Cerner"/>
        <s v="Coty"/>
        <s v="Valspar"/>
        <s v="SCANA"/>
        <s v="Bloominâ€™ Brands"/>
        <s v="MDU Resources Group"/>
        <s v="Patterson"/>
        <s v="Orbital ATK"/>
        <s v="FM Global"/>
        <s v="Hyatt Hotels"/>
        <s v="CA"/>
        <s v="VWR"/>
        <s v="Science Applications International"/>
        <s v="CF Industries Holdings"/>
        <s v="McCormick"/>
        <s v="LPL Financial Holdings"/>
        <s v="Alon USA Energy"/>
        <s v="Swift Transportation"/>
        <s v="Calumet Specialty Products Partners"/>
        <s v="MasTec"/>
        <s v="T. Rowe Price"/>
        <s v="Andersons"/>
        <s v="Coach"/>
        <s v="Toll Brothers"/>
        <s v="Graphic Packaging Holding"/>
        <s v="Brunswick"/>
        <s v="Atmos Energy"/>
        <s v="Hexion"/>
        <s v="Watsco"/>
        <s v="Tiffany"/>
        <s v="Regeneron Pharmaceuticals"/>
        <s v="Avaya"/>
        <s v="Wynn Resorts"/>
        <s v="Bemis"/>
        <s v="Mead Johnson Nutrition"/>
        <s v="Tesla Motors"/>
        <s v="Agilent Technologies"/>
        <s v="Torchmark"/>
        <s v="Thor Industries"/>
        <s v="Cabelaâ€™s"/>
        <s v="Advanced Micro Devices"/>
        <s v="Ametek"/>
        <s v="Smart &amp; Final Stores"/>
        <s v="Colfax"/>
        <s v="Under Armour"/>
        <s v="Antero Resources"/>
        <s v="Nexeo Solutions Holdings"/>
        <s v="AGL Resources"/>
        <s v="Leggett &amp; Platt"/>
        <s v="Ulta Salon Cosmetics &amp; Fragrance"/>
        <s v="CIT Group"/>
        <s v="American Axle &amp; Manufacturing"/>
        <s v="Triumph Group"/>
        <s v="Dynegy"/>
        <s v="Fastenal"/>
        <s v="WhiteWave Foods"/>
        <s v="Welltower"/>
        <s v="Sally Beauty Holdings"/>
        <s v="CNO Financial Group"/>
        <s v="CommScope Holding"/>
        <s v="Axiall"/>
        <s v="Ingles Markets"/>
        <s v="Flowers Foods"/>
        <s v="USG"/>
        <s v="Silgan Holdings"/>
        <s v="Select Medical Holdings"/>
        <s v="Crown Castle International"/>
        <s v="Allegheny Technologies"/>
        <s v="HSN"/>
        <s v="Xylem"/>
        <s v="Zebra Technologies"/>
        <s v="Albemarle"/>
        <s v="Resolute Forest Products"/>
        <s v="Towers Watson"/>
        <s v="Boise Cascade"/>
        <s v="Greif"/>
        <s v="Team Health Holdings"/>
        <s v="Snap-on"/>
        <s v="Sprouts Farmers Market"/>
        <s v="Roper Technologies"/>
        <s v="First Solar"/>
        <s v="Pitney Bowes"/>
        <s v="ADT"/>
        <s v="Molson Coors Brewing"/>
        <s v="Builders FirstSource"/>
        <s v="Lexmark International"/>
        <s v="Carlisle"/>
        <s v="CalAtlantic Group"/>
        <s v="Martin Marietta Materials"/>
        <s v="Hub Group"/>
        <s v="American Eagle Outfitters"/>
        <s v="Abercrombie &amp; Fitch"/>
        <s v="Regal Beloit"/>
        <s v="Country Financial"/>
        <s v="Meritor"/>
        <s v="Tailored Brands"/>
        <s v="ON Semiconductor"/>
        <s v="Pinnacle West Capital"/>
        <s v="Ventas"/>
        <s v="Moodyâ€™s"/>
        <s v="Sprague Resources"/>
        <s v="FMC"/>
        <s v="Lennox International"/>
        <s v="Buckeye Partners"/>
        <s v="Urban Outfitters"/>
        <s v="Manitowoc"/>
        <s v="Analog Devices"/>
        <s v="Vulcan Materials"/>
        <s v="C.R. Bard"/>
        <s v="Murphy Oil"/>
        <s v="Nasdaq"/>
        <s v="Darling Ingredients"/>
        <s v="Church &amp; Dwight"/>
        <s v="Hubbell"/>
        <s v="Worthington Industries"/>
        <s v="PolyOne"/>
        <s v="Diplomat Pharmacy"/>
        <s v="Cooper-Standard Holdings"/>
        <s v="CME Group"/>
        <s v="Landstar System"/>
        <s v="CACI International"/>
        <s v="Westinghouse Air Brake Technologies"/>
        <s v="Rent-A-Center"/>
        <s v="Citrix Systems"/>
        <s v="Clean Harbors"/>
        <s v="Skyworks Solutions"/>
        <s v="Alliant Energy"/>
        <s v="TD Ameritrade Holding"/>
        <s v="TEGNA"/>
        <s v="IAC/InterActiveCorp"/>
        <s v="Fossil Group"/>
        <s v="NBTY"/>
        <s v="ScanSource"/>
        <s v="TreeHouse Foods"/>
        <s v="Aleris"/>
        <s v="Groupon"/>
        <s v="Aaronâ€™s"/>
        <s v="Joy Global"/>
        <s v="Ryerson Holding"/>
        <s v="Helmerich &amp; Payne"/>
        <s v="HealthSouth"/>
        <s v="Vantiv"/>
        <s v="Skechers U.S.A."/>
        <s v="American Water Works"/>
        <s v="Iasis Healthcare"/>
        <s v="Huntington Bancshares"/>
        <s v="Tempur Sealy International"/>
        <s v="EchoStar"/>
        <s v="CUNA Mutual Group"/>
        <s v="Brown-Forman"/>
        <s v="Noble Energy"/>
        <s v="Regal Entertainment Group"/>
        <s v="Consol Energy"/>
        <s v="Time"/>
        <s v="Varian Medical Systems"/>
        <s v="SkyWest"/>
        <s v="BGC Partners"/>
        <s v="Puget Energy"/>
        <s v="H&amp;R Block"/>
        <s v="Amerco"/>
        <s v="Brinkâ€™s"/>
        <s v="Oceaneering International"/>
        <s v="Steelcase"/>
        <s v="W.R. Grace"/>
        <s v="Metaldyne Performance Group"/>
        <s v="KB Home"/>
        <s v="International Flavors &amp; Fragrances"/>
        <s v="Genesco"/>
        <s v="Scripps Networks Interactive"/>
        <s v="American National Insurance"/>
        <s v="Scotts Miracle-Gro"/>
        <s v="Unisys"/>
        <s v="Carterâ€™s"/>
        <s v="NOW"/>
        <s v="Mercury General"/>
        <s v="Iron Mountain"/>
        <s v="Carlyle Group"/>
        <s v="Brinker International"/>
        <s v="Northern Tier Energy"/>
        <s v="LinkedIn"/>
        <s v="Service Corp. International"/>
        <s v="Stericycle"/>
        <s v="Sabre"/>
        <s v="Graham Holdings"/>
        <s v="Taylor Morrison Home"/>
        <s v="Cooper Tire &amp; Rubber"/>
        <s v="Old Dominion Freight Line"/>
        <s v="Warner Music Group"/>
        <s v="Green Plains"/>
        <s v="Alpha Natural Resources"/>
        <s v="Convergys"/>
        <s v="TECO Energy"/>
        <s v="IMS Health Holdings"/>
        <s v="MSC Industrial Direct"/>
        <s v="Systemax"/>
        <s v="Triple-S Management"/>
        <s v="StanCorp Financial Group"/>
        <s v="Universal Forest Products"/>
        <s v="Gannett"/>
        <s v="Amkor Technology"/>
        <s v="Linn Energy"/>
        <s v="Sentry Insurance Group"/>
        <s v="Weis Markets"/>
        <s v="Timken"/>
        <s v="Cabot"/>
        <s v="Univision Communications"/>
        <s v="Keysight Technologies"/>
        <s v="Olin"/>
        <s v="Cinemark Holdings"/>
        <s v="Cracker Barrel Old Country Store"/>
        <s v="Penn National Gaming"/>
        <s v="Comerica"/>
        <s v="AmSurg"/>
        <s v="DST Systems"/>
        <s v="Legg Mason"/>
        <s v="KLA-Tencor"/>
        <s v="Sanderson Farms"/>
        <s v="PriceSmart"/>
        <s v="Superior Energy Services"/>
        <s v="Bon-Ton Stores"/>
        <s v="KapStone Paper &amp; Packaging"/>
        <s v="Mednax"/>
        <s v="Total System Services"/>
        <s v="Global Payments"/>
        <s v="Diebold"/>
        <s v="Scientific Games"/>
        <s v="Applied Industrial Technologies"/>
        <s v="Equity Residential"/>
        <s v="Crane"/>
        <s v="Paychex"/>
        <s v="New Jersey Resources"/>
        <s v="B/E Aerospace"/>
        <s v="Equinix"/>
        <s v="Monster Beverage"/>
        <s v="TransDigm Group"/>
        <s v="Acuity Brands"/>
        <s v="Hologic"/>
        <s v="TrueBlue"/>
        <s v="Broadridge Financial Solutions"/>
        <s v="Verso"/>
        <s v="Wolverine World Wide"/>
        <s v="Hain Celestial Group"/>
        <s v="Heartland Payment Systems"/>
        <s v="Panera Bread"/>
        <s v="Continental Resources"/>
        <s v="Dentsply Sirona"/>
        <s v="ArcBest"/>
        <s v="Equifax"/>
        <s v="WGL Holdings"/>
        <s v="TriNet Group"/>
        <s v="Pinnacle Foods"/>
        <s v="Plexus"/>
        <s v="Kennametal"/>
        <s v="Chicoâ€™s FAS"/>
        <s v="Kar Auction Services"/>
        <s v="GNC Holdings"/>
        <s v="Crestwood Equity Partners"/>
        <s v="WABCO Holdings"/>
        <s v="DSW"/>
        <s v="Valmont Industries"/>
        <s v="Greenbrier Cos."/>
        <s v="Alexion Pharmaceuticals"/>
        <s v="Insperity"/>
        <s v="Hawaiian Electric Industries"/>
        <s v="Alere"/>
        <s v="ServiceMaster Global Holdings"/>
        <s v="Apollo Education Group"/>
        <s v="AMC Networks"/>
        <s v="Meritage Homes"/>
        <s v="Hyster-Yale Materials Handling"/>
        <s v="Caleres"/>
        <s v="PC Connection"/>
        <s v="Arch Coal"/>
        <s v="Mattress Firm Holding"/>
        <s v="HCP"/>
        <s v="Platform Specialty Products"/>
        <s v="Benchmark Electronics"/>
        <s v="A.O. Smith"/>
        <s v="Lincoln Electric Holdings"/>
        <s v="Vornado Realty Trust"/>
        <s v="Teradata"/>
        <s v="Nortek"/>
        <s v="Moog"/>
        <s v="Beacon Roofing Supply"/>
        <s v="National General Holdings"/>
        <s v="Aretec Group"/>
        <s v="J.Crew Group"/>
        <s v="EnerSys"/>
        <s v="Autodesk"/>
        <s v="Great Plains Energy"/>
        <s v="Mutual of America Life Insurance"/>
        <s v="Edwards Lifesciences"/>
        <s v="Boston Properties"/>
        <s v="ITT"/>
        <s v="Affiliated Managers Group"/>
        <s v="Tops Holding"/>
        <s v="United Refining"/>
        <s v="Southwest Gas"/>
        <s v="Medical Mutual of Ohio"/>
        <s v="Westar Energy"/>
        <s v="Ciena"/>
        <s v="Vectren"/>
        <s v="Edgewell Personal Care"/>
        <s v="Armstrong World Industries"/>
        <s v="Kansas City Southern"/>
        <s v="Enable Midstream Partners"/>
        <s v="Cliffs Natural Resources"/>
        <s v="General Growth Properties"/>
        <s v="California Resources"/>
        <s v="TRI Pointe Group"/>
        <s v="Mettler-Toledo International"/>
        <s v="A. Schulman"/>
        <s v="Toro"/>
        <s v="SPX FLOW"/>
        <s v="Intuitive Surgical"/>
        <s v="West"/>
        <s v="Public Storage"/>
        <s v="Xilinx"/>
        <s v="Stifel Financial"/>
        <s v="Donaldson"/>
        <s v="Granite Construction"/>
        <s v="Pool"/>
        <s v="Express"/>
        <s v="G-III Apparel Group"/>
        <s v="Kemper"/>
        <s v="EQT"/>
        <s v="Nationstar Mortgage Holdings"/>
        <s v="Parexel International"/>
        <s v="Columbia Sportswear"/>
        <s v="inVentiv Health"/>
        <s v="Hawaiian Holdings"/>
        <s v="AptarGroup"/>
        <s v="IHS Markit"/>
        <s v="Belden"/>
        <s v="Maxim Integrated Products"/>
        <s v="Coca-Cola Bottling"/>
        <s v="HNI"/>
        <s v="Vishay Intertechnology"/>
        <s v="Tetra Tech"/>
        <s v="Teledyne Technologies"/>
        <s v="Party City Holdco"/>
        <s v="Pinnacle Entertainment"/>
        <s v="Trimble Navigation"/>
        <s v="Penn Mutual Life Insurance"/>
        <s v="MPM Holdings"/>
        <s v="Sears Hometown &amp; Outlet Stores"/>
        <s v="Tupperware Brands"/>
        <s v="Alliance Holdings"/>
        <s v="Universal"/>
        <s v="Curtiss-Wright"/>
        <s v="Brocade Communications Systems"/>
        <s v="PerkinElmer"/>
        <s v="Wayfair"/>
        <s v="Nu Skin Enterprises"/>
        <s v="Genesis Energy"/>
        <s v="Synopsys"/>
        <s v="Amica Mutual Insurance"/>
        <s v="Carpenter Technology"/>
        <s v="Illumina"/>
        <s v="Sinclair Broadcast Group"/>
        <s v="Twitter"/>
        <s v="Dominoâ€™s Pizza"/>
        <s v="Zions Bancorp."/>
        <s v="Guess"/>
        <s v="Boyd Gaming"/>
        <s v="Akamai Technologies"/>
        <s v="Prologis"/>
        <s v="OGE Energy"/>
        <s v="Outerwall"/>
        <s v="OneMain Holdings"/>
        <s v="Magellan Midstream Partners"/>
        <s v="Knights of Columbus"/>
        <s v="Symetra Financial"/>
        <s v="Gartner"/>
        <s v="Fredâ€™s"/>
        <s v="Hovnanian Enterprises"/>
        <s v="Kirby"/>
        <s v="Microchip Technology"/>
        <s v="Herman Miller"/>
        <s v="Spirit Airlines"/>
        <s v="NewMarket"/>
        <s v="VCA"/>
        <s v="Selective Insurance Group"/>
        <s v="hhgregg"/>
        <s v="Popular"/>
        <s v="Waste Connections"/>
        <s v="Restoration Hardware"/>
        <s v="Cheesecake Factory"/>
        <s v="Mueller Industries"/>
        <s v="Maximus"/>
        <s v="TTM Technologies"/>
        <s v="Werner Enterprises"/>
        <s v="Engility Holdings"/>
        <s v="Rexnord"/>
        <s v="NuStar Energy"/>
        <s v="H.B. Fuller"/>
        <s v="Vista Outdoor"/>
        <s v="On Assignment"/>
        <s v="Verisk Analytics"/>
        <s v="Par Pacific Holdings"/>
        <s v="Alliance One International"/>
        <s v="Whiting Petroleum"/>
        <s v="Waters"/>
        <s v="Tower International"/>
        <s v="Woodward"/>
        <s v="Stewart Information Services"/>
        <s v="PharMerica"/>
        <s v="Wabash National"/>
        <s v="Ferrellgas Partners"/>
        <s v="Dycom Industries"/>
        <s v="IDEX"/>
        <s v="Bio-Rad Laboratories"/>
        <s v="QEP Resources"/>
        <s v="Griffon"/>
        <s v="American Greetings"/>
        <s v="Tribune Media"/>
        <s v="Rackspace Hosting"/>
        <s v="VeriFone Systems"/>
        <s v="Genesee &amp; Wyoming"/>
        <s v="99 Cents Only Stores"/>
        <s v="Roadrunner Transportation Systems"/>
        <s v="Super Micro Computer"/>
        <s v="First Republic Bank"/>
        <s v="Hill-Rom Holdings"/>
        <s v="Providence Service"/>
        <s v="Allison Transmission Holdings"/>
        <s v="Spire"/>
        <s v="WPX Energy"/>
        <s v="Century Aluminum"/>
        <s v="Adams Resources &amp; Energy"/>
        <s v="Nuance Communications"/>
        <s v="Primoris Services"/>
        <s v="Schnitzer Steel Industries"/>
        <s v="Delta Tucker Holdings"/>
        <s v="Hospitality Properties Trust"/>
        <s v="Cenveo"/>
        <s v="F5 Networks"/>
        <s v="BlueLinx Holdings"/>
        <s v="Revlon"/>
        <s v="DeVry Education Group"/>
        <s v="MDC Holdings"/>
        <s v="EP Energy"/>
        <s v="New York Community Bancorp"/>
        <s v="Portland General Electric"/>
        <s v="Wendyâ€™s"/>
        <s v="Briggs &amp; Stratton"/>
      </sharedItems>
    </cacheField>
    <cacheField name="Sector" numFmtId="0">
      <sharedItems/>
    </cacheField>
    <cacheField name="Industry" numFmtId="0">
      <sharedItems count="73">
        <s v="General Merchandisers"/>
        <s v="Petroleum Refining"/>
        <s v="Computers, Office Equipment"/>
        <s v="Insurance: Property and Casualty (Stock)"/>
        <s v="Wholesalers: Health Care"/>
        <s v="Health Care: Insurance and Managed Care"/>
        <s v="Food and Drug Stores"/>
        <s v="Motor Vehicles and Parts"/>
        <s v="Telecommunications"/>
        <s v="Industrial Machinery"/>
        <s v="Specialty Retailers: Other"/>
        <s v="Diversified Financials"/>
        <s v="Internet Services and Retailing"/>
        <s v="Health Care: Pharmacy and Other Services"/>
        <s v="Commercial Banks"/>
        <s v="Aerospace and Defense"/>
        <s v="Computer Software"/>
        <s v="Information Technology Services"/>
        <s v="Household and Personal Products"/>
        <s v="Insurance: Property and Casualty (Mutual)"/>
        <s v="Pharmaceuticals"/>
        <s v="Insurance: Life, Health (stock)"/>
        <s v="Food Production"/>
        <s v="Food Consumer Products"/>
        <s v="Mail, Package, and Freight Delivery"/>
        <s v="Semiconductors and Other Electronic Components"/>
        <s v="Entertainment"/>
        <s v="Network and Other Communications Equipment"/>
        <s v="Chemicals"/>
        <s v="Wholesalers: Food and Grocery"/>
        <s v="Construction and Farm Machinery"/>
        <s v="Insurance: Life, Health (Mutual)"/>
        <s v="Beverages"/>
        <s v="Health Care: Medical Facilities"/>
        <s v="Wholesalers: Electronics and Office Equipment"/>
        <s v="Pipelines"/>
        <s v="Airlines"/>
        <s v="Electronics, Electrical Equip."/>
        <s v="Specialty Retailers: Apparel"/>
        <s v="Mining, Crude-Oil Production"/>
        <s v="Apparel"/>
        <s v="Wholesalers: Diversified"/>
        <s v="Miscellaneous"/>
        <s v="Utilities: Gas and Electric"/>
        <s v="Tobacco"/>
        <s v="Food Services"/>
        <s v="Computer Peripherals"/>
        <s v="Oil and Gas Equipment, Services"/>
        <s v="Metals"/>
        <s v="Packaging, Containers"/>
        <s v="Railroads"/>
        <s v="Scientific,Photographic and Control Equipment"/>
        <s v="Automotive Retailing, Services"/>
        <s v="Medical Products and Equipment"/>
        <s v="Temporary Help"/>
        <s v="Engineering, Construction"/>
        <s v="Advertising, marketing"/>
        <s v="Energy"/>
        <s v="Hotels, Casinos, Resorts"/>
        <s v="Diversified Outsourcing Services"/>
        <s v="Financial Data Services"/>
        <s v="Transportation and Logistics"/>
        <s v="Waste Management"/>
        <s v="Securities"/>
        <s v="Publishing, Printing"/>
        <s v="Home Equipment, Furnishings"/>
        <s v="Real estate"/>
        <s v="Homebuilders"/>
        <s v="Forest and Paper Products"/>
        <s v="Trucking, Truck Leasing"/>
        <s v="Transportation Equipment"/>
        <s v="Building Materials, Glass"/>
        <s v="Education"/>
      </sharedItems>
    </cacheField>
    <cacheField name="Location" numFmtId="0">
      <sharedItems count="416">
        <s v="Bentonville, AR"/>
        <s v="Irving, TX"/>
        <s v="Cupertino, CA"/>
        <s v="Omaha, NE"/>
        <s v="San Francisco, CA"/>
        <s v="Minnetonka, MN"/>
        <s v="Woonsocket, RI"/>
        <s v="Detroit, MI"/>
        <s v="Dearborn, MI"/>
        <s v="Dallas, TX"/>
        <s v="Fairfield, CT"/>
        <s v="Chesterbrook, PA"/>
        <s v="New York, NY"/>
        <s v="San Ramon, CA"/>
        <s v="Issaquah, WA"/>
        <s v="Washington, DC"/>
        <s v="Cincinnati, OH"/>
        <s v="Seattle, WA"/>
        <s v="Deerfield, IL"/>
        <s v="Palo Alto, CA"/>
        <s v="Dublin, OH"/>
        <s v="St. Louis, MO"/>
        <s v="Chicago, IL"/>
        <s v="Redmond, WA"/>
        <s v="Charlotte, NC"/>
        <s v="Atlanta, GA"/>
        <s v="Houston, TX"/>
        <s v="Armonk, NY"/>
        <s v="San Antonio, TX"/>
        <s v="Indianapolis, IN"/>
        <s v="Bloomington, IL"/>
        <s v="Mountain View, CA"/>
        <s v="Philadelphia, PA"/>
        <s v="Minneapolis, MN"/>
        <s v="New Brunswick, NJ"/>
        <s v="Findlay, OH"/>
        <s v="McLean, VA"/>
        <s v="Purchase, NY"/>
        <s v="Farmington, CT"/>
        <s v="Hartford, CT"/>
        <s v="Mooresville, NC"/>
        <s v="Newark, NJ"/>
        <s v="Santa Clara, CA"/>
        <s v="Louisville, KY"/>
        <s v="Burbank, CA"/>
        <s v="San Jose, CA"/>
        <s v="Midland, MI"/>
        <s v="Memphis, TN"/>
        <s v="Peoria, IL"/>
        <s v="Bethesda, MD"/>
        <s v="Nashville, TN"/>
        <s v="Irvine, CA"/>
        <s v="Springdale, AR"/>
        <s v="Fort Worth, TX"/>
        <s v="Columbus, OH"/>
        <s v="Milwaukee, WI"/>
        <s v="Richfield, MN"/>
        <s v="Kenilworth, NJ"/>
        <s v="Boston, MA"/>
        <s v="Morris Plains, NJ"/>
        <s v="Springfield, MA"/>
        <s v="Redwood City, CA"/>
        <s v="Bloomfield, CT"/>
        <s v="Northbrook, IL"/>
        <s v="Inver Grove Heights, MN"/>
        <s v="Foster City, CA"/>
        <s v="Lakeland, FL"/>
        <s v="Falls Church, VA"/>
        <s v="Framingham, MA"/>
        <s v="Beaverton, OR"/>
        <s v="Miami, FL"/>
        <s v="St. Paul, MN"/>
        <s v="Moline, IL"/>
        <s v="Wilmington, DE"/>
        <s v="Phoenix, AZ"/>
        <s v="Camp Hill, PA"/>
        <s v="Clearwater, FL"/>
        <s v="Oak Brook, IL"/>
        <s v="San Diego, CA"/>
        <s v="Hoffman Estates, IL"/>
        <s v="Hopkinton, MA"/>
        <s v="Centennial, CO"/>
        <s v="Waltham, MA"/>
        <s v="Rosemont, IL"/>
        <s v="North Chicago, IL"/>
        <s v="Franklin, TN"/>
        <s v="Thousand Oaks, CA"/>
        <s v="Benton Harbor, MI"/>
        <s v="Columbus, GA"/>
        <s v="Fort Lauderdale, FL"/>
        <s v="Mayfield Village, OH"/>
        <s v="Abbott Park, IL"/>
        <s v="Goodlettsville, TN"/>
        <s v="Bloomfield Hills, MI"/>
        <s v="Menomonee Falls, WI"/>
        <s v="Bellevue, WA"/>
        <s v="Columbus, IN"/>
        <s v="Richmond, VA"/>
        <s v="Norwalk, CT"/>
        <s v="Pittsburgh, PA"/>
        <s v="Southfield, MI"/>
        <s v="Los Angeles, CA"/>
        <s v="Menlo Park, CA"/>
        <s v="St. Petersburg, FL"/>
        <s v="Monroe, LA"/>
        <s v="Eden Prairie, MN"/>
        <s v="Juno Beach, FL"/>
        <s v="Tulsa, OK"/>
        <s v="Akron, OH"/>
        <s v="Woodland Hills, CA"/>
        <s v="Boise, ID"/>
        <s v="Chesapeake, VA"/>
        <s v="Austin, TX"/>
        <s v="Englewood, CO"/>
        <s v="Arlington, VA"/>
        <s v="Princeton, NJ"/>
        <s v="Boca Raton, FL"/>
        <s v="Denver, CO"/>
        <s v="Long Beach, CA"/>
        <s v="Tampa, FL"/>
        <s v="Radnor, PA"/>
        <s v="Battle Creek, MI"/>
        <s v="Providence, RI"/>
        <s v="Glenview, IL"/>
        <s v="Fremont, CA"/>
        <s v="Arden Hills, MN"/>
        <s v="Oklahoma City, OK"/>
        <s v="Parsippany, NJ"/>
        <s v="Lincolnshire, IL"/>
        <s v="Cleveland, OH"/>
        <s v="Plano, TX"/>
        <s v="Teaneck, NJ"/>
        <s v="Greensboro, NC"/>
        <s v="Pasadena, CA"/>
        <s v="Des Moines, IA"/>
        <s v="Dublin, CA"/>
        <s v="Union, NJ"/>
        <s v="Jacksonville, FL"/>
        <s v="Wayne, NJ"/>
        <s v="Las Vegas, NV"/>
        <s v="Rosemead, CA"/>
        <s v="New Orleans, LA"/>
        <s v="Roseland, NJ"/>
        <s v="New Britain, CT"/>
        <s v="El Dorado, AR"/>
        <s v="Danbury, CT"/>
        <s v="Cambridge, MA"/>
        <s v="Chattanooga, TN"/>
        <s v="Winston-Salem, NC"/>
        <s v="Melville, NY"/>
        <s v="Estero, FL"/>
        <s v="Norfolk, VA"/>
        <s v="Chesterfield, MO"/>
        <s v="The Woodlands, TX"/>
        <s v="Franklin Lakes, NJ"/>
        <s v="Lisle, IL"/>
        <s v="Portland, OR"/>
        <s v="Riverwoods, IL"/>
        <s v="Lake Forest, IL"/>
        <s v="Kalamazoo, MI"/>
        <s v="Allentown, PA"/>
        <s v="El Paso, TX"/>
        <s v="King of Prussia, PA"/>
        <s v="Mechanicsville, VA"/>
        <s v="Stamford, CT"/>
        <s v="Roanoke, VA"/>
        <s v="Kingsport, TN"/>
        <s v="Grapevine, TX"/>
        <s v="Austin, MN"/>
        <s v="Summit, NJ"/>
        <s v="Auburn Hills, MI"/>
        <s v="Corning, NY"/>
        <s v="Downers Grove, IL"/>
        <s v="Plymouth, MN"/>
        <s v="South San Francisco, CA"/>
        <s v="Burlington, NC"/>
        <s v="Newport Beach, CA"/>
        <s v="Madison, WI"/>
        <s v="Broomfield, CO"/>
        <s v="Camden, NJ"/>
        <s v="Calhoun, GA"/>
        <s v="Springfield, MO"/>
        <s v="San Mateo, CA"/>
        <s v="Taylor, MI"/>
        <s v="Medford, OR"/>
        <s v="Greenwood Village, CO"/>
        <s v="Byron Center, MI"/>
        <s v="Greenwich, CT"/>
        <s v="Fort Wayne, IN"/>
        <s v="Madison, NJ"/>
        <s v="Marlborough, MA"/>
        <s v="Duluth, GA"/>
        <s v="Hershey, PA"/>
        <s v="Coraopolis, PA"/>
        <s v="Beverly Hills, CA"/>
        <s v="Orlando, FL"/>
        <s v="Federal Way, WA"/>
        <s v="Ankeny, IA"/>
        <s v="Newport News, VA"/>
        <s v="Los Gatos, CA"/>
        <s v="Little Rock, AR"/>
        <s v="Des Peres, MO"/>
        <s v="West Chester, OH"/>
        <s v="Wichita, KS"/>
        <s v="Westport, CT"/>
        <s v="Lansing, MI"/>
        <s v="Bethpage, NY"/>
        <s v="Jackson, MI"/>
        <s v="Long Island City, NY"/>
        <s v="Silver Spring, MD"/>
        <s v="Erie, PA"/>
        <s v="Brentwood, TN"/>
        <s v="Lowell, AR"/>
        <s v="Perrysburg, OH"/>
        <s v="Bannockburn, IL"/>
        <s v="Sunnyvale, CA"/>
        <s v="Oshkosh, WI"/>
        <s v="Santa Monica, CA"/>
        <s v="Maumee, OH"/>
        <s v="Victor, NY"/>
        <s v="Warsaw, IN"/>
        <s v="Glendale, CA"/>
        <s v="Westlake, OH"/>
        <s v="Durham, NC"/>
        <s v="El Segundo, CA"/>
        <s v="Schaumburg, IL"/>
        <s v="Orrville, OH"/>
        <s v="Birmingham, AL"/>
        <s v="Oakland, CA"/>
        <s v="Westchester, IL"/>
        <s v="Kennett Square, PA"/>
        <s v="Merriam, KS"/>
        <s v="Wallingford, CT"/>
        <s v="Overland Park, KS"/>
        <s v="Milpitas, CA"/>
        <s v="Troy, MI"/>
        <s v="Van Buren Township, MI"/>
        <s v="Itasca, IL"/>
        <s v="Tempe, AZ"/>
        <s v="Glen Allen, VA"/>
        <s v="Toledo, OH"/>
        <s v="Merrillville, IN"/>
        <s v="Fort Mill, SC"/>
        <s v="Cedar Rapids, IA"/>
        <s v="Brookfield, WI"/>
        <s v="Santa Ana, CA"/>
        <s v="Reston, VA"/>
        <s v="Fairfield, OH"/>
        <s v="Burlington, NJ"/>
        <s v="Melbourne, FL"/>
        <s v="Worcester, MA"/>
        <s v="Buffalo, NY"/>
        <s v="New Braunfels, TX"/>
        <s v="Hartsville, SC"/>
        <s v="Sylmar, CA"/>
        <s v="Evansville, IN"/>
        <s v="Mahwah, NJ"/>
        <s v="Florham Park, NJ"/>
        <s v="Medina, MN"/>
        <s v="Sussex, WI"/>
        <s v="Scottsdale, AZ"/>
        <s v="Medina, OH"/>
        <s v="Waterbury, VT"/>
        <s v="Highland Heights, KY"/>
        <s v="Pawtucket, RI"/>
        <s v="North Kansas City, MO"/>
        <s v="Cayce, SC"/>
        <s v="Bismarck, ND"/>
        <s v="Dulles, VA"/>
        <s v="Johnston, RI"/>
        <s v="Sparks, MD"/>
        <s v="Coral Gables, FL"/>
        <s v="Baltimore, MD"/>
        <s v="Horsham, PA"/>
        <s v="Tarrytown, NY"/>
        <s v="Neenah, WI"/>
        <s v="McKinney, TX"/>
        <s v="Elkhart, IN"/>
        <s v="Sidney, NE"/>
        <s v="Berwyn, PA"/>
        <s v="Commerce, CA"/>
        <s v="Annapolis Junction, MD"/>
        <s v="Carthage, MO"/>
        <s v="Bolingbrook, IL"/>
        <s v="Winona, MN"/>
        <s v="Denton, TX"/>
        <s v="Carmel, IN"/>
        <s v="Hickory, NC"/>
        <s v="Black Mountain, NC"/>
        <s v="Thomasville, GA"/>
        <s v="Mechanicsburg, PA"/>
        <s v="Rye Brook, NY"/>
        <s v="Baton Rouge, LA"/>
        <s v="Catawba, SC"/>
        <s v="Delaware, OH"/>
        <s v="Knoxville, TN"/>
        <s v="Kenosha, WI"/>
        <s v="Sarasota, FL"/>
        <s v="Lexington, KY"/>
        <s v="Raleigh, NC"/>
        <s v="New Albany, OH"/>
        <s v="Beloit, WI"/>
        <s v="Portsmouth, NH"/>
        <s v="Richardson, TX"/>
        <s v="Manitowoc, WI"/>
        <s v="Norwood, MA"/>
        <s v="Murray Hill, NJ"/>
        <s v="Ewing, NJ"/>
        <s v="Shelton, CT"/>
        <s v="Avon Lake, OH"/>
        <s v="Flint, MI"/>
        <s v="Novi, MI"/>
        <s v="Wilmerding, PA"/>
        <s v="Norwell, MA"/>
        <s v="Woburn, MA"/>
        <s v="Ronkonkoma, NY"/>
        <s v="Greenville, SC"/>
        <s v="Symmes Township, OH"/>
        <s v="Manhattan Beach, CA"/>
        <s v="Voorhees, NJ"/>
        <s v="Canonsburg, PA"/>
        <s v="St. George, UT"/>
        <s v="Kansas City, MO"/>
        <s v="Reno, NV"/>
        <s v="Grand Rapids, MI"/>
        <s v="Columbia, MD"/>
        <s v="Galveston, TX"/>
        <s v="Marysville, OH"/>
        <s v="Blue Bell, PA"/>
        <s v="Southlake, TX"/>
        <s v="Thomasville, NC"/>
        <s v="Bristol, VA"/>
        <s v="Port Washington, NY"/>
        <s v="San Juan, PR"/>
        <s v="Stevens Point, WI"/>
        <s v="Sunbury, PA"/>
        <s v="North Canton, OH"/>
        <s v="Santa Rosa, CA"/>
        <s v="Clayton, MO"/>
        <s v="Lebanon, TN"/>
        <s v="Wyomissing, PA"/>
        <s v="Laurel, MS"/>
        <s v="York, PA"/>
        <s v="Sunrise, FL"/>
        <s v="Rochester, NY"/>
        <s v="Wall, NJ"/>
        <s v="Wellington, FL"/>
        <s v="Corona, CA"/>
        <s v="Tacoma, WA"/>
        <s v="Lake Success, NY"/>
        <s v="Rockford, MI"/>
        <s v="Fort Smith, AR"/>
        <s v="San Leandro, CA"/>
        <s v="Fort Myers, FL"/>
        <s v="Rochester Hills, MI"/>
        <s v="Lake Oswego, OR"/>
        <s v="New Haven, CT"/>
        <s v="Kingwood, TX"/>
        <s v="Honolulu, HI"/>
        <s v="Merrimack, NH"/>
        <s v="West Palm Beach, FL"/>
        <s v="Angleton, TX"/>
        <s v="Dayton, OH"/>
        <s v="Elma, NY"/>
        <s v="Herndon, VA"/>
        <s v="Reading, PA"/>
        <s v="San Rafael, CA"/>
        <s v="White Plains, NY"/>
        <s v="Williamsville, NY"/>
        <s v="Warren, PA"/>
        <s v="Topeka, KS"/>
        <s v="Hanover, MD"/>
        <s v="Lancaster, PA"/>
        <s v="Fairlawn, OH"/>
        <s v="Bloomington, MN"/>
        <s v="Watsonville, CA"/>
        <s v="Covington, LA"/>
        <s v="Coppell, TX"/>
        <s v="Burlington, MA"/>
        <s v="Crystal Lake, IL"/>
        <s v="Muscatine, IA"/>
        <s v="Malvern, PA"/>
        <s v="Elmsford, NY"/>
        <s v="Waterford, NY"/>
        <s v="Provo, UT"/>
        <s v="Lincoln, RI"/>
        <s v="Hunt Valley, MD"/>
        <s v="Ann Arbor, MI"/>
        <s v="Salt Lake City, UT"/>
        <s v="Red Bank, NJ"/>
        <s v="Chandler, AZ"/>
        <s v="Zeeland, MI"/>
        <s v="Miramar, FL"/>
        <s v="Branchville, NJ"/>
        <s v="Hato Rey, PR"/>
        <s v="Corte Madera, CA"/>
        <s v="Calabasas Hills, CA"/>
        <s v="Costa Mesa, CA"/>
        <s v="Chantilly, VA"/>
        <s v="Clearfield, UT"/>
        <s v="Calabasas, CA"/>
        <s v="Jersey City, NJ"/>
        <s v="Morrisville, NC"/>
        <s v="Milford, MA"/>
        <s v="Livonia, MI"/>
        <s v="Fort Collins, CO"/>
        <s v="Lafayette, IN"/>
        <s v="Palm Beach Gardens, FL"/>
        <s v="Hercules, CA"/>
        <s v="Darien, CT"/>
        <s v="Cudahy, WI"/>
        <s v="Tucson, AZ"/>
        <s v="Indianaoplis, IN"/>
        <s v="Newton, MA"/>
        <s v="Westbury, NY"/>
        <s v="Wauwatosa, WI"/>
      </sharedItems>
    </cacheField>
    <cacheField name="Revenue" numFmtId="165">
      <sharedItems containsSemiMixedTypes="0" containsString="0" containsNumber="1" containsInteger="1" minValue="1895" maxValue="482130"/>
    </cacheField>
    <cacheField name="Profits" numFmtId="165">
      <sharedItems containsSemiMixedTypes="0" containsString="0" containsNumber="1" containsInteger="1" minValue="-23119" maxValue="53394"/>
    </cacheField>
    <cacheField name="Employees" numFmtId="165">
      <sharedItems containsSemiMixedTypes="0" containsString="0" containsNumber="1" containsInteger="1" minValue="52" maxValue="2300000"/>
    </cacheField>
  </cacheFields>
  <extLst>
    <ext xmlns:x14="http://schemas.microsoft.com/office/spreadsheetml/2009/9/main" uri="{725AE2AE-9491-48be-B2B4-4EB974FC3084}">
      <x14:pivotCacheDefinition pivotCacheId="1897535233"/>
    </ext>
  </extLst>
</pivotCacheDefinition>
</file>

<file path=xl/pivotCache/pivotCacheRecords1.xml><?xml version="1.0" encoding="utf-8"?>
<pivotCacheRecords xmlns="http://schemas.openxmlformats.org/spreadsheetml/2006/main" xmlns:r="http://schemas.openxmlformats.org/officeDocument/2006/relationships" count="1000">
  <r>
    <n v="1"/>
    <x v="0"/>
    <s v="Retailing"/>
    <x v="0"/>
    <x v="0"/>
    <n v="482130"/>
    <n v="14694"/>
    <n v="2300000"/>
  </r>
  <r>
    <n v="2"/>
    <x v="1"/>
    <s v="Energy"/>
    <x v="1"/>
    <x v="1"/>
    <n v="246204"/>
    <n v="16150"/>
    <n v="75600"/>
  </r>
  <r>
    <n v="3"/>
    <x v="2"/>
    <s v="Technology"/>
    <x v="2"/>
    <x v="2"/>
    <n v="233715"/>
    <n v="53394"/>
    <n v="110000"/>
  </r>
  <r>
    <n v="4"/>
    <x v="3"/>
    <s v="Financials"/>
    <x v="3"/>
    <x v="3"/>
    <n v="210821"/>
    <n v="24083"/>
    <n v="331000"/>
  </r>
  <r>
    <n v="5"/>
    <x v="4"/>
    <s v="Health Care"/>
    <x v="4"/>
    <x v="4"/>
    <n v="181241"/>
    <n v="1476"/>
    <n v="70400"/>
  </r>
  <r>
    <n v="6"/>
    <x v="5"/>
    <s v="Health Care"/>
    <x v="5"/>
    <x v="5"/>
    <n v="157107"/>
    <n v="5813"/>
    <n v="200000"/>
  </r>
  <r>
    <n v="7"/>
    <x v="6"/>
    <s v="Food and Drug Stores"/>
    <x v="6"/>
    <x v="6"/>
    <n v="153290"/>
    <n v="5237"/>
    <n v="199000"/>
  </r>
  <r>
    <n v="8"/>
    <x v="7"/>
    <s v="Motor Vehicles &amp; Parts"/>
    <x v="7"/>
    <x v="7"/>
    <n v="152356"/>
    <n v="9687"/>
    <n v="215000"/>
  </r>
  <r>
    <n v="9"/>
    <x v="8"/>
    <s v="Motor Vehicles &amp; Parts"/>
    <x v="7"/>
    <x v="8"/>
    <n v="149558"/>
    <n v="7373"/>
    <n v="199000"/>
  </r>
  <r>
    <n v="10"/>
    <x v="9"/>
    <s v="Telecommunications"/>
    <x v="8"/>
    <x v="9"/>
    <n v="146801"/>
    <n v="13345"/>
    <n v="281450"/>
  </r>
  <r>
    <n v="11"/>
    <x v="10"/>
    <s v="Industrials"/>
    <x v="9"/>
    <x v="10"/>
    <n v="140389"/>
    <n v="-6126"/>
    <n v="333000"/>
  </r>
  <r>
    <n v="12"/>
    <x v="11"/>
    <s v="Health Care"/>
    <x v="4"/>
    <x v="11"/>
    <n v="135962"/>
    <n v="-135"/>
    <n v="17000"/>
  </r>
  <r>
    <n v="13"/>
    <x v="12"/>
    <s v="Telecommunications"/>
    <x v="8"/>
    <x v="12"/>
    <n v="131620"/>
    <n v="17879"/>
    <n v="177700"/>
  </r>
  <r>
    <n v="14"/>
    <x v="13"/>
    <s v="Energy"/>
    <x v="1"/>
    <x v="13"/>
    <n v="131118"/>
    <n v="4587"/>
    <n v="61500"/>
  </r>
  <r>
    <n v="15"/>
    <x v="14"/>
    <s v="Retailing"/>
    <x v="10"/>
    <x v="14"/>
    <n v="116199"/>
    <n v="2377"/>
    <n v="161000"/>
  </r>
  <r>
    <n v="16"/>
    <x v="15"/>
    <s v="Financials"/>
    <x v="11"/>
    <x v="15"/>
    <n v="110359"/>
    <n v="10954"/>
    <n v="7300"/>
  </r>
  <r>
    <n v="17"/>
    <x v="16"/>
    <s v="Food and Drug Stores"/>
    <x v="6"/>
    <x v="16"/>
    <n v="109830"/>
    <n v="2039"/>
    <n v="431000"/>
  </r>
  <r>
    <n v="18"/>
    <x v="17"/>
    <s v="Technology"/>
    <x v="12"/>
    <x v="17"/>
    <n v="107006"/>
    <n v="596"/>
    <n v="230800"/>
  </r>
  <r>
    <n v="19"/>
    <x v="18"/>
    <s v="Food and Drug Stores"/>
    <x v="6"/>
    <x v="18"/>
    <n v="103444"/>
    <n v="4220"/>
    <n v="302500"/>
  </r>
  <r>
    <n v="20"/>
    <x v="19"/>
    <s v="Technology"/>
    <x v="2"/>
    <x v="19"/>
    <n v="103355"/>
    <n v="4554"/>
    <n v="287000"/>
  </r>
  <r>
    <n v="21"/>
    <x v="20"/>
    <s v="Health Care"/>
    <x v="4"/>
    <x v="20"/>
    <n v="102531"/>
    <n v="1215"/>
    <n v="34500"/>
  </r>
  <r>
    <n v="22"/>
    <x v="21"/>
    <s v="Health Care"/>
    <x v="13"/>
    <x v="21"/>
    <n v="101752"/>
    <n v="2476"/>
    <n v="25900"/>
  </r>
  <r>
    <n v="23"/>
    <x v="22"/>
    <s v="Financials"/>
    <x v="14"/>
    <x v="12"/>
    <n v="101006"/>
    <n v="24442"/>
    <n v="234598"/>
  </r>
  <r>
    <n v="24"/>
    <x v="23"/>
    <s v="Aerospace &amp; Defense"/>
    <x v="15"/>
    <x v="22"/>
    <n v="96114"/>
    <n v="5176"/>
    <n v="161400"/>
  </r>
  <r>
    <n v="25"/>
    <x v="24"/>
    <s v="Technology"/>
    <x v="16"/>
    <x v="23"/>
    <n v="93580"/>
    <n v="12193"/>
    <n v="118000"/>
  </r>
  <r>
    <n v="26"/>
    <x v="25"/>
    <s v="Financials"/>
    <x v="14"/>
    <x v="24"/>
    <n v="93056"/>
    <n v="15888"/>
    <n v="213280"/>
  </r>
  <r>
    <n v="27"/>
    <x v="26"/>
    <s v="Financials"/>
    <x v="14"/>
    <x v="4"/>
    <n v="90033"/>
    <n v="22894"/>
    <n v="264700"/>
  </r>
  <r>
    <n v="28"/>
    <x v="27"/>
    <s v="Retailing"/>
    <x v="10"/>
    <x v="25"/>
    <n v="88519"/>
    <n v="7009"/>
    <n v="385000"/>
  </r>
  <r>
    <n v="29"/>
    <x v="28"/>
    <s v="Financials"/>
    <x v="14"/>
    <x v="12"/>
    <n v="88275"/>
    <n v="17242"/>
    <n v="231000"/>
  </r>
  <r>
    <n v="30"/>
    <x v="29"/>
    <s v="Energy"/>
    <x v="1"/>
    <x v="26"/>
    <n v="87169"/>
    <n v="4227"/>
    <n v="14000"/>
  </r>
  <r>
    <n v="31"/>
    <x v="30"/>
    <s v="Technology"/>
    <x v="17"/>
    <x v="27"/>
    <n v="82461"/>
    <n v="13190"/>
    <n v="411798"/>
  </r>
  <r>
    <n v="32"/>
    <x v="31"/>
    <s v="Energy"/>
    <x v="1"/>
    <x v="28"/>
    <n v="81824"/>
    <n v="3990"/>
    <n v="10103"/>
  </r>
  <r>
    <n v="33"/>
    <x v="32"/>
    <s v="Health Care"/>
    <x v="5"/>
    <x v="29"/>
    <n v="79157"/>
    <n v="2560"/>
    <n v="53000"/>
  </r>
  <r>
    <n v="34"/>
    <x v="33"/>
    <s v="Household Products"/>
    <x v="18"/>
    <x v="16"/>
    <n v="78756"/>
    <n v="7036"/>
    <n v="110000"/>
  </r>
  <r>
    <n v="35"/>
    <x v="34"/>
    <s v="Financials"/>
    <x v="19"/>
    <x v="30"/>
    <n v="75697"/>
    <n v="6229"/>
    <n v="70425"/>
  </r>
  <r>
    <n v="36"/>
    <x v="35"/>
    <s v="Technology"/>
    <x v="12"/>
    <x v="31"/>
    <n v="74989"/>
    <n v="16348"/>
    <n v="61814"/>
  </r>
  <r>
    <n v="37"/>
    <x v="36"/>
    <s v="Telecommunications"/>
    <x v="8"/>
    <x v="32"/>
    <n v="74510"/>
    <n v="8163"/>
    <n v="153000"/>
  </r>
  <r>
    <n v="38"/>
    <x v="37"/>
    <s v="Retailing"/>
    <x v="0"/>
    <x v="33"/>
    <n v="73785"/>
    <n v="3363"/>
    <n v="341000"/>
  </r>
  <r>
    <n v="39"/>
    <x v="38"/>
    <s v="Health Care"/>
    <x v="20"/>
    <x v="34"/>
    <n v="70074"/>
    <n v="15409"/>
    <n v="127100"/>
  </r>
  <r>
    <n v="40"/>
    <x v="39"/>
    <s v="Financials"/>
    <x v="21"/>
    <x v="12"/>
    <n v="69951"/>
    <n v="5310"/>
    <n v="69000"/>
  </r>
  <r>
    <n v="41"/>
    <x v="40"/>
    <s v="Food, Beverages &amp; Tobacco"/>
    <x v="22"/>
    <x v="22"/>
    <n v="67702"/>
    <n v="1849"/>
    <n v="32300"/>
  </r>
  <r>
    <n v="42"/>
    <x v="41"/>
    <s v="Energy"/>
    <x v="1"/>
    <x v="35"/>
    <n v="64566"/>
    <n v="2852"/>
    <n v="45440"/>
  </r>
  <r>
    <n v="43"/>
    <x v="42"/>
    <s v="Financials"/>
    <x v="11"/>
    <x v="36"/>
    <n v="63491"/>
    <n v="6376"/>
    <n v="5439"/>
  </r>
  <r>
    <n v="44"/>
    <x v="43"/>
    <s v="Food, Beverages &amp; Tobacco"/>
    <x v="23"/>
    <x v="37"/>
    <n v="63056"/>
    <n v="5452"/>
    <n v="263000"/>
  </r>
  <r>
    <n v="45"/>
    <x v="44"/>
    <s v="Aerospace &amp; Defense"/>
    <x v="15"/>
    <x v="38"/>
    <n v="61047"/>
    <n v="7608"/>
    <n v="197200"/>
  </r>
  <r>
    <n v="46"/>
    <x v="45"/>
    <s v="Health Care"/>
    <x v="5"/>
    <x v="39"/>
    <n v="60337"/>
    <n v="2390"/>
    <n v="50100"/>
  </r>
  <r>
    <n v="47"/>
    <x v="46"/>
    <s v="Retailing"/>
    <x v="10"/>
    <x v="40"/>
    <n v="59074"/>
    <n v="2546"/>
    <n v="225000"/>
  </r>
  <r>
    <n v="48"/>
    <x v="47"/>
    <s v="Transportation"/>
    <x v="24"/>
    <x v="25"/>
    <n v="58363"/>
    <n v="4844"/>
    <n v="341240"/>
  </r>
  <r>
    <n v="49"/>
    <x v="48"/>
    <s v="Financials"/>
    <x v="3"/>
    <x v="12"/>
    <n v="58327"/>
    <n v="2196"/>
    <n v="66400"/>
  </r>
  <r>
    <n v="50"/>
    <x v="49"/>
    <s v="Financials"/>
    <x v="21"/>
    <x v="41"/>
    <n v="57119"/>
    <n v="5642"/>
    <n v="49384"/>
  </r>
  <r>
    <n v="51"/>
    <x v="50"/>
    <s v="Technology"/>
    <x v="25"/>
    <x v="42"/>
    <n v="55355"/>
    <n v="11420"/>
    <n v="107300"/>
  </r>
  <r>
    <n v="52"/>
    <x v="51"/>
    <s v="Health Care"/>
    <x v="5"/>
    <x v="43"/>
    <n v="54289"/>
    <n v="1276"/>
    <n v="50100"/>
  </r>
  <r>
    <n v="53"/>
    <x v="52"/>
    <s v="Media"/>
    <x v="26"/>
    <x v="44"/>
    <n v="52465"/>
    <n v="8382"/>
    <n v="185000"/>
  </r>
  <r>
    <n v="54"/>
    <x v="53"/>
    <s v="Technology"/>
    <x v="27"/>
    <x v="45"/>
    <n v="49161"/>
    <n v="8981"/>
    <n v="71833"/>
  </r>
  <r>
    <n v="55"/>
    <x v="54"/>
    <s v="Health Care"/>
    <x v="20"/>
    <x v="12"/>
    <n v="48851"/>
    <n v="6960"/>
    <n v="97900"/>
  </r>
  <r>
    <n v="56"/>
    <x v="55"/>
    <s v="Chemicals"/>
    <x v="28"/>
    <x v="46"/>
    <n v="48778"/>
    <n v="7685"/>
    <n v="49495"/>
  </r>
  <r>
    <n v="57"/>
    <x v="56"/>
    <s v="Wholesalers"/>
    <x v="29"/>
    <x v="26"/>
    <n v="48681"/>
    <n v="687"/>
    <n v="51700"/>
  </r>
  <r>
    <n v="58"/>
    <x v="57"/>
    <s v="Transportation"/>
    <x v="24"/>
    <x v="47"/>
    <n v="47453"/>
    <n v="1050"/>
    <n v="323035"/>
  </r>
  <r>
    <n v="59"/>
    <x v="58"/>
    <s v="Industrials"/>
    <x v="30"/>
    <x v="48"/>
    <n v="47011"/>
    <n v="2102"/>
    <n v="112200"/>
  </r>
  <r>
    <n v="60"/>
    <x v="59"/>
    <s v="Aerospace &amp; Defense"/>
    <x v="15"/>
    <x v="49"/>
    <n v="46132"/>
    <n v="3605"/>
    <n v="126000"/>
  </r>
  <r>
    <n v="61"/>
    <x v="60"/>
    <s v="Financials"/>
    <x v="31"/>
    <x v="12"/>
    <n v="45891"/>
    <n v="257"/>
    <n v="11463"/>
  </r>
  <r>
    <n v="62"/>
    <x v="61"/>
    <s v="Food, Beverages &amp; Tobacco"/>
    <x v="32"/>
    <x v="25"/>
    <n v="44294"/>
    <n v="7351"/>
    <n v="123200"/>
  </r>
  <r>
    <n v="63"/>
    <x v="62"/>
    <s v="Health Care"/>
    <x v="33"/>
    <x v="50"/>
    <n v="43591"/>
    <n v="2129"/>
    <n v="203500"/>
  </r>
  <r>
    <n v="64"/>
    <x v="63"/>
    <s v="Wholesalers"/>
    <x v="34"/>
    <x v="51"/>
    <n v="43026"/>
    <n v="215"/>
    <n v="27700"/>
  </r>
  <r>
    <n v="65"/>
    <x v="64"/>
    <s v="Energy"/>
    <x v="35"/>
    <x v="9"/>
    <n v="42126"/>
    <n v="1189"/>
    <n v="30078"/>
  </r>
  <r>
    <n v="66"/>
    <x v="65"/>
    <s v="Food, Beverages &amp; Tobacco"/>
    <x v="22"/>
    <x v="52"/>
    <n v="41373"/>
    <n v="1220"/>
    <n v="113000"/>
  </r>
  <r>
    <n v="67"/>
    <x v="66"/>
    <s v="Transportation"/>
    <x v="36"/>
    <x v="53"/>
    <n v="40990"/>
    <n v="7610"/>
    <n v="118500"/>
  </r>
  <r>
    <n v="68"/>
    <x v="67"/>
    <s v="Transportation"/>
    <x v="36"/>
    <x v="25"/>
    <n v="40704"/>
    <n v="4526"/>
    <n v="82949"/>
  </r>
  <r>
    <n v="69"/>
    <x v="68"/>
    <s v="Financials"/>
    <x v="19"/>
    <x v="54"/>
    <n v="40222"/>
    <n v="581"/>
    <n v="34032"/>
  </r>
  <r>
    <n v="70"/>
    <x v="69"/>
    <s v="Motor Vehicles &amp; Parts"/>
    <x v="7"/>
    <x v="55"/>
    <n v="40204"/>
    <n v="1563"/>
    <n v="139000"/>
  </r>
  <r>
    <n v="71"/>
    <x v="70"/>
    <s v="Retailing"/>
    <x v="10"/>
    <x v="56"/>
    <n v="39745"/>
    <n v="897"/>
    <n v="125000"/>
  </r>
  <r>
    <n v="72"/>
    <x v="71"/>
    <s v="Health Care"/>
    <x v="20"/>
    <x v="57"/>
    <n v="39498"/>
    <n v="4442"/>
    <n v="68000"/>
  </r>
  <r>
    <n v="73"/>
    <x v="72"/>
    <s v="Financials"/>
    <x v="3"/>
    <x v="58"/>
    <n v="39450"/>
    <n v="514"/>
    <n v="50000"/>
  </r>
  <r>
    <n v="74"/>
    <x v="73"/>
    <s v="Financials"/>
    <x v="14"/>
    <x v="12"/>
    <n v="39208"/>
    <n v="6083"/>
    <n v="36800"/>
  </r>
  <r>
    <n v="75"/>
    <x v="74"/>
    <s v="Industrials"/>
    <x v="37"/>
    <x v="59"/>
    <n v="38581"/>
    <n v="4768"/>
    <n v="129000"/>
  </r>
  <r>
    <n v="76"/>
    <x v="75"/>
    <s v="Financials"/>
    <x v="31"/>
    <x v="60"/>
    <n v="38243"/>
    <n v="1425"/>
    <n v="11593"/>
  </r>
  <r>
    <n v="77"/>
    <x v="76"/>
    <s v="Technology"/>
    <x v="16"/>
    <x v="61"/>
    <n v="38226"/>
    <n v="9938"/>
    <n v="132000"/>
  </r>
  <r>
    <n v="78"/>
    <x v="77"/>
    <s v="Financials"/>
    <x v="14"/>
    <x v="12"/>
    <n v="37897"/>
    <n v="6127"/>
    <n v="56218"/>
  </r>
  <r>
    <n v="79"/>
    <x v="78"/>
    <s v="Health Care"/>
    <x v="5"/>
    <x v="62"/>
    <n v="37876"/>
    <n v="2094"/>
    <n v="39300"/>
  </r>
  <r>
    <n v="80"/>
    <x v="79"/>
    <s v="Transportation"/>
    <x v="36"/>
    <x v="22"/>
    <n v="37864"/>
    <n v="7340"/>
    <n v="84000"/>
  </r>
  <r>
    <n v="81"/>
    <x v="80"/>
    <s v="Financials"/>
    <x v="3"/>
    <x v="63"/>
    <n v="35653"/>
    <n v="2171"/>
    <n v="41350"/>
  </r>
  <r>
    <n v="82"/>
    <x v="81"/>
    <s v="Financials"/>
    <x v="31"/>
    <x v="12"/>
    <n v="35181"/>
    <n v="1214"/>
    <n v="12735"/>
  </r>
  <r>
    <n v="83"/>
    <x v="82"/>
    <s v="Financials"/>
    <x v="11"/>
    <x v="12"/>
    <n v="34693"/>
    <n v="56"/>
    <n v="1231"/>
  </r>
  <r>
    <n v="84"/>
    <x v="83"/>
    <s v="Food, Beverages &amp; Tobacco"/>
    <x v="22"/>
    <x v="64"/>
    <n v="34582"/>
    <n v="781"/>
    <n v="12511"/>
  </r>
  <r>
    <n v="85"/>
    <x v="84"/>
    <s v="Financials"/>
    <x v="11"/>
    <x v="12"/>
    <n v="34441"/>
    <n v="5163"/>
    <n v="54800"/>
  </r>
  <r>
    <n v="86"/>
    <x v="85"/>
    <s v="Health Care"/>
    <x v="20"/>
    <x v="65"/>
    <n v="32639"/>
    <n v="18108"/>
    <n v="8000"/>
  </r>
  <r>
    <n v="87"/>
    <x v="86"/>
    <s v="Food and Drug Stores"/>
    <x v="6"/>
    <x v="66"/>
    <n v="32619"/>
    <n v="1965"/>
    <n v="180000"/>
  </r>
  <r>
    <n v="88"/>
    <x v="87"/>
    <s v="Aerospace &amp; Defense"/>
    <x v="15"/>
    <x v="67"/>
    <n v="31469"/>
    <n v="2965"/>
    <n v="99900"/>
  </r>
  <r>
    <n v="89"/>
    <x v="88"/>
    <s v="Retailing"/>
    <x v="38"/>
    <x v="68"/>
    <n v="30945"/>
    <n v="2278"/>
    <n v="216000"/>
  </r>
  <r>
    <n v="90"/>
    <x v="89"/>
    <s v="Energy"/>
    <x v="39"/>
    <x v="26"/>
    <n v="30935"/>
    <n v="-4428"/>
    <n v="15900"/>
  </r>
  <r>
    <n v="91"/>
    <x v="90"/>
    <s v="Apparel"/>
    <x v="40"/>
    <x v="69"/>
    <n v="30601"/>
    <n v="3273"/>
    <n v="62600"/>
  </r>
  <r>
    <n v="92"/>
    <x v="91"/>
    <s v="Wholesalers"/>
    <x v="41"/>
    <x v="70"/>
    <n v="30380"/>
    <n v="187"/>
    <n v="4700"/>
  </r>
  <r>
    <n v="93"/>
    <x v="92"/>
    <s v="Industrials"/>
    <x v="42"/>
    <x v="71"/>
    <n v="30274"/>
    <n v="4833"/>
    <n v="89446"/>
  </r>
  <r>
    <n v="94"/>
    <x v="93"/>
    <s v="Food, Beverages &amp; Tobacco"/>
    <x v="23"/>
    <x v="18"/>
    <n v="29636"/>
    <n v="7267"/>
    <n v="99000"/>
  </r>
  <r>
    <n v="95"/>
    <x v="94"/>
    <s v="Energy"/>
    <x v="43"/>
    <x v="22"/>
    <n v="29447"/>
    <n v="2269"/>
    <n v="29762"/>
  </r>
  <r>
    <n v="96"/>
    <x v="95"/>
    <s v="Media"/>
    <x v="26"/>
    <x v="12"/>
    <n v="28987"/>
    <n v="8306"/>
    <n v="20500"/>
  </r>
  <r>
    <n v="97"/>
    <x v="96"/>
    <s v="Industrials"/>
    <x v="30"/>
    <x v="72"/>
    <n v="28863"/>
    <n v="1940"/>
    <n v="57180"/>
  </r>
  <r>
    <n v="98"/>
    <x v="97"/>
    <s v="Energy"/>
    <x v="1"/>
    <x v="28"/>
    <n v="28150"/>
    <n v="1540"/>
    <n v="6016"/>
  </r>
  <r>
    <n v="99"/>
    <x v="98"/>
    <s v="Media"/>
    <x v="26"/>
    <x v="12"/>
    <n v="28118"/>
    <n v="3833"/>
    <n v="24800"/>
  </r>
  <r>
    <n v="100"/>
    <x v="99"/>
    <s v="Financials"/>
    <x v="31"/>
    <x v="55"/>
    <n v="28111"/>
    <n v="815"/>
    <n v="5530"/>
  </r>
  <r>
    <n v="101"/>
    <x v="100"/>
    <s v="Chemicals"/>
    <x v="28"/>
    <x v="73"/>
    <n v="27940"/>
    <n v="1953"/>
    <n v="52000"/>
  </r>
  <r>
    <n v="102"/>
    <x v="101"/>
    <s v="Wholesalers"/>
    <x v="34"/>
    <x v="74"/>
    <n v="27925"/>
    <n v="572"/>
    <n v="18800"/>
  </r>
  <r>
    <n v="103"/>
    <x v="102"/>
    <s v="Retailing"/>
    <x v="0"/>
    <x v="16"/>
    <n v="27079"/>
    <n v="1072"/>
    <n v="157500"/>
  </r>
  <r>
    <n v="104"/>
    <x v="103"/>
    <s v="Energy"/>
    <x v="35"/>
    <x v="26"/>
    <n v="27028"/>
    <n v="2521"/>
    <n v="6800"/>
  </r>
  <r>
    <n v="105"/>
    <x v="104"/>
    <s v="Financials"/>
    <x v="3"/>
    <x v="12"/>
    <n v="26800"/>
    <n v="3439"/>
    <n v="30900"/>
  </r>
  <r>
    <n v="106"/>
    <x v="105"/>
    <s v="Food, Beverages &amp; Tobacco"/>
    <x v="44"/>
    <x v="12"/>
    <n v="26794"/>
    <n v="6873"/>
    <n v="80200"/>
  </r>
  <r>
    <n v="107"/>
    <x v="106"/>
    <s v="Food and Drug Stores"/>
    <x v="6"/>
    <x v="75"/>
    <n v="26528"/>
    <n v="2109"/>
    <n v="69865"/>
  </r>
  <r>
    <n v="108"/>
    <x v="107"/>
    <s v="Wholesalers"/>
    <x v="34"/>
    <x v="76"/>
    <n v="26380"/>
    <n v="266"/>
    <n v="9000"/>
  </r>
  <r>
    <n v="109"/>
    <x v="108"/>
    <s v="Hotels, Resturants &amp; Leisure"/>
    <x v="45"/>
    <x v="77"/>
    <n v="25413"/>
    <n v="4529"/>
    <n v="420000"/>
  </r>
  <r>
    <n v="110"/>
    <x v="109"/>
    <s v="Technology"/>
    <x v="27"/>
    <x v="78"/>
    <n v="25281"/>
    <n v="5271"/>
    <n v="33000"/>
  </r>
  <r>
    <n v="111"/>
    <x v="110"/>
    <s v="Retailing"/>
    <x v="0"/>
    <x v="79"/>
    <n v="25146"/>
    <n v="-1129"/>
    <n v="178000"/>
  </r>
  <r>
    <n v="112"/>
    <x v="111"/>
    <s v="Financials"/>
    <x v="14"/>
    <x v="36"/>
    <n v="25098"/>
    <n v="4050"/>
    <n v="45400"/>
  </r>
  <r>
    <n v="113"/>
    <x v="112"/>
    <s v="Technology"/>
    <x v="46"/>
    <x v="80"/>
    <n v="24704"/>
    <n v="1990"/>
    <n v="72000"/>
  </r>
  <r>
    <n v="114"/>
    <x v="113"/>
    <s v="Financials"/>
    <x v="3"/>
    <x v="28"/>
    <n v="24361"/>
    <n v="2272"/>
    <n v="28681"/>
  </r>
  <r>
    <n v="115"/>
    <x v="114"/>
    <s v="Energy"/>
    <x v="43"/>
    <x v="24"/>
    <n v="24002"/>
    <n v="2816"/>
    <n v="29188"/>
  </r>
  <r>
    <n v="116"/>
    <x v="115"/>
    <s v="Telecommunications"/>
    <x v="8"/>
    <x v="12"/>
    <n v="23697"/>
    <n v="1844"/>
    <n v="56430"/>
  </r>
  <r>
    <n v="117"/>
    <x v="116"/>
    <s v="Energy"/>
    <x v="47"/>
    <x v="26"/>
    <n v="23633"/>
    <n v="-671"/>
    <n v="65000"/>
  </r>
  <r>
    <n v="118"/>
    <x v="117"/>
    <s v="Aerospace &amp; Defense"/>
    <x v="15"/>
    <x v="67"/>
    <n v="23526"/>
    <n v="1990"/>
    <n v="65000"/>
  </r>
  <r>
    <n v="119"/>
    <x v="118"/>
    <s v="Wholesalers"/>
    <x v="34"/>
    <x v="81"/>
    <n v="23282"/>
    <n v="498"/>
    <n v="18500"/>
  </r>
  <r>
    <n v="120"/>
    <x v="119"/>
    <s v="Aerospace &amp; Defense"/>
    <x v="15"/>
    <x v="82"/>
    <n v="23247"/>
    <n v="2074"/>
    <n v="61000"/>
  </r>
  <r>
    <n v="121"/>
    <x v="120"/>
    <s v="Energy"/>
    <x v="35"/>
    <x v="26"/>
    <n v="23152"/>
    <n v="118"/>
    <n v="5400"/>
  </r>
  <r>
    <n v="122"/>
    <x v="121"/>
    <s v="Wholesalers"/>
    <x v="29"/>
    <x v="83"/>
    <n v="23128"/>
    <n v="168"/>
    <n v="25000"/>
  </r>
  <r>
    <n v="123"/>
    <x v="122"/>
    <s v="Health Care"/>
    <x v="20"/>
    <x v="84"/>
    <n v="22859"/>
    <n v="5144"/>
    <n v="28000"/>
  </r>
  <r>
    <n v="124"/>
    <x v="123"/>
    <s v="Health Care"/>
    <x v="5"/>
    <x v="21"/>
    <n v="22795"/>
    <n v="355"/>
    <n v="18200"/>
  </r>
  <r>
    <n v="125"/>
    <x v="124"/>
    <s v="Health Care"/>
    <x v="33"/>
    <x v="85"/>
    <n v="22678"/>
    <n v="158"/>
    <n v="123000"/>
  </r>
  <r>
    <n v="126"/>
    <x v="125"/>
    <s v="Materials"/>
    <x v="48"/>
    <x v="12"/>
    <n v="22534"/>
    <n v="-322"/>
    <n v="60000"/>
  </r>
  <r>
    <n v="127"/>
    <x v="126"/>
    <s v="Materials"/>
    <x v="49"/>
    <x v="47"/>
    <n v="22365"/>
    <n v="938"/>
    <n v="56000"/>
  </r>
  <r>
    <n v="128"/>
    <x v="127"/>
    <s v="Industrials"/>
    <x v="37"/>
    <x v="21"/>
    <n v="22304"/>
    <n v="2710"/>
    <n v="110800"/>
  </r>
  <r>
    <n v="129"/>
    <x v="128"/>
    <s v="Transportation"/>
    <x v="50"/>
    <x v="3"/>
    <n v="21813"/>
    <n v="4772"/>
    <n v="47457"/>
  </r>
  <r>
    <n v="130"/>
    <x v="129"/>
    <s v="Health Care"/>
    <x v="20"/>
    <x v="86"/>
    <n v="21662"/>
    <n v="6939"/>
    <n v="17900"/>
  </r>
  <r>
    <n v="131"/>
    <x v="130"/>
    <s v="Financials"/>
    <x v="14"/>
    <x v="33"/>
    <n v="21494"/>
    <n v="5879"/>
    <n v="65433"/>
  </r>
  <r>
    <n v="132"/>
    <x v="131"/>
    <s v="Retailing"/>
    <x v="10"/>
    <x v="68"/>
    <n v="21059"/>
    <n v="379"/>
    <n v="58963"/>
  </r>
  <r>
    <n v="133"/>
    <x v="132"/>
    <s v="Technology"/>
    <x v="51"/>
    <x v="15"/>
    <n v="20909"/>
    <n v="3357"/>
    <n v="81000"/>
  </r>
  <r>
    <n v="134"/>
    <x v="133"/>
    <s v="Industrials"/>
    <x v="37"/>
    <x v="87"/>
    <n v="20891"/>
    <n v="783"/>
    <n v="97000"/>
  </r>
  <r>
    <n v="135"/>
    <x v="134"/>
    <s v="Financials"/>
    <x v="21"/>
    <x v="88"/>
    <n v="20872"/>
    <n v="2533"/>
    <n v="9915"/>
  </r>
  <r>
    <n v="136"/>
    <x v="135"/>
    <s v="Retailing"/>
    <x v="52"/>
    <x v="89"/>
    <n v="20862"/>
    <n v="443"/>
    <n v="26000"/>
  </r>
  <r>
    <n v="137"/>
    <x v="136"/>
    <s v="Financials"/>
    <x v="3"/>
    <x v="90"/>
    <n v="20854"/>
    <n v="1268"/>
    <n v="28580"/>
  </r>
  <r>
    <n v="138"/>
    <x v="137"/>
    <s v="Health Care"/>
    <x v="53"/>
    <x v="91"/>
    <n v="20661"/>
    <n v="4423"/>
    <n v="74000"/>
  </r>
  <r>
    <n v="139"/>
    <x v="138"/>
    <s v="Retailing"/>
    <x v="0"/>
    <x v="92"/>
    <n v="20369"/>
    <n v="1165"/>
    <n v="113400"/>
  </r>
  <r>
    <n v="140"/>
    <x v="139"/>
    <s v="Health Care"/>
    <x v="33"/>
    <x v="9"/>
    <n v="20111"/>
    <n v="-140"/>
    <n v="119148"/>
  </r>
  <r>
    <n v="141"/>
    <x v="140"/>
    <s v="Health Care"/>
    <x v="20"/>
    <x v="29"/>
    <n v="19959"/>
    <n v="2408"/>
    <n v="41275"/>
  </r>
  <r>
    <n v="142"/>
    <x v="141"/>
    <s v="Transportation"/>
    <x v="36"/>
    <x v="9"/>
    <n v="19820"/>
    <n v="2181"/>
    <n v="49583"/>
  </r>
  <r>
    <n v="143"/>
    <x v="142"/>
    <s v="Retailing"/>
    <x v="52"/>
    <x v="93"/>
    <n v="19361"/>
    <n v="326"/>
    <n v="23000"/>
  </r>
  <r>
    <n v="144"/>
    <x v="143"/>
    <s v="Business Services"/>
    <x v="54"/>
    <x v="55"/>
    <n v="19330"/>
    <n v="419"/>
    <n v="27000"/>
  </r>
  <r>
    <n v="145"/>
    <x v="144"/>
    <s v="Retailing"/>
    <x v="0"/>
    <x v="94"/>
    <n v="19204"/>
    <n v="673"/>
    <n v="86000"/>
  </r>
  <r>
    <n v="146"/>
    <x v="145"/>
    <s v="Hotels, Resturants &amp; Leisure"/>
    <x v="45"/>
    <x v="17"/>
    <n v="19163"/>
    <n v="2757"/>
    <n v="238000"/>
  </r>
  <r>
    <n v="147"/>
    <x v="146"/>
    <s v="Motor Vehicles &amp; Parts"/>
    <x v="7"/>
    <x v="95"/>
    <n v="19115"/>
    <n v="1604"/>
    <n v="23000"/>
  </r>
  <r>
    <n v="148"/>
    <x v="147"/>
    <s v="Industrials"/>
    <x v="30"/>
    <x v="96"/>
    <n v="19110"/>
    <n v="1399"/>
    <n v="55200"/>
  </r>
  <r>
    <n v="149"/>
    <x v="148"/>
    <s v="Food, Beverages &amp; Tobacco"/>
    <x v="44"/>
    <x v="97"/>
    <n v="18854"/>
    <n v="5241"/>
    <n v="8800"/>
  </r>
  <r>
    <n v="150"/>
    <x v="149"/>
    <s v="Technology"/>
    <x v="17"/>
    <x v="98"/>
    <n v="18664"/>
    <n v="474"/>
    <n v="143600"/>
  </r>
  <r>
    <n v="151"/>
    <x v="150"/>
    <s v="Household Products"/>
    <x v="18"/>
    <x v="1"/>
    <n v="18591"/>
    <n v="1013"/>
    <n v="43000"/>
  </r>
  <r>
    <n v="152"/>
    <x v="151"/>
    <s v="Financials"/>
    <x v="3"/>
    <x v="39"/>
    <n v="18377"/>
    <n v="1682"/>
    <n v="17400"/>
  </r>
  <r>
    <n v="153"/>
    <x v="152"/>
    <s v="Food, Beverages &amp; Tobacco"/>
    <x v="23"/>
    <x v="99"/>
    <n v="18338"/>
    <n v="634"/>
    <n v="42000"/>
  </r>
  <r>
    <n v="154"/>
    <x v="153"/>
    <s v="Motor Vehicles &amp; Parts"/>
    <x v="7"/>
    <x v="100"/>
    <n v="18211"/>
    <n v="746"/>
    <n v="136200"/>
  </r>
  <r>
    <n v="155"/>
    <x v="154"/>
    <s v="Engineering &amp; Construction"/>
    <x v="55"/>
    <x v="1"/>
    <n v="18114"/>
    <n v="413"/>
    <n v="38758"/>
  </r>
  <r>
    <n v="156"/>
    <x v="155"/>
    <s v="Engineering &amp; Construction"/>
    <x v="55"/>
    <x v="101"/>
    <n v="17990"/>
    <n v="-155"/>
    <n v="92000"/>
  </r>
  <r>
    <n v="157"/>
    <x v="156"/>
    <s v="Technology"/>
    <x v="12"/>
    <x v="102"/>
    <n v="17928"/>
    <n v="3688"/>
    <n v="12691"/>
  </r>
  <r>
    <n v="158"/>
    <x v="157"/>
    <s v="Technology"/>
    <x v="25"/>
    <x v="103"/>
    <n v="17914"/>
    <n v="284"/>
    <n v="161000"/>
  </r>
  <r>
    <n v="159"/>
    <x v="158"/>
    <s v="Telecommunications"/>
    <x v="8"/>
    <x v="104"/>
    <n v="17900"/>
    <n v="878"/>
    <n v="43000"/>
  </r>
  <r>
    <n v="160"/>
    <x v="159"/>
    <s v="Food and Drug Stores"/>
    <x v="6"/>
    <x v="105"/>
    <n v="17820"/>
    <n v="192"/>
    <n v="38500"/>
  </r>
  <r>
    <n v="161"/>
    <x v="160"/>
    <s v="Food, Beverages &amp; Tobacco"/>
    <x v="23"/>
    <x v="33"/>
    <n v="17630"/>
    <n v="1221"/>
    <n v="42000"/>
  </r>
  <r>
    <n v="162"/>
    <x v="161"/>
    <s v="Energy"/>
    <x v="43"/>
    <x v="25"/>
    <n v="17489"/>
    <n v="2367"/>
    <n v="26703"/>
  </r>
  <r>
    <n v="163"/>
    <x v="162"/>
    <s v="Energy"/>
    <x v="43"/>
    <x v="106"/>
    <n v="17486"/>
    <n v="2752"/>
    <n v="14300"/>
  </r>
  <r>
    <n v="164"/>
    <x v="163"/>
    <s v="Technology"/>
    <x v="51"/>
    <x v="82"/>
    <n v="16965"/>
    <n v="1975"/>
    <n v="52400"/>
  </r>
  <r>
    <n v="165"/>
    <x v="164"/>
    <s v="Energy"/>
    <x v="43"/>
    <x v="54"/>
    <n v="16900"/>
    <n v="2047"/>
    <n v="17405"/>
  </r>
  <r>
    <n v="166"/>
    <x v="165"/>
    <s v="Energy"/>
    <x v="43"/>
    <x v="4"/>
    <n v="16833"/>
    <n v="874"/>
    <n v="23323"/>
  </r>
  <r>
    <n v="167"/>
    <x v="166"/>
    <s v="Wholesalers"/>
    <x v="41"/>
    <x v="107"/>
    <n v="16802"/>
    <n v="17"/>
    <n v="3100"/>
  </r>
  <r>
    <n v="168"/>
    <x v="167"/>
    <s v="Health Care"/>
    <x v="20"/>
    <x v="12"/>
    <n v="16560"/>
    <n v="1565"/>
    <n v="25000"/>
  </r>
  <r>
    <n v="169"/>
    <x v="168"/>
    <s v="Motor Vehicles &amp; Parts"/>
    <x v="7"/>
    <x v="108"/>
    <n v="16443"/>
    <n v="307"/>
    <n v="66000"/>
  </r>
  <r>
    <n v="170"/>
    <x v="169"/>
    <s v="Materials"/>
    <x v="48"/>
    <x v="24"/>
    <n v="16439"/>
    <n v="358"/>
    <n v="23700"/>
  </r>
  <r>
    <n v="171"/>
    <x v="170"/>
    <s v="Financials"/>
    <x v="14"/>
    <x v="99"/>
    <n v="16270"/>
    <n v="4106"/>
    <n v="50831"/>
  </r>
  <r>
    <n v="172"/>
    <x v="171"/>
    <s v="Health Care"/>
    <x v="5"/>
    <x v="109"/>
    <n v="16244"/>
    <n v="186"/>
    <n v="8584"/>
  </r>
  <r>
    <n v="173"/>
    <x v="172"/>
    <s v="Technology"/>
    <x v="25"/>
    <x v="110"/>
    <n v="16192"/>
    <n v="2899"/>
    <n v="31800"/>
  </r>
  <r>
    <n v="174"/>
    <x v="173"/>
    <s v="Household Products"/>
    <x v="18"/>
    <x v="12"/>
    <n v="16034"/>
    <n v="1384"/>
    <n v="37900"/>
  </r>
  <r>
    <n v="175"/>
    <x v="174"/>
    <s v="Energy"/>
    <x v="39"/>
    <x v="74"/>
    <n v="15877"/>
    <n v="-12236"/>
    <n v="34500"/>
  </r>
  <r>
    <n v="176"/>
    <x v="175"/>
    <s v="Food, Beverages &amp; Tobacco"/>
    <x v="23"/>
    <x v="3"/>
    <n v="15849"/>
    <n v="-253"/>
    <n v="32900"/>
  </r>
  <r>
    <n v="177"/>
    <x v="176"/>
    <s v="Retailing"/>
    <x v="38"/>
    <x v="4"/>
    <n v="15797"/>
    <n v="920"/>
    <n v="141000"/>
  </r>
  <r>
    <n v="178"/>
    <x v="177"/>
    <s v="Energy"/>
    <x v="47"/>
    <x v="26"/>
    <n v="15742"/>
    <n v="-1967"/>
    <n v="43000"/>
  </r>
  <r>
    <n v="179"/>
    <x v="178"/>
    <s v="Financials"/>
    <x v="14"/>
    <x v="12"/>
    <n v="15523"/>
    <n v="3158"/>
    <n v="51200"/>
  </r>
  <r>
    <n v="180"/>
    <x v="179"/>
    <s v="Retailing"/>
    <x v="10"/>
    <x v="111"/>
    <n v="15498"/>
    <n v="282"/>
    <n v="111550"/>
  </r>
  <r>
    <n v="181"/>
    <x v="180"/>
    <s v="Food and Drug Stores"/>
    <x v="6"/>
    <x v="112"/>
    <n v="15389"/>
    <n v="536"/>
    <n v="76300"/>
  </r>
  <r>
    <n v="182"/>
    <x v="181"/>
    <s v="Chemicals"/>
    <x v="28"/>
    <x v="99"/>
    <n v="15330"/>
    <n v="1406"/>
    <n v="46600"/>
  </r>
  <r>
    <n v="183"/>
    <x v="182"/>
    <s v="Wholesalers"/>
    <x v="41"/>
    <x v="25"/>
    <n v="15280"/>
    <n v="706"/>
    <n v="39600"/>
  </r>
  <r>
    <n v="184"/>
    <x v="183"/>
    <s v="Financials"/>
    <x v="11"/>
    <x v="12"/>
    <n v="15272"/>
    <n v="-1194"/>
    <n v="73807"/>
  </r>
  <r>
    <n v="185"/>
    <x v="184"/>
    <s v="Wholesalers"/>
    <x v="29"/>
    <x v="97"/>
    <n v="15270"/>
    <n v="57"/>
    <n v="12000"/>
  </r>
  <r>
    <n v="186"/>
    <x v="185"/>
    <s v="Business Services"/>
    <x v="56"/>
    <x v="12"/>
    <n v="15134"/>
    <n v="1094"/>
    <n v="74900"/>
  </r>
  <r>
    <n v="187"/>
    <x v="186"/>
    <s v="Telecommunications"/>
    <x v="8"/>
    <x v="113"/>
    <n v="15069"/>
    <n v="747"/>
    <n v="18000"/>
  </r>
  <r>
    <n v="188"/>
    <x v="187"/>
    <s v="Energy"/>
    <x v="43"/>
    <x v="108"/>
    <n v="15026"/>
    <n v="578"/>
    <n v="15781"/>
  </r>
  <r>
    <n v="189"/>
    <x v="188"/>
    <s v="Chemicals"/>
    <x v="28"/>
    <x v="21"/>
    <n v="15001"/>
    <n v="2314"/>
    <n v="24000"/>
  </r>
  <r>
    <n v="190"/>
    <x v="189"/>
    <s v="Energy"/>
    <x v="43"/>
    <x v="114"/>
    <n v="14963"/>
    <n v="306"/>
    <n v="21000"/>
  </r>
  <r>
    <n v="191"/>
    <x v="190"/>
    <s v="Retailing"/>
    <x v="52"/>
    <x v="97"/>
    <n v="14874"/>
    <n v="597"/>
    <n v="22064"/>
  </r>
  <r>
    <n v="192"/>
    <x v="191"/>
    <s v="Energy"/>
    <x v="47"/>
    <x v="26"/>
    <n v="14757"/>
    <n v="-769"/>
    <n v="47262"/>
  </r>
  <r>
    <n v="193"/>
    <x v="192"/>
    <s v="Energy"/>
    <x v="57"/>
    <x v="115"/>
    <n v="14674"/>
    <n v="-6382"/>
    <n v="10468"/>
  </r>
  <r>
    <n v="194"/>
    <x v="193"/>
    <s v="Technology"/>
    <x v="46"/>
    <x v="51"/>
    <n v="14572"/>
    <n v="1465"/>
    <n v="76449"/>
  </r>
  <r>
    <n v="195"/>
    <x v="194"/>
    <s v="Hotels, Resturants &amp; Leisure"/>
    <x v="58"/>
    <x v="49"/>
    <n v="14486"/>
    <n v="859"/>
    <n v="127500"/>
  </r>
  <r>
    <n v="196"/>
    <x v="195"/>
    <s v="Retailing"/>
    <x v="10"/>
    <x v="116"/>
    <n v="14485"/>
    <n v="8"/>
    <n v="49000"/>
  </r>
  <r>
    <n v="197"/>
    <x v="196"/>
    <s v="Retailing"/>
    <x v="0"/>
    <x v="17"/>
    <n v="14437"/>
    <n v="600"/>
    <n v="72500"/>
  </r>
  <r>
    <n v="198"/>
    <x v="197"/>
    <s v="Energy"/>
    <x v="35"/>
    <x v="26"/>
    <n v="14403"/>
    <n v="253"/>
    <n v="11290"/>
  </r>
  <r>
    <n v="199"/>
    <x v="198"/>
    <s v="Business Services"/>
    <x v="59"/>
    <x v="32"/>
    <n v="14329"/>
    <n v="236"/>
    <n v="216500"/>
  </r>
  <r>
    <n v="200"/>
    <x v="199"/>
    <s v="Health Care"/>
    <x v="33"/>
    <x v="117"/>
    <n v="14210"/>
    <n v="270"/>
    <n v="60400"/>
  </r>
  <r>
    <n v="201"/>
    <x v="200"/>
    <s v="Health Care"/>
    <x v="5"/>
    <x v="118"/>
    <n v="14178"/>
    <n v="143"/>
    <n v="21000"/>
  </r>
  <r>
    <n v="202"/>
    <x v="201"/>
    <s v="Health Care"/>
    <x v="5"/>
    <x v="119"/>
    <n v="13890"/>
    <n v="119"/>
    <n v="6900"/>
  </r>
  <r>
    <n v="203"/>
    <x v="202"/>
    <s v="Media"/>
    <x v="26"/>
    <x v="12"/>
    <n v="13886"/>
    <n v="1413"/>
    <n v="19080"/>
  </r>
  <r>
    <n v="204"/>
    <x v="203"/>
    <s v="Business Services"/>
    <x v="60"/>
    <x v="65"/>
    <n v="13880"/>
    <n v="6328"/>
    <n v="11300"/>
  </r>
  <r>
    <n v="205"/>
    <x v="204"/>
    <s v="Financials"/>
    <x v="21"/>
    <x v="120"/>
    <n v="13572"/>
    <n v="1154"/>
    <n v="9312"/>
  </r>
  <r>
    <n v="206"/>
    <x v="205"/>
    <s v="Chemicals"/>
    <x v="28"/>
    <x v="71"/>
    <n v="13545"/>
    <n v="1002"/>
    <n v="47145"/>
  </r>
  <r>
    <n v="207"/>
    <x v="206"/>
    <s v="Food, Beverages &amp; Tobacco"/>
    <x v="23"/>
    <x v="121"/>
    <n v="13525"/>
    <n v="614"/>
    <n v="33577"/>
  </r>
  <r>
    <n v="208"/>
    <x v="207"/>
    <s v="Transportation"/>
    <x v="61"/>
    <x v="105"/>
    <n v="13476"/>
    <n v="510"/>
    <n v="13159"/>
  </r>
  <r>
    <n v="209"/>
    <x v="208"/>
    <s v="Aerospace &amp; Defense"/>
    <x v="15"/>
    <x v="122"/>
    <n v="13423"/>
    <n v="697"/>
    <n v="35000"/>
  </r>
  <r>
    <n v="210"/>
    <x v="209"/>
    <s v="Financials"/>
    <x v="3"/>
    <x v="12"/>
    <n v="13415"/>
    <n v="260"/>
    <n v="16700"/>
  </r>
  <r>
    <n v="211"/>
    <x v="210"/>
    <s v="Industrials"/>
    <x v="9"/>
    <x v="123"/>
    <n v="13405"/>
    <n v="1899"/>
    <n v="48000"/>
  </r>
  <r>
    <n v="212"/>
    <x v="211"/>
    <s v="Wholesalers"/>
    <x v="34"/>
    <x v="124"/>
    <n v="13338"/>
    <n v="209"/>
    <n v="78500"/>
  </r>
  <r>
    <n v="213"/>
    <x v="212"/>
    <s v="Media"/>
    <x v="26"/>
    <x v="12"/>
    <n v="13268"/>
    <n v="1922"/>
    <n v="9445"/>
  </r>
  <r>
    <n v="214"/>
    <x v="213"/>
    <s v="Energy"/>
    <x v="1"/>
    <x v="9"/>
    <n v="13238"/>
    <n v="740"/>
    <n v="2704"/>
  </r>
  <r>
    <n v="215"/>
    <x v="214"/>
    <s v="Food, Beverages &amp; Tobacco"/>
    <x v="23"/>
    <x v="125"/>
    <n v="13161"/>
    <n v="308"/>
    <n v="10000"/>
  </r>
  <r>
    <n v="216"/>
    <x v="215"/>
    <s v="Energy"/>
    <x v="39"/>
    <x v="126"/>
    <n v="13145"/>
    <n v="-14454"/>
    <n v="5167"/>
  </r>
  <r>
    <n v="217"/>
    <x v="216"/>
    <s v="Energy"/>
    <x v="1"/>
    <x v="127"/>
    <n v="13124"/>
    <n v="146"/>
    <n v="2270"/>
  </r>
  <r>
    <n v="218"/>
    <x v="217"/>
    <s v="Hotels, Resturants &amp; Leisure"/>
    <x v="45"/>
    <x v="43"/>
    <n v="13105"/>
    <n v="1293"/>
    <n v="505000"/>
  </r>
  <r>
    <n v="219"/>
    <x v="218"/>
    <s v="Technology"/>
    <x v="25"/>
    <x v="9"/>
    <n v="13000"/>
    <n v="2986"/>
    <n v="29977"/>
  </r>
  <r>
    <n v="220"/>
    <x v="219"/>
    <s v="Technology"/>
    <x v="17"/>
    <x v="128"/>
    <n v="12989"/>
    <n v="403"/>
    <n v="8465"/>
  </r>
  <r>
    <n v="221"/>
    <x v="220"/>
    <s v="Business Services"/>
    <x v="62"/>
    <x v="26"/>
    <n v="12961"/>
    <n v="753"/>
    <n v="40600"/>
  </r>
  <r>
    <n v="222"/>
    <x v="221"/>
    <s v="Financials"/>
    <x v="11"/>
    <x v="12"/>
    <n v="12893"/>
    <n v="1599"/>
    <n v="60000"/>
  </r>
  <r>
    <n v="223"/>
    <x v="222"/>
    <s v="Energy"/>
    <x v="39"/>
    <x v="126"/>
    <n v="12764"/>
    <n v="-14685"/>
    <n v="4400"/>
  </r>
  <r>
    <n v="224"/>
    <x v="223"/>
    <s v="Industrials"/>
    <x v="9"/>
    <x v="129"/>
    <n v="12712"/>
    <n v="1012"/>
    <n v="54750"/>
  </r>
  <r>
    <n v="225"/>
    <x v="224"/>
    <s v="Energy"/>
    <x v="39"/>
    <x v="26"/>
    <n v="12699"/>
    <n v="-7829"/>
    <n v="11100"/>
  </r>
  <r>
    <n v="226"/>
    <x v="225"/>
    <s v="Financials"/>
    <x v="31"/>
    <x v="12"/>
    <n v="12628"/>
    <n v="411"/>
    <n v="8000"/>
  </r>
  <r>
    <n v="227"/>
    <x v="226"/>
    <s v="Financials"/>
    <x v="19"/>
    <x v="109"/>
    <n v="12626"/>
    <n v="-114"/>
    <n v="13184"/>
  </r>
  <r>
    <n v="228"/>
    <x v="227"/>
    <s v="Retailing"/>
    <x v="0"/>
    <x v="130"/>
    <n v="12625"/>
    <n v="-513"/>
    <n v="105000"/>
  </r>
  <r>
    <n v="229"/>
    <x v="228"/>
    <s v="Energy"/>
    <x v="43"/>
    <x v="12"/>
    <n v="12554"/>
    <n v="1193"/>
    <n v="14806"/>
  </r>
  <r>
    <n v="230"/>
    <x v="229"/>
    <s v="Technology"/>
    <x v="17"/>
    <x v="131"/>
    <n v="12416"/>
    <n v="1624"/>
    <n v="221700"/>
  </r>
  <r>
    <n v="231"/>
    <x v="230"/>
    <s v="Apparel"/>
    <x v="40"/>
    <x v="132"/>
    <n v="12377"/>
    <n v="1232"/>
    <n v="64000"/>
  </r>
  <r>
    <n v="232"/>
    <x v="231"/>
    <s v="Financials"/>
    <x v="11"/>
    <x v="33"/>
    <n v="12200"/>
    <n v="1562"/>
    <n v="13000"/>
  </r>
  <r>
    <n v="233"/>
    <x v="232"/>
    <s v="Technology"/>
    <x v="17"/>
    <x v="67"/>
    <n v="12183"/>
    <n v="-8"/>
    <n v="70000"/>
  </r>
  <r>
    <n v="234"/>
    <x v="233"/>
    <s v="Retailing"/>
    <x v="38"/>
    <x v="54"/>
    <n v="12154"/>
    <n v="1253"/>
    <n v="55400"/>
  </r>
  <r>
    <n v="235"/>
    <x v="234"/>
    <s v="Engineering &amp; Construction"/>
    <x v="55"/>
    <x v="133"/>
    <n v="12115"/>
    <n v="303"/>
    <n v="56950"/>
  </r>
  <r>
    <n v="236"/>
    <x v="235"/>
    <s v="Financials"/>
    <x v="21"/>
    <x v="134"/>
    <n v="11964"/>
    <n v="1234"/>
    <n v="14895"/>
  </r>
  <r>
    <n v="237"/>
    <x v="236"/>
    <s v="Retailing"/>
    <x v="38"/>
    <x v="135"/>
    <n v="11940"/>
    <n v="1021"/>
    <n v="77800"/>
  </r>
  <r>
    <n v="238"/>
    <x v="237"/>
    <s v="Retailing"/>
    <x v="10"/>
    <x v="136"/>
    <n v="11881"/>
    <n v="958"/>
    <n v="60000"/>
  </r>
  <r>
    <n v="239"/>
    <x v="238"/>
    <s v="Transportation"/>
    <x v="50"/>
    <x v="137"/>
    <n v="11811"/>
    <n v="1968"/>
    <n v="29761"/>
  </r>
  <r>
    <n v="240"/>
    <x v="239"/>
    <s v="Retailing"/>
    <x v="10"/>
    <x v="138"/>
    <n v="11802"/>
    <n v="-130"/>
    <n v="62000"/>
  </r>
  <r>
    <n v="241"/>
    <x v="240"/>
    <s v="Hotels, Resturants &amp; Leisure"/>
    <x v="58"/>
    <x v="139"/>
    <n v="11689"/>
    <n v="1966"/>
    <n v="46500"/>
  </r>
  <r>
    <n v="242"/>
    <x v="241"/>
    <s v="Food, Beverages &amp; Tobacco"/>
    <x v="22"/>
    <x v="12"/>
    <n v="11684"/>
    <n v="284"/>
    <n v="13300"/>
  </r>
  <r>
    <n v="243"/>
    <x v="242"/>
    <s v="Energy"/>
    <x v="43"/>
    <x v="97"/>
    <n v="11683"/>
    <n v="1899"/>
    <n v="14700"/>
  </r>
  <r>
    <n v="244"/>
    <x v="243"/>
    <s v="Materials"/>
    <x v="48"/>
    <x v="99"/>
    <n v="11574"/>
    <n v="-1642"/>
    <n v="33200"/>
  </r>
  <r>
    <n v="245"/>
    <x v="244"/>
    <s v="Aerospace &amp; Defense"/>
    <x v="15"/>
    <x v="12"/>
    <n v="11554"/>
    <n v="-240"/>
    <n v="38000"/>
  </r>
  <r>
    <n v="246"/>
    <x v="245"/>
    <s v="Energy"/>
    <x v="43"/>
    <x v="140"/>
    <n v="11524"/>
    <n v="1020"/>
    <n v="12768"/>
  </r>
  <r>
    <n v="247"/>
    <x v="246"/>
    <s v="Energy"/>
    <x v="43"/>
    <x v="141"/>
    <n v="11513"/>
    <n v="-177"/>
    <n v="13579"/>
  </r>
  <r>
    <n v="248"/>
    <x v="247"/>
    <s v="Business Services"/>
    <x v="59"/>
    <x v="142"/>
    <n v="11477"/>
    <n v="1453"/>
    <n v="55000"/>
  </r>
  <r>
    <n v="249"/>
    <x v="248"/>
    <s v="Business Services"/>
    <x v="60"/>
    <x v="25"/>
    <n v="11451"/>
    <n v="-1481"/>
    <n v="24000"/>
  </r>
  <r>
    <n v="250"/>
    <x v="249"/>
    <s v="Financials"/>
    <x v="63"/>
    <x v="12"/>
    <n v="11401"/>
    <n v="3345"/>
    <n v="13000"/>
  </r>
  <r>
    <n v="251"/>
    <x v="250"/>
    <s v="Materials"/>
    <x v="49"/>
    <x v="97"/>
    <n v="11381"/>
    <n v="507"/>
    <n v="41400"/>
  </r>
  <r>
    <n v="252"/>
    <x v="251"/>
    <s v="Financials"/>
    <x v="11"/>
    <x v="12"/>
    <n v="11341"/>
    <n v="408"/>
    <n v="7000"/>
  </r>
  <r>
    <n v="253"/>
    <x v="252"/>
    <s v="Chemicals"/>
    <x v="28"/>
    <x v="129"/>
    <n v="11339"/>
    <n v="1054"/>
    <n v="40706"/>
  </r>
  <r>
    <n v="254"/>
    <x v="253"/>
    <s v="Hotels, Resturants &amp; Leisure"/>
    <x v="58"/>
    <x v="36"/>
    <n v="11272"/>
    <n v="1404"/>
    <n v="164000"/>
  </r>
  <r>
    <n v="255"/>
    <x v="254"/>
    <s v="Media"/>
    <x v="64"/>
    <x v="22"/>
    <n v="11257"/>
    <n v="151"/>
    <n v="68400"/>
  </r>
  <r>
    <n v="256"/>
    <x v="255"/>
    <s v="Household Products"/>
    <x v="65"/>
    <x v="143"/>
    <n v="11211"/>
    <n v="884"/>
    <n v="51250"/>
  </r>
  <r>
    <n v="257"/>
    <x v="256"/>
    <s v="Energy"/>
    <x v="43"/>
    <x v="33"/>
    <n v="11025"/>
    <n v="985"/>
    <n v="11644"/>
  </r>
  <r>
    <n v="258"/>
    <x v="257"/>
    <s v="Retailing"/>
    <x v="10"/>
    <x v="144"/>
    <n v="10885"/>
    <n v="176"/>
    <n v="7100"/>
  </r>
  <r>
    <n v="259"/>
    <x v="258"/>
    <s v="Financials"/>
    <x v="66"/>
    <x v="101"/>
    <n v="10856"/>
    <n v="547"/>
    <n v="70000"/>
  </r>
  <r>
    <n v="260"/>
    <x v="259"/>
    <s v="Engineering &amp; Construction"/>
    <x v="67"/>
    <x v="53"/>
    <n v="10824"/>
    <n v="751"/>
    <n v="6230"/>
  </r>
  <r>
    <n v="261"/>
    <x v="260"/>
    <s v="Household Products"/>
    <x v="18"/>
    <x v="12"/>
    <n v="10780"/>
    <n v="1089"/>
    <n v="44000"/>
  </r>
  <r>
    <n v="262"/>
    <x v="261"/>
    <s v="Chemicals"/>
    <x v="28"/>
    <x v="145"/>
    <n v="10776"/>
    <n v="1547"/>
    <n v="26657"/>
  </r>
  <r>
    <n v="263"/>
    <x v="262"/>
    <s v="Health Care"/>
    <x v="20"/>
    <x v="146"/>
    <n v="10764"/>
    <n v="3547"/>
    <n v="7350"/>
  </r>
  <r>
    <n v="264"/>
    <x v="263"/>
    <s v="Financials"/>
    <x v="14"/>
    <x v="58"/>
    <n v="10760"/>
    <n v="1980"/>
    <n v="32356"/>
  </r>
  <r>
    <n v="265"/>
    <x v="264"/>
    <s v="Financials"/>
    <x v="21"/>
    <x v="147"/>
    <n v="10731"/>
    <n v="867"/>
    <n v="9400"/>
  </r>
  <r>
    <n v="266"/>
    <x v="265"/>
    <s v="Food, Beverages &amp; Tobacco"/>
    <x v="44"/>
    <x v="148"/>
    <n v="10675"/>
    <n v="3253"/>
    <n v="5650"/>
  </r>
  <r>
    <n v="267"/>
    <x v="266"/>
    <s v="Retailing"/>
    <x v="52"/>
    <x v="26"/>
    <n v="10633"/>
    <n v="94"/>
    <n v="12886"/>
  </r>
  <r>
    <n v="268"/>
    <x v="267"/>
    <s v="Health Care"/>
    <x v="4"/>
    <x v="149"/>
    <n v="10630"/>
    <n v="479"/>
    <n v="19000"/>
  </r>
  <r>
    <n v="269"/>
    <x v="268"/>
    <s v="Retailing"/>
    <x v="52"/>
    <x v="150"/>
    <n v="10535"/>
    <n v="273"/>
    <n v="30000"/>
  </r>
  <r>
    <n v="270"/>
    <x v="269"/>
    <s v="Transportation"/>
    <x v="50"/>
    <x v="151"/>
    <n v="10511"/>
    <n v="1556"/>
    <n v="30456"/>
  </r>
  <r>
    <n v="271"/>
    <x v="270"/>
    <s v="Financials"/>
    <x v="21"/>
    <x v="152"/>
    <n v="10418"/>
    <n v="502"/>
    <n v="2201"/>
  </r>
  <r>
    <n v="272"/>
    <x v="271"/>
    <s v="Energy"/>
    <x v="43"/>
    <x v="41"/>
    <n v="10415"/>
    <n v="1679"/>
    <n v="13025"/>
  </r>
  <r>
    <n v="273"/>
    <x v="272"/>
    <s v="Financials"/>
    <x v="14"/>
    <x v="148"/>
    <n v="10346"/>
    <n v="2084"/>
    <n v="37200"/>
  </r>
  <r>
    <n v="274"/>
    <x v="273"/>
    <s v="Energy"/>
    <x v="43"/>
    <x v="7"/>
    <n v="10337"/>
    <n v="727"/>
    <n v="10000"/>
  </r>
  <r>
    <n v="275"/>
    <x v="274"/>
    <s v="Financials"/>
    <x v="3"/>
    <x v="12"/>
    <n v="10326"/>
    <n v="142"/>
    <n v="14861"/>
  </r>
  <r>
    <n v="276"/>
    <x v="275"/>
    <s v="Wholesalers"/>
    <x v="41"/>
    <x v="82"/>
    <n v="10315"/>
    <n v="44"/>
    <n v="1890"/>
  </r>
  <r>
    <n v="277"/>
    <x v="276"/>
    <s v="Chemicals"/>
    <x v="28"/>
    <x v="153"/>
    <n v="10299"/>
    <n v="93"/>
    <n v="15000"/>
  </r>
  <r>
    <n v="278"/>
    <x v="277"/>
    <s v="Health Care"/>
    <x v="53"/>
    <x v="154"/>
    <n v="10282"/>
    <n v="695"/>
    <n v="49517"/>
  </r>
  <r>
    <n v="279"/>
    <x v="278"/>
    <s v="Energy"/>
    <x v="43"/>
    <x v="78"/>
    <n v="10231"/>
    <n v="1349"/>
    <n v="17387"/>
  </r>
  <r>
    <n v="280"/>
    <x v="279"/>
    <s v="Retailing"/>
    <x v="10"/>
    <x v="47"/>
    <n v="10187"/>
    <n v="1160"/>
    <n v="63990"/>
  </r>
  <r>
    <n v="281"/>
    <x v="280"/>
    <s v="Motor Vehicles &amp; Parts"/>
    <x v="7"/>
    <x v="155"/>
    <n v="10140"/>
    <n v="-184"/>
    <n v="13800"/>
  </r>
  <r>
    <n v="282"/>
    <x v="281"/>
    <s v="Aerospace &amp; Defense"/>
    <x v="15"/>
    <x v="156"/>
    <n v="10056"/>
    <n v="1530"/>
    <n v="30106"/>
  </r>
  <r>
    <n v="283"/>
    <x v="282"/>
    <s v="Financials"/>
    <x v="14"/>
    <x v="157"/>
    <n v="10002"/>
    <n v="2297"/>
    <n v="15036"/>
  </r>
  <r>
    <n v="284"/>
    <x v="283"/>
    <s v="Technology"/>
    <x v="12"/>
    <x v="113"/>
    <n v="9989"/>
    <n v="869"/>
    <n v="22080"/>
  </r>
  <r>
    <n v="285"/>
    <x v="284"/>
    <s v="Wholesalers"/>
    <x v="41"/>
    <x v="158"/>
    <n v="9973"/>
    <n v="769"/>
    <n v="25100"/>
  </r>
  <r>
    <n v="286"/>
    <x v="285"/>
    <s v="Health Care"/>
    <x v="53"/>
    <x v="18"/>
    <n v="9968"/>
    <n v="968"/>
    <n v="49400"/>
  </r>
  <r>
    <n v="287"/>
    <x v="286"/>
    <s v="Health Care"/>
    <x v="53"/>
    <x v="159"/>
    <n v="9946"/>
    <n v="1439"/>
    <n v="27000"/>
  </r>
  <r>
    <n v="288"/>
    <x v="287"/>
    <s v="Chemicals"/>
    <x v="28"/>
    <x v="160"/>
    <n v="9895"/>
    <n v="1278"/>
    <n v="19550"/>
  </r>
  <r>
    <n v="289"/>
    <x v="288"/>
    <s v="Energy"/>
    <x v="1"/>
    <x v="161"/>
    <n v="9787"/>
    <n v="407"/>
    <n v="7347"/>
  </r>
  <r>
    <n v="290"/>
    <x v="289"/>
    <s v="Health Care"/>
    <x v="33"/>
    <x v="162"/>
    <n v="9785"/>
    <n v="681"/>
    <n v="64500"/>
  </r>
  <r>
    <n v="291"/>
    <x v="290"/>
    <s v="Health Care"/>
    <x v="4"/>
    <x v="163"/>
    <n v="9773"/>
    <n v="103"/>
    <n v="8100"/>
  </r>
  <r>
    <n v="292"/>
    <x v="291"/>
    <s v="Telecommunications"/>
    <x v="8"/>
    <x v="164"/>
    <n v="9754"/>
    <n v="-271"/>
    <n v="23800"/>
  </r>
  <r>
    <n v="293"/>
    <x v="292"/>
    <s v="Retailing"/>
    <x v="10"/>
    <x v="165"/>
    <n v="9737"/>
    <n v="473"/>
    <n v="56500"/>
  </r>
  <r>
    <n v="294"/>
    <x v="293"/>
    <s v="Business Services"/>
    <x v="60"/>
    <x v="37"/>
    <n v="9667"/>
    <n v="3808"/>
    <n v="11300"/>
  </r>
  <r>
    <n v="295"/>
    <x v="294"/>
    <s v="Technology"/>
    <x v="25"/>
    <x v="42"/>
    <n v="9659"/>
    <n v="1377"/>
    <n v="15050"/>
  </r>
  <r>
    <n v="296"/>
    <x v="295"/>
    <s v="Chemicals"/>
    <x v="28"/>
    <x v="166"/>
    <n v="9648"/>
    <n v="848"/>
    <n v="15000"/>
  </r>
  <r>
    <n v="297"/>
    <x v="296"/>
    <s v="Retailing"/>
    <x v="52"/>
    <x v="24"/>
    <n v="9624"/>
    <n v="86"/>
    <n v="9800"/>
  </r>
  <r>
    <n v="298"/>
    <x v="297"/>
    <s v="Financials"/>
    <x v="11"/>
    <x v="7"/>
    <n v="9539"/>
    <n v="1289"/>
    <n v="7100"/>
  </r>
  <r>
    <n v="299"/>
    <x v="298"/>
    <s v="Retailing"/>
    <x v="10"/>
    <x v="28"/>
    <n v="9499"/>
    <n v="149"/>
    <n v="12761"/>
  </r>
  <r>
    <n v="300"/>
    <x v="299"/>
    <s v="Technology"/>
    <x v="12"/>
    <x v="45"/>
    <n v="9496"/>
    <n v="1725"/>
    <n v="11600"/>
  </r>
  <r>
    <n v="301"/>
    <x v="300"/>
    <s v="Engineering &amp; Construction"/>
    <x v="67"/>
    <x v="70"/>
    <n v="9474"/>
    <n v="803"/>
    <n v="7749"/>
  </r>
  <r>
    <n v="302"/>
    <x v="301"/>
    <s v="Retailing"/>
    <x v="10"/>
    <x v="167"/>
    <n v="9364"/>
    <n v="403"/>
    <n v="40600"/>
  </r>
  <r>
    <n v="303"/>
    <x v="302"/>
    <s v="Materials"/>
    <x v="48"/>
    <x v="101"/>
    <n v="9351"/>
    <n v="312"/>
    <n v="13400"/>
  </r>
  <r>
    <n v="304"/>
    <x v="303"/>
    <s v="Food, Beverages &amp; Tobacco"/>
    <x v="23"/>
    <x v="168"/>
    <n v="9264"/>
    <n v="686"/>
    <n v="20700"/>
  </r>
  <r>
    <n v="305"/>
    <x v="304"/>
    <s v="Health Care"/>
    <x v="20"/>
    <x v="169"/>
    <n v="9256"/>
    <n v="1602"/>
    <n v="6971"/>
  </r>
  <r>
    <n v="306"/>
    <x v="305"/>
    <s v="Financials"/>
    <x v="21"/>
    <x v="97"/>
    <n v="9249"/>
    <n v="-615"/>
    <n v="4100"/>
  </r>
  <r>
    <n v="307"/>
    <x v="306"/>
    <s v="Business Services"/>
    <x v="60"/>
    <x v="45"/>
    <n v="9248"/>
    <n v="1228"/>
    <n v="16800"/>
  </r>
  <r>
    <n v="308"/>
    <x v="307"/>
    <s v="Technology"/>
    <x v="12"/>
    <x v="98"/>
    <n v="9224"/>
    <n v="2551"/>
    <n v="15500"/>
  </r>
  <r>
    <n v="309"/>
    <x v="308"/>
    <s v="Hotels, Resturants &amp; Leisure"/>
    <x v="58"/>
    <x v="139"/>
    <n v="9190"/>
    <n v="-448"/>
    <n v="57950"/>
  </r>
  <r>
    <n v="310"/>
    <x v="309"/>
    <s v="Motor Vehicles &amp; Parts"/>
    <x v="7"/>
    <x v="170"/>
    <n v="9170"/>
    <n v="457"/>
    <n v="59350"/>
  </r>
  <r>
    <n v="311"/>
    <x v="310"/>
    <s v="Financials"/>
    <x v="3"/>
    <x v="137"/>
    <n v="9132"/>
    <n v="527"/>
    <n v="54091"/>
  </r>
  <r>
    <n v="312"/>
    <x v="311"/>
    <s v="Business Services"/>
    <x v="62"/>
    <x v="74"/>
    <n v="9115"/>
    <n v="750"/>
    <n v="33000"/>
  </r>
  <r>
    <n v="313"/>
    <x v="312"/>
    <s v="Technology"/>
    <x v="27"/>
    <x v="171"/>
    <n v="9111"/>
    <n v="1339"/>
    <n v="35700"/>
  </r>
  <r>
    <n v="314"/>
    <x v="313"/>
    <s v="Engineering &amp; Construction"/>
    <x v="55"/>
    <x v="3"/>
    <n v="8992"/>
    <n v="251"/>
    <n v="22000"/>
  </r>
  <r>
    <n v="315"/>
    <x v="314"/>
    <s v="Wholesalers"/>
    <x v="42"/>
    <x v="172"/>
    <n v="8982"/>
    <n v="17"/>
    <n v="9200"/>
  </r>
  <r>
    <n v="316"/>
    <x v="315"/>
    <s v="Chemicals"/>
    <x v="28"/>
    <x v="173"/>
    <n v="8895"/>
    <n v="1000"/>
    <n v="8900"/>
  </r>
  <r>
    <n v="317"/>
    <x v="316"/>
    <s v="Wholesalers"/>
    <x v="29"/>
    <x v="174"/>
    <n v="8858"/>
    <n v="52"/>
    <n v="6655"/>
  </r>
  <r>
    <n v="318"/>
    <x v="317"/>
    <s v="Financials"/>
    <x v="31"/>
    <x v="33"/>
    <n v="8789"/>
    <n v="769"/>
    <n v="3104"/>
  </r>
  <r>
    <n v="319"/>
    <x v="318"/>
    <s v="Energy"/>
    <x v="47"/>
    <x v="26"/>
    <n v="8782"/>
    <n v="501"/>
    <n v="23000"/>
  </r>
  <r>
    <n v="320"/>
    <x v="319"/>
    <s v="Wholesalers"/>
    <x v="41"/>
    <x v="25"/>
    <n v="8779"/>
    <n v="1472"/>
    <n v="14000"/>
  </r>
  <r>
    <n v="321"/>
    <x v="320"/>
    <s v="Materials"/>
    <x v="49"/>
    <x v="32"/>
    <n v="8762"/>
    <n v="393"/>
    <n v="24000"/>
  </r>
  <r>
    <n v="322"/>
    <x v="321"/>
    <s v="Energy"/>
    <x v="39"/>
    <x v="26"/>
    <n v="8757"/>
    <n v="-4525"/>
    <n v="2760"/>
  </r>
  <r>
    <n v="323"/>
    <x v="322"/>
    <s v="Wholesalers"/>
    <x v="41"/>
    <x v="25"/>
    <n v="8718"/>
    <n v="27"/>
    <n v="8800"/>
  </r>
  <r>
    <n v="324"/>
    <x v="323"/>
    <s v="Energy"/>
    <x v="39"/>
    <x v="153"/>
    <n v="8698"/>
    <n v="-6692"/>
    <n v="5800"/>
  </r>
  <r>
    <n v="325"/>
    <x v="324"/>
    <s v="Health Care"/>
    <x v="13"/>
    <x v="175"/>
    <n v="8680"/>
    <n v="437"/>
    <n v="50000"/>
  </r>
  <r>
    <n v="326"/>
    <x v="325"/>
    <s v="Financials"/>
    <x v="21"/>
    <x v="176"/>
    <n v="8642"/>
    <n v="661"/>
    <n v="3276"/>
  </r>
  <r>
    <n v="327"/>
    <x v="326"/>
    <s v="Media"/>
    <x v="64"/>
    <x v="12"/>
    <n v="8633"/>
    <n v="-147"/>
    <n v="25000"/>
  </r>
  <r>
    <n v="328"/>
    <x v="327"/>
    <s v="Household Products"/>
    <x v="65"/>
    <x v="116"/>
    <n v="8604"/>
    <n v="147"/>
    <n v="40000"/>
  </r>
  <r>
    <n v="329"/>
    <x v="328"/>
    <s v="Financials"/>
    <x v="14"/>
    <x v="25"/>
    <n v="8533"/>
    <n v="1933"/>
    <n v="24043"/>
  </r>
  <r>
    <n v="330"/>
    <x v="329"/>
    <s v="Retailing"/>
    <x v="52"/>
    <x v="127"/>
    <n v="8502"/>
    <n v="313"/>
    <n v="26350"/>
  </r>
  <r>
    <n v="331"/>
    <x v="330"/>
    <s v="Technology"/>
    <x v="25"/>
    <x v="51"/>
    <n v="8394"/>
    <n v="978"/>
    <n v="9950"/>
  </r>
  <r>
    <n v="332"/>
    <x v="331"/>
    <s v="Financials"/>
    <x v="3"/>
    <x v="177"/>
    <n v="8286"/>
    <n v="694"/>
    <n v="9843"/>
  </r>
  <r>
    <n v="333"/>
    <x v="332"/>
    <s v="Telecommunications"/>
    <x v="8"/>
    <x v="178"/>
    <n v="8229"/>
    <n v="3433"/>
    <n v="12500"/>
  </r>
  <r>
    <n v="334"/>
    <x v="333"/>
    <s v="Motor Vehicles &amp; Parts"/>
    <x v="7"/>
    <x v="158"/>
    <n v="8209"/>
    <n v="247"/>
    <n v="30000"/>
  </r>
  <r>
    <n v="335"/>
    <x v="334"/>
    <s v="Wholesalers"/>
    <x v="29"/>
    <x v="122"/>
    <n v="8185"/>
    <n v="139"/>
    <n v="8700"/>
  </r>
  <r>
    <n v="336"/>
    <x v="335"/>
    <s v="Food, Beverages &amp; Tobacco"/>
    <x v="23"/>
    <x v="9"/>
    <n v="8122"/>
    <n v="-9"/>
    <n v="16960"/>
  </r>
  <r>
    <n v="337"/>
    <x v="336"/>
    <s v="Food, Beverages &amp; Tobacco"/>
    <x v="23"/>
    <x v="179"/>
    <n v="8082"/>
    <n v="691"/>
    <n v="18600"/>
  </r>
  <r>
    <n v="338"/>
    <x v="337"/>
    <s v="Household Products"/>
    <x v="65"/>
    <x v="180"/>
    <n v="8072"/>
    <n v="615"/>
    <n v="34100"/>
  </r>
  <r>
    <n v="339"/>
    <x v="338"/>
    <s v="Motor Vehicles &amp; Parts"/>
    <x v="7"/>
    <x v="170"/>
    <n v="8023"/>
    <n v="610"/>
    <n v="30000"/>
  </r>
  <r>
    <n v="340"/>
    <x v="339"/>
    <s v="Apparel"/>
    <x v="40"/>
    <x v="12"/>
    <n v="8020"/>
    <n v="572"/>
    <n v="26200"/>
  </r>
  <r>
    <n v="341"/>
    <x v="340"/>
    <s v="Materials"/>
    <x v="49"/>
    <x v="178"/>
    <n v="7997"/>
    <n v="281"/>
    <n v="15200"/>
  </r>
  <r>
    <n v="342"/>
    <x v="341"/>
    <s v="Retailing"/>
    <x v="10"/>
    <x v="181"/>
    <n v="7967"/>
    <n v="931"/>
    <n v="54911"/>
  </r>
  <r>
    <n v="343"/>
    <x v="342"/>
    <s v="Energy"/>
    <x v="43"/>
    <x v="60"/>
    <n v="7955"/>
    <n v="879"/>
    <n v="7943"/>
  </r>
  <r>
    <n v="344"/>
    <x v="343"/>
    <s v="Financials"/>
    <x v="63"/>
    <x v="182"/>
    <n v="7949"/>
    <n v="2035"/>
    <n v="9489"/>
  </r>
  <r>
    <n v="345"/>
    <x v="344"/>
    <s v="Household Products"/>
    <x v="65"/>
    <x v="183"/>
    <n v="7904"/>
    <n v="355"/>
    <n v="25000"/>
  </r>
  <r>
    <n v="346"/>
    <x v="345"/>
    <s v="Retailing"/>
    <x v="52"/>
    <x v="184"/>
    <n v="7864"/>
    <n v="183"/>
    <n v="9574"/>
  </r>
  <r>
    <n v="347"/>
    <x v="346"/>
    <s v="Financials"/>
    <x v="63"/>
    <x v="12"/>
    <n v="7786"/>
    <n v="489"/>
    <n v="1196"/>
  </r>
  <r>
    <n v="348"/>
    <x v="347"/>
    <s v="Energy"/>
    <x v="35"/>
    <x v="107"/>
    <n v="7763"/>
    <n v="245"/>
    <n v="2364"/>
  </r>
  <r>
    <n v="349"/>
    <x v="348"/>
    <s v="Energy"/>
    <x v="39"/>
    <x v="185"/>
    <n v="7729"/>
    <n v="220"/>
    <n v="15601"/>
  </r>
  <r>
    <n v="350"/>
    <x v="349"/>
    <s v="Energy"/>
    <x v="43"/>
    <x v="160"/>
    <n v="7669"/>
    <n v="682"/>
    <n v="12799"/>
  </r>
  <r>
    <n v="351"/>
    <x v="350"/>
    <s v="Wholesalers"/>
    <x v="29"/>
    <x v="186"/>
    <n v="7652"/>
    <n v="63"/>
    <n v="11850"/>
  </r>
  <r>
    <n v="352"/>
    <x v="351"/>
    <s v="Engineering &amp; Construction"/>
    <x v="55"/>
    <x v="26"/>
    <n v="7632"/>
    <n v="311"/>
    <n v="24500"/>
  </r>
  <r>
    <n v="353"/>
    <x v="352"/>
    <s v="Transportation"/>
    <x v="61"/>
    <x v="187"/>
    <n v="7623"/>
    <n v="-191"/>
    <n v="89000"/>
  </r>
  <r>
    <n v="354"/>
    <x v="353"/>
    <s v="Apparel"/>
    <x v="40"/>
    <x v="12"/>
    <n v="7620"/>
    <n v="702"/>
    <n v="20000"/>
  </r>
  <r>
    <n v="355"/>
    <x v="354"/>
    <s v="Business Services"/>
    <x v="56"/>
    <x v="12"/>
    <n v="7614"/>
    <n v="455"/>
    <n v="49200"/>
  </r>
  <r>
    <n v="356"/>
    <x v="355"/>
    <s v="Materials"/>
    <x v="48"/>
    <x v="188"/>
    <n v="7594"/>
    <n v="-130"/>
    <n v="7500"/>
  </r>
  <r>
    <n v="357"/>
    <x v="356"/>
    <s v="Wholesalers"/>
    <x v="41"/>
    <x v="99"/>
    <n v="7519"/>
    <n v="211"/>
    <n v="9300"/>
  </r>
  <r>
    <n v="358"/>
    <x v="357"/>
    <s v="Health Care"/>
    <x v="13"/>
    <x v="189"/>
    <n v="7493"/>
    <n v="709"/>
    <n v="44000"/>
  </r>
  <r>
    <n v="359"/>
    <x v="358"/>
    <s v="Health Care"/>
    <x v="53"/>
    <x v="190"/>
    <n v="7477"/>
    <n v="-239"/>
    <n v="25000"/>
  </r>
  <r>
    <n v="360"/>
    <x v="359"/>
    <s v="Industrials"/>
    <x v="30"/>
    <x v="191"/>
    <n v="7467"/>
    <n v="266"/>
    <n v="19588"/>
  </r>
  <r>
    <n v="361"/>
    <x v="360"/>
    <s v="Retailing"/>
    <x v="38"/>
    <x v="12"/>
    <n v="7412"/>
    <n v="541"/>
    <n v="30985"/>
  </r>
  <r>
    <n v="362"/>
    <x v="361"/>
    <s v="Food, Beverages &amp; Tobacco"/>
    <x v="23"/>
    <x v="192"/>
    <n v="7387"/>
    <n v="513"/>
    <n v="19885"/>
  </r>
  <r>
    <n v="363"/>
    <x v="362"/>
    <s v="Energy"/>
    <x v="43"/>
    <x v="26"/>
    <n v="7386"/>
    <n v="-692"/>
    <n v="7505"/>
  </r>
  <r>
    <n v="364"/>
    <x v="363"/>
    <s v="Energy"/>
    <x v="57"/>
    <x v="107"/>
    <n v="7360"/>
    <n v="-571"/>
    <n v="6578"/>
  </r>
  <r>
    <n v="365"/>
    <x v="364"/>
    <s v="Retailing"/>
    <x v="10"/>
    <x v="193"/>
    <n v="7271"/>
    <n v="330"/>
    <n v="25150"/>
  </r>
  <r>
    <n v="366"/>
    <x v="365"/>
    <s v="Media"/>
    <x v="26"/>
    <x v="194"/>
    <n v="7246"/>
    <n v="-33"/>
    <n v="12200"/>
  </r>
  <r>
    <n v="367"/>
    <x v="366"/>
    <s v="Financials"/>
    <x v="21"/>
    <x v="3"/>
    <n v="7236"/>
    <n v="333"/>
    <n v="5488"/>
  </r>
  <r>
    <n v="368"/>
    <x v="367"/>
    <s v="Financials"/>
    <x v="3"/>
    <x v="187"/>
    <n v="7207"/>
    <n v="504"/>
    <n v="7621"/>
  </r>
  <r>
    <n v="369"/>
    <x v="368"/>
    <s v="Wholesalers"/>
    <x v="41"/>
    <x v="22"/>
    <n v="7193"/>
    <n v="423"/>
    <n v="31100"/>
  </r>
  <r>
    <n v="370"/>
    <x v="369"/>
    <s v="Household Products"/>
    <x v="18"/>
    <x v="12"/>
    <n v="7173"/>
    <n v="-1149"/>
    <n v="30900"/>
  </r>
  <r>
    <n v="371"/>
    <x v="370"/>
    <s v="Hotels, Resturants &amp; Leisure"/>
    <x v="45"/>
    <x v="195"/>
    <n v="7164"/>
    <n v="710"/>
    <n v="148892"/>
  </r>
  <r>
    <n v="372"/>
    <x v="371"/>
    <s v="Health Care"/>
    <x v="33"/>
    <x v="43"/>
    <n v="7098"/>
    <n v="-93"/>
    <n v="77800"/>
  </r>
  <r>
    <n v="373"/>
    <x v="372"/>
    <s v="Materials"/>
    <x v="68"/>
    <x v="196"/>
    <n v="7082"/>
    <n v="506"/>
    <n v="12600"/>
  </r>
  <r>
    <n v="374"/>
    <x v="373"/>
    <s v="Retailing"/>
    <x v="10"/>
    <x v="197"/>
    <n v="7052"/>
    <n v="181"/>
    <n v="22408"/>
  </r>
  <r>
    <n v="375"/>
    <x v="374"/>
    <s v="Materials"/>
    <x v="49"/>
    <x v="24"/>
    <n v="7032"/>
    <n v="335"/>
    <n v="23000"/>
  </r>
  <r>
    <n v="376"/>
    <x v="375"/>
    <s v="Financials"/>
    <x v="14"/>
    <x v="16"/>
    <n v="7031"/>
    <n v="1712"/>
    <n v="18261"/>
  </r>
  <r>
    <n v="377"/>
    <x v="376"/>
    <s v="Industrials"/>
    <x v="9"/>
    <x v="172"/>
    <n v="7029"/>
    <n v="870"/>
    <n v="26000"/>
  </r>
  <r>
    <n v="378"/>
    <x v="377"/>
    <s v="Aerospace &amp; Defense"/>
    <x v="15"/>
    <x v="198"/>
    <n v="7020"/>
    <n v="404"/>
    <n v="35995"/>
  </r>
  <r>
    <n v="379"/>
    <x v="378"/>
    <s v="Retailing"/>
    <x v="10"/>
    <x v="199"/>
    <n v="6780"/>
    <n v="123"/>
    <n v="3700"/>
  </r>
  <r>
    <n v="380"/>
    <x v="379"/>
    <s v="Retailing"/>
    <x v="0"/>
    <x v="200"/>
    <n v="6755"/>
    <n v="269"/>
    <n v="30600"/>
  </r>
  <r>
    <n v="381"/>
    <x v="380"/>
    <s v="Engineering &amp; Construction"/>
    <x v="55"/>
    <x v="98"/>
    <n v="6723"/>
    <n v="172"/>
    <n v="29000"/>
  </r>
  <r>
    <n v="382"/>
    <x v="381"/>
    <s v="Financials"/>
    <x v="63"/>
    <x v="201"/>
    <n v="6694"/>
    <n v="838"/>
    <n v="41000"/>
  </r>
  <r>
    <n v="383"/>
    <x v="382"/>
    <s v="Materials"/>
    <x v="48"/>
    <x v="202"/>
    <n v="6693"/>
    <n v="-509"/>
    <n v="8500"/>
  </r>
  <r>
    <n v="384"/>
    <x v="383"/>
    <s v="Energy"/>
    <x v="57"/>
    <x v="162"/>
    <n v="6691"/>
    <n v="281"/>
    <n v="13570"/>
  </r>
  <r>
    <n v="385"/>
    <x v="384"/>
    <s v="Technology"/>
    <x v="12"/>
    <x v="95"/>
    <n v="6672"/>
    <n v="765"/>
    <n v="18730"/>
  </r>
  <r>
    <n v="386"/>
    <x v="385"/>
    <s v="Technology"/>
    <x v="16"/>
    <x v="4"/>
    <n v="6667"/>
    <n v="-47"/>
    <n v="19742"/>
  </r>
  <r>
    <n v="387"/>
    <x v="386"/>
    <s v="Energy"/>
    <x v="35"/>
    <x v="26"/>
    <n v="6659"/>
    <n v="58"/>
    <n v="1870"/>
  </r>
  <r>
    <n v="388"/>
    <x v="387"/>
    <s v="Energy"/>
    <x v="39"/>
    <x v="26"/>
    <n v="6654"/>
    <n v="-23119"/>
    <n v="3860"/>
  </r>
  <r>
    <n v="389"/>
    <x v="388"/>
    <s v="Aerospace &amp; Defense"/>
    <x v="15"/>
    <x v="203"/>
    <n v="6644"/>
    <n v="789"/>
    <n v="15200"/>
  </r>
  <r>
    <n v="390"/>
    <x v="389"/>
    <s v="Transportation"/>
    <x v="61"/>
    <x v="17"/>
    <n v="6617"/>
    <n v="457"/>
    <n v="15397"/>
  </r>
  <r>
    <n v="391"/>
    <x v="390"/>
    <s v="Wholesalers"/>
    <x v="41"/>
    <x v="123"/>
    <n v="6596"/>
    <n v="128"/>
    <n v="8700"/>
  </r>
  <r>
    <n v="392"/>
    <x v="391"/>
    <s v="Business Services"/>
    <x v="60"/>
    <x v="137"/>
    <n v="6595"/>
    <n v="632"/>
    <n v="55000"/>
  </r>
  <r>
    <n v="393"/>
    <x v="392"/>
    <s v="Retailing"/>
    <x v="52"/>
    <x v="191"/>
    <n v="6588"/>
    <n v="169"/>
    <n v="8600"/>
  </r>
  <r>
    <n v="394"/>
    <x v="393"/>
    <s v="Energy"/>
    <x v="1"/>
    <x v="12"/>
    <n v="6575"/>
    <n v="-3056"/>
    <n v="2770"/>
  </r>
  <r>
    <n v="395"/>
    <x v="394"/>
    <s v="Transportation"/>
    <x v="69"/>
    <x v="70"/>
    <n v="6572"/>
    <n v="305"/>
    <n v="33100"/>
  </r>
  <r>
    <n v="396"/>
    <x v="395"/>
    <s v="Industrials"/>
    <x v="30"/>
    <x v="204"/>
    <n v="6543"/>
    <n v="146"/>
    <n v="20400"/>
  </r>
  <r>
    <n v="397"/>
    <x v="396"/>
    <s v="Food, Beverages &amp; Tobacco"/>
    <x v="32"/>
    <x v="25"/>
    <n v="6540"/>
    <n v="596"/>
    <n v="11500"/>
  </r>
  <r>
    <n v="398"/>
    <x v="397"/>
    <s v="Financials"/>
    <x v="19"/>
    <x v="205"/>
    <n v="6517"/>
    <n v="815"/>
    <n v="4483"/>
  </r>
  <r>
    <n v="399"/>
    <x v="398"/>
    <s v="Telecommunications"/>
    <x v="8"/>
    <x v="206"/>
    <n v="6510"/>
    <n v="175"/>
    <n v="13549"/>
  </r>
  <r>
    <n v="400"/>
    <x v="399"/>
    <s v="Technology"/>
    <x v="16"/>
    <x v="31"/>
    <n v="6508"/>
    <n v="878"/>
    <n v="19000"/>
  </r>
  <r>
    <n v="401"/>
    <x v="400"/>
    <s v="Financials"/>
    <x v="63"/>
    <x v="4"/>
    <n v="6501"/>
    <n v="1447"/>
    <n v="15300"/>
  </r>
  <r>
    <n v="402"/>
    <x v="401"/>
    <s v="Energy"/>
    <x v="57"/>
    <x v="26"/>
    <n v="6472"/>
    <n v="235"/>
    <n v="2209"/>
  </r>
  <r>
    <n v="403"/>
    <x v="402"/>
    <s v="Energy"/>
    <x v="43"/>
    <x v="207"/>
    <n v="6456"/>
    <n v="523"/>
    <n v="7758"/>
  </r>
  <r>
    <n v="404"/>
    <x v="403"/>
    <s v="Business Services"/>
    <x v="60"/>
    <x v="130"/>
    <n v="6440"/>
    <n v="597"/>
    <n v="16000"/>
  </r>
  <r>
    <n v="405"/>
    <x v="404"/>
    <s v="Transportation"/>
    <x v="36"/>
    <x v="208"/>
    <n v="6416"/>
    <n v="677"/>
    <n v="14537"/>
  </r>
  <r>
    <n v="406"/>
    <x v="405"/>
    <s v="Media"/>
    <x v="26"/>
    <x v="209"/>
    <n v="6394"/>
    <n v="1034"/>
    <n v="7000"/>
  </r>
  <r>
    <n v="407"/>
    <x v="406"/>
    <s v="Transportation"/>
    <x v="70"/>
    <x v="9"/>
    <n v="6393"/>
    <n v="797"/>
    <n v="22030"/>
  </r>
  <r>
    <n v="408"/>
    <x v="407"/>
    <s v="Technology"/>
    <x v="25"/>
    <x v="45"/>
    <n v="6375"/>
    <n v="377"/>
    <n v="38910"/>
  </r>
  <r>
    <n v="409"/>
    <x v="408"/>
    <s v="Technology"/>
    <x v="2"/>
    <x v="191"/>
    <n v="6373"/>
    <n v="-178"/>
    <n v="32600"/>
  </r>
  <r>
    <n v="410"/>
    <x v="409"/>
    <s v="Energy"/>
    <x v="47"/>
    <x v="26"/>
    <n v="6363"/>
    <n v="393"/>
    <n v="17400"/>
  </r>
  <r>
    <n v="411"/>
    <x v="410"/>
    <s v="Financials"/>
    <x v="3"/>
    <x v="210"/>
    <n v="6351"/>
    <n v="175"/>
    <n v="4800"/>
  </r>
  <r>
    <n v="412"/>
    <x v="411"/>
    <s v="Industrials"/>
    <x v="37"/>
    <x v="55"/>
    <n v="6308"/>
    <n v="828"/>
    <n v="22500"/>
  </r>
  <r>
    <n v="413"/>
    <x v="412"/>
    <s v="Food, Beverages &amp; Tobacco"/>
    <x v="32"/>
    <x v="130"/>
    <n v="6282"/>
    <n v="764"/>
    <n v="19000"/>
  </r>
  <r>
    <n v="414"/>
    <x v="413"/>
    <s v="Media"/>
    <x v="26"/>
    <x v="28"/>
    <n v="6242"/>
    <n v="-755"/>
    <n v="18700"/>
  </r>
  <r>
    <n v="415"/>
    <x v="414"/>
    <s v="Retailing"/>
    <x v="10"/>
    <x v="211"/>
    <n v="6227"/>
    <n v="410"/>
    <n v="17500"/>
  </r>
  <r>
    <n v="416"/>
    <x v="415"/>
    <s v="Transportation"/>
    <x v="69"/>
    <x v="212"/>
    <n v="6188"/>
    <n v="427"/>
    <n v="21562"/>
  </r>
  <r>
    <n v="417"/>
    <x v="416"/>
    <s v="Materials"/>
    <x v="48"/>
    <x v="1"/>
    <n v="6162"/>
    <n v="142"/>
    <n v="9126"/>
  </r>
  <r>
    <n v="418"/>
    <x v="417"/>
    <s v="Materials"/>
    <x v="49"/>
    <x v="213"/>
    <n v="6156"/>
    <n v="-74"/>
    <n v="27000"/>
  </r>
  <r>
    <n v="419"/>
    <x v="418"/>
    <s v="Industrials"/>
    <x v="37"/>
    <x v="164"/>
    <n v="6155"/>
    <n v="343"/>
    <n v="24197"/>
  </r>
  <r>
    <n v="420"/>
    <x v="419"/>
    <s v="Health Care"/>
    <x v="20"/>
    <x v="214"/>
    <n v="6149"/>
    <n v="956"/>
    <n v="17000"/>
  </r>
  <r>
    <n v="421"/>
    <x v="420"/>
    <s v="Financials"/>
    <x v="3"/>
    <x v="16"/>
    <n v="6145"/>
    <n v="352"/>
    <n v="7400"/>
  </r>
  <r>
    <n v="422"/>
    <x v="421"/>
    <s v="Technology"/>
    <x v="46"/>
    <x v="215"/>
    <n v="6123"/>
    <n v="560"/>
    <n v="12810"/>
  </r>
  <r>
    <n v="423"/>
    <x v="422"/>
    <s v="Wholesalers"/>
    <x v="41"/>
    <x v="21"/>
    <n v="6110"/>
    <n v="91"/>
    <n v="8300"/>
  </r>
  <r>
    <n v="424"/>
    <x v="423"/>
    <s v="Motor Vehicles &amp; Parts"/>
    <x v="7"/>
    <x v="216"/>
    <n v="6098"/>
    <n v="230"/>
    <n v="13300"/>
  </r>
  <r>
    <n v="425"/>
    <x v="424"/>
    <s v="Energy"/>
    <x v="43"/>
    <x v="21"/>
    <n v="6098"/>
    <n v="630"/>
    <n v="8527"/>
  </r>
  <r>
    <n v="426"/>
    <x v="425"/>
    <s v="Materials"/>
    <x v="42"/>
    <x v="217"/>
    <n v="6070"/>
    <n v="7"/>
    <n v="52"/>
  </r>
  <r>
    <n v="427"/>
    <x v="426"/>
    <s v="Retailing"/>
    <x v="10"/>
    <x v="12"/>
    <n v="6070"/>
    <n v="37"/>
    <n v="37000"/>
  </r>
  <r>
    <n v="428"/>
    <x v="427"/>
    <s v="Motor Vehicles &amp; Parts"/>
    <x v="7"/>
    <x v="218"/>
    <n v="6060"/>
    <n v="159"/>
    <n v="23100"/>
  </r>
  <r>
    <n v="429"/>
    <x v="428"/>
    <s v="Food, Beverages &amp; Tobacco"/>
    <x v="32"/>
    <x v="219"/>
    <n v="6028"/>
    <n v="839"/>
    <n v="7200"/>
  </r>
  <r>
    <n v="430"/>
    <x v="429"/>
    <s v="Health Care"/>
    <x v="33"/>
    <x v="211"/>
    <n v="6014"/>
    <n v="182"/>
    <n v="40000"/>
  </r>
  <r>
    <n v="431"/>
    <x v="430"/>
    <s v="Health Care"/>
    <x v="53"/>
    <x v="220"/>
    <n v="5998"/>
    <n v="147"/>
    <n v="17500"/>
  </r>
  <r>
    <n v="432"/>
    <x v="431"/>
    <s v="Transportation"/>
    <x v="70"/>
    <x v="55"/>
    <n v="5995"/>
    <n v="752"/>
    <n v="6300"/>
  </r>
  <r>
    <n v="433"/>
    <x v="432"/>
    <s v="Engineering &amp; Construction"/>
    <x v="67"/>
    <x v="25"/>
    <n v="5982"/>
    <n v="494"/>
    <n v="4542"/>
  </r>
  <r>
    <n v="434"/>
    <x v="433"/>
    <s v="Household Products"/>
    <x v="65"/>
    <x v="25"/>
    <n v="5972"/>
    <n v="350"/>
    <n v="17200"/>
  </r>
  <r>
    <n v="435"/>
    <x v="434"/>
    <s v="Materials"/>
    <x v="49"/>
    <x v="221"/>
    <n v="5967"/>
    <n v="274"/>
    <n v="25000"/>
  </r>
  <r>
    <n v="436"/>
    <x v="435"/>
    <s v="Financials"/>
    <x v="66"/>
    <x v="22"/>
    <n v="5966"/>
    <n v="439"/>
    <n v="61500"/>
  </r>
  <r>
    <n v="437"/>
    <x v="436"/>
    <s v="Energy"/>
    <x v="43"/>
    <x v="55"/>
    <n v="5926"/>
    <n v="640"/>
    <n v="8211"/>
  </r>
  <r>
    <n v="438"/>
    <x v="437"/>
    <s v="Energy"/>
    <x v="39"/>
    <x v="26"/>
    <n v="5861"/>
    <n v="-2204"/>
    <n v="2611"/>
  </r>
  <r>
    <n v="439"/>
    <x v="438"/>
    <s v="Retailing"/>
    <x v="10"/>
    <x v="222"/>
    <n v="5851"/>
    <n v="28"/>
    <n v="18450"/>
  </r>
  <r>
    <n v="440"/>
    <x v="439"/>
    <s v="Business Services"/>
    <x v="42"/>
    <x v="164"/>
    <n v="5817"/>
    <n v="585"/>
    <n v="12700"/>
  </r>
  <r>
    <n v="441"/>
    <x v="440"/>
    <s v="Household Products"/>
    <x v="18"/>
    <x v="12"/>
    <n v="5816"/>
    <n v="-557"/>
    <n v="15922"/>
  </r>
  <r>
    <n v="442"/>
    <x v="441"/>
    <s v="Financials"/>
    <x v="3"/>
    <x v="22"/>
    <n v="5766"/>
    <n v="422"/>
    <n v="8200"/>
  </r>
  <r>
    <n v="443"/>
    <x v="442"/>
    <s v="Telecommunications"/>
    <x v="8"/>
    <x v="200"/>
    <n v="5765"/>
    <n v="27"/>
    <n v="12326"/>
  </r>
  <r>
    <n v="444"/>
    <x v="443"/>
    <s v="Hotels, Resturants &amp; Leisure"/>
    <x v="58"/>
    <x v="164"/>
    <n v="5763"/>
    <n v="489"/>
    <n v="188000"/>
  </r>
  <r>
    <n v="445"/>
    <x v="444"/>
    <s v="Energy"/>
    <x v="1"/>
    <x v="211"/>
    <n v="5762"/>
    <n v="19"/>
    <n v="4584"/>
  </r>
  <r>
    <n v="446"/>
    <x v="445"/>
    <s v="Materials"/>
    <x v="49"/>
    <x v="158"/>
    <n v="5742"/>
    <n v="437"/>
    <n v="13000"/>
  </r>
  <r>
    <n v="447"/>
    <x v="446"/>
    <s v="Health Care"/>
    <x v="13"/>
    <x v="223"/>
    <n v="5738"/>
    <n v="387"/>
    <n v="36100"/>
  </r>
  <r>
    <n v="448"/>
    <x v="447"/>
    <s v="Apparel"/>
    <x v="40"/>
    <x v="148"/>
    <n v="5732"/>
    <n v="429"/>
    <n v="65300"/>
  </r>
  <r>
    <n v="449"/>
    <x v="448"/>
    <s v="Financials"/>
    <x v="66"/>
    <x v="189"/>
    <n v="5706"/>
    <n v="184"/>
    <n v="11400"/>
  </r>
  <r>
    <n v="450"/>
    <x v="449"/>
    <s v="Household Products"/>
    <x v="42"/>
    <x v="224"/>
    <n v="5703"/>
    <n v="369"/>
    <n v="31000"/>
  </r>
  <r>
    <n v="451"/>
    <x v="450"/>
    <s v="Technology"/>
    <x v="27"/>
    <x v="225"/>
    <n v="5695"/>
    <n v="610"/>
    <n v="14000"/>
  </r>
  <r>
    <n v="452"/>
    <x v="451"/>
    <s v="Food, Beverages &amp; Tobacco"/>
    <x v="23"/>
    <x v="226"/>
    <n v="5693"/>
    <n v="345"/>
    <n v="7370"/>
  </r>
  <r>
    <n v="453"/>
    <x v="452"/>
    <s v="Financials"/>
    <x v="14"/>
    <x v="227"/>
    <n v="5674"/>
    <n v="1062"/>
    <n v="23916"/>
  </r>
  <r>
    <n v="453"/>
    <x v="452"/>
    <s v="Financials"/>
    <x v="14"/>
    <x v="227"/>
    <n v="5674"/>
    <n v="1062"/>
    <n v="23916"/>
  </r>
  <r>
    <n v="455"/>
    <x v="453"/>
    <s v="Household Products"/>
    <x v="18"/>
    <x v="228"/>
    <n v="5666"/>
    <n v="580"/>
    <n v="7700"/>
  </r>
  <r>
    <n v="456"/>
    <x v="454"/>
    <s v="Food, Beverages &amp; Tobacco"/>
    <x v="22"/>
    <x v="229"/>
    <n v="5621"/>
    <n v="402"/>
    <n v="11500"/>
  </r>
  <r>
    <n v="457"/>
    <x v="455"/>
    <s v="Health Care"/>
    <x v="33"/>
    <x v="230"/>
    <n v="5619"/>
    <n v="-426"/>
    <n v="88700"/>
  </r>
  <r>
    <n v="458"/>
    <x v="456"/>
    <s v="Energy"/>
    <x v="39"/>
    <x v="21"/>
    <n v="5609"/>
    <n v="-1996"/>
    <n v="7600"/>
  </r>
  <r>
    <n v="459"/>
    <x v="457"/>
    <s v="Transportation"/>
    <x v="36"/>
    <x v="17"/>
    <n v="5598"/>
    <n v="848"/>
    <n v="13858"/>
  </r>
  <r>
    <n v="460"/>
    <x v="458"/>
    <s v="Food, Beverages &amp; Tobacco"/>
    <x v="22"/>
    <x v="231"/>
    <n v="5594"/>
    <n v="171"/>
    <n v="10772"/>
  </r>
  <r>
    <n v="461"/>
    <x v="459"/>
    <s v="Telecommunications"/>
    <x v="8"/>
    <x v="98"/>
    <n v="5576"/>
    <n v="-196"/>
    <n v="19200"/>
  </r>
  <r>
    <n v="462"/>
    <x v="460"/>
    <s v="Technology"/>
    <x v="27"/>
    <x v="232"/>
    <n v="5569"/>
    <n v="764"/>
    <n v="50700"/>
  </r>
  <r>
    <n v="463"/>
    <x v="461"/>
    <s v="Wholesalers"/>
    <x v="41"/>
    <x v="233"/>
    <n v="5565"/>
    <n v="35"/>
    <n v="500"/>
  </r>
  <r>
    <n v="464"/>
    <x v="462"/>
    <s v="Technology"/>
    <x v="25"/>
    <x v="234"/>
    <n v="5565"/>
    <n v="389"/>
    <n v="8790"/>
  </r>
  <r>
    <n v="465"/>
    <x v="463"/>
    <s v="Health Care"/>
    <x v="53"/>
    <x v="71"/>
    <n v="5541"/>
    <n v="880"/>
    <n v="18000"/>
  </r>
  <r>
    <n v="466"/>
    <x v="464"/>
    <s v="Hotels, Resturants &amp; Leisure"/>
    <x v="58"/>
    <x v="127"/>
    <n v="5536"/>
    <n v="612"/>
    <n v="37700"/>
  </r>
  <r>
    <n v="467"/>
    <x v="465"/>
    <s v="Business Services"/>
    <x v="54"/>
    <x v="235"/>
    <n v="5518"/>
    <n v="54"/>
    <n v="8100"/>
  </r>
  <r>
    <n v="468"/>
    <x v="466"/>
    <s v="Business Services"/>
    <x v="60"/>
    <x v="113"/>
    <n v="5484"/>
    <n v="838"/>
    <n v="10000"/>
  </r>
  <r>
    <n v="469"/>
    <x v="467"/>
    <s v="Health Care"/>
    <x v="13"/>
    <x v="185"/>
    <n v="5448"/>
    <n v="145"/>
    <n v="40888"/>
  </r>
  <r>
    <n v="470"/>
    <x v="468"/>
    <s v="Motor Vehicles &amp; Parts"/>
    <x v="7"/>
    <x v="236"/>
    <n v="5444"/>
    <n v="2284"/>
    <n v="11000"/>
  </r>
  <r>
    <n v="471"/>
    <x v="469"/>
    <s v="Financials"/>
    <x v="11"/>
    <x v="237"/>
    <n v="5392"/>
    <n v="357"/>
    <n v="21537"/>
  </r>
  <r>
    <n v="472"/>
    <x v="470"/>
    <s v="Financials"/>
    <x v="66"/>
    <x v="49"/>
    <n v="5387"/>
    <n v="558"/>
    <n v="240"/>
  </r>
  <r>
    <n v="472"/>
    <x v="470"/>
    <s v="Financials"/>
    <x v="66"/>
    <x v="49"/>
    <n v="5387"/>
    <n v="558"/>
    <n v="240"/>
  </r>
  <r>
    <n v="474"/>
    <x v="471"/>
    <s v="Wholesalers"/>
    <x v="34"/>
    <x v="238"/>
    <n v="5373"/>
    <n v="76"/>
    <n v="5761"/>
  </r>
  <r>
    <n v="475"/>
    <x v="472"/>
    <s v="Energy"/>
    <x v="57"/>
    <x v="9"/>
    <n v="5370"/>
    <n v="-5342"/>
    <n v="8860"/>
  </r>
  <r>
    <n v="476"/>
    <x v="473"/>
    <s v="Financials"/>
    <x v="3"/>
    <x v="239"/>
    <n v="5370"/>
    <n v="583"/>
    <n v="10600"/>
  </r>
  <r>
    <n v="477"/>
    <x v="474"/>
    <s v="Wholesalers"/>
    <x v="34"/>
    <x v="18"/>
    <n v="5363"/>
    <n v="-44"/>
    <n v="6400"/>
  </r>
  <r>
    <n v="478"/>
    <x v="475"/>
    <s v="Engineering &amp; Construction"/>
    <x v="55"/>
    <x v="113"/>
    <n v="5362"/>
    <n v="80"/>
    <n v="22000"/>
  </r>
  <r>
    <n v="479"/>
    <x v="476"/>
    <s v="Financials"/>
    <x v="31"/>
    <x v="16"/>
    <n v="5356"/>
    <n v="457"/>
    <n v="2168"/>
  </r>
  <r>
    <n v="480"/>
    <x v="477"/>
    <s v="Materials"/>
    <x v="71"/>
    <x v="240"/>
    <n v="5350"/>
    <n v="330"/>
    <n v="15000"/>
  </r>
  <r>
    <n v="481"/>
    <x v="478"/>
    <s v="Business Services"/>
    <x v="60"/>
    <x v="12"/>
    <n v="5313"/>
    <n v="1156"/>
    <n v="20400"/>
  </r>
  <r>
    <n v="482"/>
    <x v="479"/>
    <s v="Financials"/>
    <x v="63"/>
    <x v="103"/>
    <n v="5308"/>
    <n v="502"/>
    <n v="11000"/>
  </r>
  <r>
    <n v="483"/>
    <x v="480"/>
    <s v="Energy"/>
    <x v="43"/>
    <x v="241"/>
    <n v="5308"/>
    <n v="287"/>
    <n v="7596"/>
  </r>
  <r>
    <n v="484"/>
    <x v="481"/>
    <s v="Wholesalers"/>
    <x v="41"/>
    <x v="120"/>
    <n v="5305"/>
    <n v="368"/>
    <n v="17000"/>
  </r>
  <r>
    <n v="485"/>
    <x v="482"/>
    <s v="Business Services"/>
    <x v="59"/>
    <x v="12"/>
    <n v="5291"/>
    <n v="76"/>
    <n v="120000"/>
  </r>
  <r>
    <n v="486"/>
    <x v="483"/>
    <s v="Financials"/>
    <x v="14"/>
    <x v="122"/>
    <n v="5276"/>
    <n v="840"/>
    <n v="17700"/>
  </r>
  <r>
    <n v="487"/>
    <x v="484"/>
    <s v="Technology"/>
    <x v="17"/>
    <x v="36"/>
    <n v="5275"/>
    <n v="233"/>
    <n v="22500"/>
  </r>
  <r>
    <n v="488"/>
    <x v="485"/>
    <s v="Financials"/>
    <x v="66"/>
    <x v="29"/>
    <n v="5266"/>
    <n v="1828"/>
    <n v="4075"/>
  </r>
  <r>
    <n v="489"/>
    <x v="486"/>
    <s v="Materials"/>
    <x v="68"/>
    <x v="242"/>
    <n v="5264"/>
    <n v="142"/>
    <n v="9850"/>
  </r>
  <r>
    <n v="490"/>
    <x v="487"/>
    <s v="Aerospace &amp; Defense"/>
    <x v="15"/>
    <x v="243"/>
    <n v="5262"/>
    <n v="686"/>
    <n v="19500"/>
  </r>
  <r>
    <n v="491"/>
    <x v="488"/>
    <s v="Technology"/>
    <x v="25"/>
    <x v="124"/>
    <n v="5259"/>
    <n v="656"/>
    <n v="7300"/>
  </r>
  <r>
    <n v="492"/>
    <x v="489"/>
    <s v="Business Services"/>
    <x v="60"/>
    <x v="244"/>
    <n v="5254"/>
    <n v="712"/>
    <n v="22000"/>
  </r>
  <r>
    <n v="493"/>
    <x v="490"/>
    <s v="Energy"/>
    <x v="35"/>
    <x v="26"/>
    <n v="5234"/>
    <n v="196"/>
    <n v="6250"/>
  </r>
  <r>
    <n v="494"/>
    <x v="491"/>
    <s v="Financials"/>
    <x v="11"/>
    <x v="73"/>
    <n v="5197"/>
    <n v="997"/>
    <n v="7300"/>
  </r>
  <r>
    <n v="495"/>
    <x v="492"/>
    <s v="Retailing"/>
    <x v="10"/>
    <x v="54"/>
    <n v="5191"/>
    <n v="143"/>
    <n v="23650"/>
  </r>
  <r>
    <n v="496"/>
    <x v="493"/>
    <s v="Telecommunications"/>
    <x v="8"/>
    <x v="22"/>
    <n v="5176"/>
    <n v="219"/>
    <n v="10400"/>
  </r>
  <r>
    <n v="497"/>
    <x v="494"/>
    <s v="Financials"/>
    <x v="3"/>
    <x v="245"/>
    <n v="5176"/>
    <n v="288"/>
    <n v="17955"/>
  </r>
  <r>
    <n v="498"/>
    <x v="495"/>
    <s v="Engineering &amp; Construction"/>
    <x v="67"/>
    <x v="246"/>
    <n v="5170"/>
    <n v="383"/>
    <n v="4300"/>
  </r>
  <r>
    <n v="499"/>
    <x v="496"/>
    <s v="Financials"/>
    <x v="3"/>
    <x v="247"/>
    <n v="5142"/>
    <n v="634"/>
    <n v="4493"/>
  </r>
  <r>
    <n v="500"/>
    <x v="497"/>
    <s v="Retailing"/>
    <x v="38"/>
    <x v="248"/>
    <n v="5130"/>
    <n v="151"/>
    <n v="37500"/>
  </r>
  <r>
    <n v="501"/>
    <x v="498"/>
    <s v="Engineering &amp; Construction"/>
    <x v="55"/>
    <x v="26"/>
    <n v="5096"/>
    <n v="203"/>
    <n v="22000"/>
  </r>
  <r>
    <n v="502"/>
    <x v="499"/>
    <s v="Retailing"/>
    <x v="38"/>
    <x v="9"/>
    <n v="5095"/>
    <n v="15"/>
    <n v="15100"/>
  </r>
  <r>
    <n v="503"/>
    <x v="500"/>
    <s v="Business Services"/>
    <x v="54"/>
    <x v="102"/>
    <n v="5095"/>
    <n v="358"/>
    <n v="16100"/>
  </r>
  <r>
    <n v="504"/>
    <x v="501"/>
    <s v="Technology"/>
    <x v="17"/>
    <x v="246"/>
    <n v="5086"/>
    <n v="254"/>
    <n v="18000"/>
  </r>
  <r>
    <n v="505"/>
    <x v="502"/>
    <s v="Technology"/>
    <x v="27"/>
    <x v="249"/>
    <n v="5083"/>
    <n v="334"/>
    <n v="22300"/>
  </r>
  <r>
    <n v="506"/>
    <x v="503"/>
    <s v="Financials"/>
    <x v="3"/>
    <x v="250"/>
    <n v="5034"/>
    <n v="332"/>
    <n v="4800"/>
  </r>
  <r>
    <n v="507"/>
    <x v="504"/>
    <s v="Energy"/>
    <x v="43"/>
    <x v="15"/>
    <n v="5023"/>
    <n v="327"/>
    <n v="5184"/>
  </r>
  <r>
    <n v="508"/>
    <x v="505"/>
    <s v="Technology"/>
    <x v="25"/>
    <x v="42"/>
    <n v="5010"/>
    <n v="614"/>
    <n v="9227"/>
  </r>
  <r>
    <n v="509"/>
    <x v="506"/>
    <s v="Financials"/>
    <x v="3"/>
    <x v="12"/>
    <n v="5000"/>
    <n v="560"/>
    <n v="3135"/>
  </r>
  <r>
    <n v="510"/>
    <x v="507"/>
    <s v="Financials"/>
    <x v="14"/>
    <x v="251"/>
    <n v="4996"/>
    <n v="1080"/>
    <n v="16904"/>
  </r>
  <r>
    <n v="511"/>
    <x v="508"/>
    <s v="Retailing"/>
    <x v="52"/>
    <x v="252"/>
    <n v="4980"/>
    <n v="66"/>
    <n v="6700"/>
  </r>
  <r>
    <n v="512"/>
    <x v="509"/>
    <s v="Retailing"/>
    <x v="10"/>
    <x v="4"/>
    <n v="4976"/>
    <n v="310"/>
    <n v="19850"/>
  </r>
  <r>
    <n v="513"/>
    <x v="510"/>
    <s v="Technology"/>
    <x v="12"/>
    <x v="215"/>
    <n v="4968"/>
    <n v="-4359"/>
    <n v="10400"/>
  </r>
  <r>
    <n v="514"/>
    <x v="511"/>
    <s v="Materials"/>
    <x v="49"/>
    <x v="253"/>
    <n v="4964"/>
    <n v="250"/>
    <n v="21000"/>
  </r>
  <r>
    <n v="515"/>
    <x v="512"/>
    <s v="Health Care"/>
    <x v="33"/>
    <x v="211"/>
    <n v="4961"/>
    <n v="-458"/>
    <n v="67500"/>
  </r>
  <r>
    <n v="516"/>
    <x v="513"/>
    <s v="Engineering &amp; Construction"/>
    <x v="55"/>
    <x v="254"/>
    <n v="4921"/>
    <n v="45"/>
    <n v="10626"/>
  </r>
  <r>
    <n v="517"/>
    <x v="514"/>
    <s v="Retailing"/>
    <x v="10"/>
    <x v="1"/>
    <n v="4913"/>
    <n v="363"/>
    <n v="31500"/>
  </r>
  <r>
    <n v="518"/>
    <x v="515"/>
    <s v="Materials"/>
    <x v="49"/>
    <x v="255"/>
    <n v="4881"/>
    <n v="86"/>
    <n v="16000"/>
  </r>
  <r>
    <n v="519"/>
    <x v="516"/>
    <s v="Technology"/>
    <x v="27"/>
    <x v="215"/>
    <n v="4858"/>
    <n v="634"/>
    <n v="9058"/>
  </r>
  <r>
    <n v="520"/>
    <x v="517"/>
    <s v="Financials"/>
    <x v="14"/>
    <x v="22"/>
    <n v="4857"/>
    <n v="974"/>
    <n v="16200"/>
  </r>
  <r>
    <n v="521"/>
    <x v="518"/>
    <s v="Transportation"/>
    <x v="69"/>
    <x v="233"/>
    <n v="4832"/>
    <n v="1"/>
    <n v="32000"/>
  </r>
  <r>
    <n v="522"/>
    <x v="519"/>
    <s v="Energy"/>
    <x v="39"/>
    <x v="1"/>
    <n v="4826"/>
    <n v="-273"/>
    <n v="3732"/>
  </r>
  <r>
    <n v="523"/>
    <x v="520"/>
    <s v="Retailing"/>
    <x v="38"/>
    <x v="256"/>
    <n v="4803"/>
    <n v="-237"/>
    <n v="31000"/>
  </r>
  <r>
    <n v="524"/>
    <x v="521"/>
    <s v="Technology"/>
    <x v="16"/>
    <x v="45"/>
    <n v="4796"/>
    <n v="630"/>
    <n v="13893"/>
  </r>
  <r>
    <n v="525"/>
    <x v="522"/>
    <s v="Media"/>
    <x v="26"/>
    <x v="113"/>
    <n v="4795"/>
    <n v="64"/>
    <n v="3503"/>
  </r>
  <r>
    <n v="526"/>
    <x v="523"/>
    <s v="Telecommunications"/>
    <x v="8"/>
    <x v="58"/>
    <n v="4772"/>
    <n v="685"/>
    <n v="3371"/>
  </r>
  <r>
    <n v="527"/>
    <x v="524"/>
    <s v="Health Care"/>
    <x v="20"/>
    <x v="257"/>
    <n v="4765"/>
    <n v="339"/>
    <n v="9000"/>
  </r>
  <r>
    <n v="528"/>
    <x v="525"/>
    <s v="Transportation"/>
    <x v="70"/>
    <x v="258"/>
    <n v="4719"/>
    <n v="455"/>
    <n v="8100"/>
  </r>
  <r>
    <n v="529"/>
    <x v="526"/>
    <s v="Financials"/>
    <x v="63"/>
    <x v="25"/>
    <n v="4682"/>
    <n v="1274"/>
    <n v="5549"/>
  </r>
  <r>
    <n v="530"/>
    <x v="527"/>
    <s v="Media"/>
    <x v="64"/>
    <x v="259"/>
    <n v="4678"/>
    <n v="-642"/>
    <n v="22500"/>
  </r>
  <r>
    <n v="531"/>
    <x v="528"/>
    <s v="Financials"/>
    <x v="3"/>
    <x v="12"/>
    <n v="4664"/>
    <n v="504"/>
    <n v="6200"/>
  </r>
  <r>
    <n v="532"/>
    <x v="529"/>
    <s v="Technology"/>
    <x v="16"/>
    <x v="217"/>
    <n v="4664"/>
    <n v="892"/>
    <n v="7300"/>
  </r>
  <r>
    <n v="533"/>
    <x v="530"/>
    <s v="Household Products"/>
    <x v="65"/>
    <x v="18"/>
    <n v="4658"/>
    <n v="315"/>
    <n v="21400"/>
  </r>
  <r>
    <n v="534"/>
    <x v="531"/>
    <s v="Hotels, Resturants &amp; Leisure"/>
    <x v="58"/>
    <x v="139"/>
    <n v="4654"/>
    <n v="5920"/>
    <n v="33000"/>
  </r>
  <r>
    <n v="535"/>
    <x v="532"/>
    <s v="Food, Beverages &amp; Tobacco"/>
    <x v="23"/>
    <x v="21"/>
    <n v="4648"/>
    <n v="-115"/>
    <n v="8500"/>
  </r>
  <r>
    <n v="536"/>
    <x v="533"/>
    <s v="Financials"/>
    <x v="11"/>
    <x v="12"/>
    <n v="4647"/>
    <n v="710"/>
    <n v="2060"/>
  </r>
  <r>
    <n v="537"/>
    <x v="534"/>
    <s v="Health Care"/>
    <x v="5"/>
    <x v="260"/>
    <n v="4597"/>
    <n v="31"/>
    <n v="6900"/>
  </r>
  <r>
    <n v="538"/>
    <x v="535"/>
    <s v="Chemicals"/>
    <x v="28"/>
    <x v="261"/>
    <n v="4595"/>
    <n v="240"/>
    <n v="12864"/>
  </r>
  <r>
    <n v="539"/>
    <x v="536"/>
    <s v="Industrials"/>
    <x v="9"/>
    <x v="1"/>
    <n v="4561"/>
    <n v="268"/>
    <n v="19000"/>
  </r>
  <r>
    <n v="540"/>
    <x v="537"/>
    <s v="Financials"/>
    <x v="14"/>
    <x v="129"/>
    <n v="4542"/>
    <n v="916"/>
    <n v="13483"/>
  </r>
  <r>
    <n v="541"/>
    <x v="538"/>
    <s v="Energy"/>
    <x v="47"/>
    <x v="26"/>
    <n v="4529"/>
    <n v="-332"/>
    <n v="4100"/>
  </r>
  <r>
    <n v="542"/>
    <x v="539"/>
    <s v="Food, Beverages &amp; Tobacco"/>
    <x v="32"/>
    <x v="262"/>
    <n v="4520"/>
    <n v="498"/>
    <n v="6000"/>
  </r>
  <r>
    <n v="543"/>
    <x v="540"/>
    <s v="Technology"/>
    <x v="16"/>
    <x v="61"/>
    <n v="4515"/>
    <n v="875"/>
    <n v="8400"/>
  </r>
  <r>
    <n v="544"/>
    <x v="541"/>
    <s v="Industrials"/>
    <x v="37"/>
    <x v="263"/>
    <n v="4515"/>
    <n v="-122"/>
    <n v="12000"/>
  </r>
  <r>
    <n v="545"/>
    <x v="542"/>
    <s v="Business Services"/>
    <x v="59"/>
    <x v="16"/>
    <n v="4508"/>
    <n v="431"/>
    <n v="32000"/>
  </r>
  <r>
    <n v="546"/>
    <x v="543"/>
    <s v="Hotels, Resturants &amp; Leisure"/>
    <x v="45"/>
    <x v="117"/>
    <n v="4501"/>
    <n v="476"/>
    <n v="59330"/>
  </r>
  <r>
    <n v="547"/>
    <x v="544"/>
    <s v="Apparel"/>
    <x v="40"/>
    <x v="4"/>
    <n v="4495"/>
    <n v="209"/>
    <n v="12500"/>
  </r>
  <r>
    <n v="548"/>
    <x v="545"/>
    <s v="Energy"/>
    <x v="43"/>
    <x v="160"/>
    <n v="4481"/>
    <n v="-341"/>
    <n v="4981"/>
  </r>
  <r>
    <n v="549"/>
    <x v="546"/>
    <s v="Chemicals"/>
    <x v="28"/>
    <x v="26"/>
    <n v="4463"/>
    <n v="646"/>
    <n v="4225"/>
  </r>
  <r>
    <n v="550"/>
    <x v="547"/>
    <s v="Household Products"/>
    <x v="42"/>
    <x v="264"/>
    <n v="4448"/>
    <n v="452"/>
    <n v="5000"/>
  </r>
  <r>
    <n v="551"/>
    <x v="548"/>
    <s v="Financials"/>
    <x v="21"/>
    <x v="71"/>
    <n v="4434"/>
    <n v="281"/>
    <n v="5000"/>
  </r>
  <r>
    <n v="552"/>
    <x v="549"/>
    <s v="Technology"/>
    <x v="16"/>
    <x v="31"/>
    <n v="4428"/>
    <n v="365"/>
    <n v="8193"/>
  </r>
  <r>
    <n v="553"/>
    <x v="550"/>
    <s v="Health Care"/>
    <x v="13"/>
    <x v="265"/>
    <n v="4425"/>
    <n v="539"/>
    <n v="22200"/>
  </r>
  <r>
    <n v="554"/>
    <x v="551"/>
    <s v="Household Products"/>
    <x v="18"/>
    <x v="12"/>
    <n v="4395"/>
    <n v="233"/>
    <n v="8100"/>
  </r>
  <r>
    <n v="555"/>
    <x v="552"/>
    <s v="Chemicals"/>
    <x v="28"/>
    <x v="33"/>
    <n v="4393"/>
    <n v="400"/>
    <n v="11130"/>
  </r>
  <r>
    <n v="556"/>
    <x v="553"/>
    <s v="Energy"/>
    <x v="43"/>
    <x v="266"/>
    <n v="4380"/>
    <n v="746"/>
    <n v="5829"/>
  </r>
  <r>
    <n v="557"/>
    <x v="554"/>
    <s v="Hotels, Resturants &amp; Leisure"/>
    <x v="45"/>
    <x v="119"/>
    <n v="4378"/>
    <n v="127"/>
    <n v="100000"/>
  </r>
  <r>
    <n v="558"/>
    <x v="555"/>
    <s v="Energy"/>
    <x v="57"/>
    <x v="267"/>
    <n v="4376"/>
    <n v="-622"/>
    <n v="8689"/>
  </r>
  <r>
    <n v="559"/>
    <x v="556"/>
    <s v="Health Care"/>
    <x v="4"/>
    <x v="71"/>
    <n v="4375"/>
    <n v="223"/>
    <n v="7000"/>
  </r>
  <r>
    <n v="560"/>
    <x v="557"/>
    <s v="Aerospace &amp; Defense"/>
    <x v="15"/>
    <x v="268"/>
    <n v="4369"/>
    <n v="159"/>
    <n v="12300"/>
  </r>
  <r>
    <n v="561"/>
    <x v="558"/>
    <s v="Financials"/>
    <x v="3"/>
    <x v="269"/>
    <n v="4343"/>
    <n v="738"/>
    <n v="5483"/>
  </r>
  <r>
    <n v="562"/>
    <x v="559"/>
    <s v="Hotels, Resturants &amp; Leisure"/>
    <x v="58"/>
    <x v="22"/>
    <n v="4328"/>
    <n v="124"/>
    <n v="45000"/>
  </r>
  <r>
    <n v="563"/>
    <x v="560"/>
    <s v="Technology"/>
    <x v="16"/>
    <x v="12"/>
    <n v="4324"/>
    <n v="846"/>
    <n v="11600"/>
  </r>
  <r>
    <n v="564"/>
    <x v="561"/>
    <s v="Wholesalers"/>
    <x v="41"/>
    <x v="120"/>
    <n v="4319"/>
    <n v="154"/>
    <n v="9300"/>
  </r>
  <r>
    <n v="565"/>
    <x v="562"/>
    <s v="Technology"/>
    <x v="17"/>
    <x v="36"/>
    <n v="4315"/>
    <n v="117"/>
    <n v="15342"/>
  </r>
  <r>
    <n v="566"/>
    <x v="563"/>
    <s v="Chemicals"/>
    <x v="28"/>
    <x v="18"/>
    <n v="4308"/>
    <n v="700"/>
    <n v="2850"/>
  </r>
  <r>
    <n v="567"/>
    <x v="564"/>
    <s v="Food, Beverages &amp; Tobacco"/>
    <x v="23"/>
    <x v="270"/>
    <n v="4296"/>
    <n v="402"/>
    <n v="10600"/>
  </r>
  <r>
    <n v="568"/>
    <x v="565"/>
    <s v="Financials"/>
    <x v="63"/>
    <x v="58"/>
    <n v="4275"/>
    <n v="169"/>
    <n v="3410"/>
  </r>
  <r>
    <n v="569"/>
    <x v="566"/>
    <s v="Energy"/>
    <x v="1"/>
    <x v="9"/>
    <n v="4260"/>
    <n v="53"/>
    <n v="2860"/>
  </r>
  <r>
    <n v="570"/>
    <x v="567"/>
    <s v="Transportation"/>
    <x v="69"/>
    <x v="74"/>
    <n v="4229"/>
    <n v="198"/>
    <n v="20900"/>
  </r>
  <r>
    <n v="571"/>
    <x v="568"/>
    <s v="Energy"/>
    <x v="1"/>
    <x v="29"/>
    <n v="4213"/>
    <n v="-139"/>
    <n v="2175"/>
  </r>
  <r>
    <n v="572"/>
    <x v="569"/>
    <s v="Engineering &amp; Construction"/>
    <x v="55"/>
    <x v="271"/>
    <n v="4208"/>
    <n v="-79"/>
    <n v="15900"/>
  </r>
  <r>
    <n v="573"/>
    <x v="570"/>
    <s v="Financials"/>
    <x v="63"/>
    <x v="272"/>
    <n v="4201"/>
    <n v="1223"/>
    <n v="5999"/>
  </r>
  <r>
    <n v="574"/>
    <x v="571"/>
    <s v="Food, Beverages &amp; Tobacco"/>
    <x v="22"/>
    <x v="218"/>
    <n v="4199"/>
    <n v="-13"/>
    <n v="2954"/>
  </r>
  <r>
    <n v="575"/>
    <x v="572"/>
    <s v="Apparel"/>
    <x v="40"/>
    <x v="12"/>
    <n v="4192"/>
    <n v="402"/>
    <n v="12950"/>
  </r>
  <r>
    <n v="576"/>
    <x v="573"/>
    <s v="Engineering &amp; Construction"/>
    <x v="67"/>
    <x v="273"/>
    <n v="4171"/>
    <n v="363"/>
    <n v="3900"/>
  </r>
  <r>
    <n v="577"/>
    <x v="574"/>
    <s v="Materials"/>
    <x v="49"/>
    <x v="25"/>
    <n v="4160"/>
    <n v="230"/>
    <n v="12000"/>
  </r>
  <r>
    <n v="578"/>
    <x v="575"/>
    <s v="Transportation"/>
    <x v="70"/>
    <x v="158"/>
    <n v="4143"/>
    <n v="241"/>
    <n v="12607"/>
  </r>
  <r>
    <n v="579"/>
    <x v="576"/>
    <s v="Energy"/>
    <x v="43"/>
    <x v="9"/>
    <n v="4142"/>
    <n v="315"/>
    <n v="4753"/>
  </r>
  <r>
    <n v="580"/>
    <x v="577"/>
    <s v="Chemicals"/>
    <x v="28"/>
    <x v="54"/>
    <n v="4140"/>
    <n v="-40"/>
    <n v="5100"/>
  </r>
  <r>
    <n v="581"/>
    <x v="578"/>
    <s v="Wholesalers"/>
    <x v="41"/>
    <x v="70"/>
    <n v="4113"/>
    <n v="173"/>
    <n v="5000"/>
  </r>
  <r>
    <n v="582"/>
    <x v="579"/>
    <s v="Retailing"/>
    <x v="10"/>
    <x v="12"/>
    <n v="4105"/>
    <n v="464"/>
    <n v="12200"/>
  </r>
  <r>
    <n v="583"/>
    <x v="580"/>
    <s v="Health Care"/>
    <x v="20"/>
    <x v="274"/>
    <n v="4104"/>
    <n v="636"/>
    <n v="4300"/>
  </r>
  <r>
    <n v="584"/>
    <x v="581"/>
    <s v="Technology"/>
    <x v="27"/>
    <x v="42"/>
    <n v="4081"/>
    <n v="-144"/>
    <n v="11656"/>
  </r>
  <r>
    <n v="585"/>
    <x v="582"/>
    <s v="Hotels, Resturants &amp; Leisure"/>
    <x v="58"/>
    <x v="139"/>
    <n v="4076"/>
    <n v="195"/>
    <n v="20800"/>
  </r>
  <r>
    <n v="586"/>
    <x v="583"/>
    <s v="Materials"/>
    <x v="49"/>
    <x v="275"/>
    <n v="4071"/>
    <n v="239"/>
    <n v="17696"/>
  </r>
  <r>
    <n v="587"/>
    <x v="584"/>
    <s v="Food, Beverages &amp; Tobacco"/>
    <x v="23"/>
    <x v="123"/>
    <n v="4071"/>
    <n v="654"/>
    <n v="7660"/>
  </r>
  <r>
    <n v="588"/>
    <x v="585"/>
    <s v="Motor Vehicles &amp; Parts"/>
    <x v="7"/>
    <x v="19"/>
    <n v="4046"/>
    <n v="-889"/>
    <n v="13058"/>
  </r>
  <r>
    <n v="589"/>
    <x v="586"/>
    <s v="Technology"/>
    <x v="51"/>
    <x v="42"/>
    <n v="4038"/>
    <n v="401"/>
    <n v="11800"/>
  </r>
  <r>
    <n v="590"/>
    <x v="587"/>
    <s v="Financials"/>
    <x v="21"/>
    <x v="276"/>
    <n v="4027"/>
    <n v="527"/>
    <n v="3115"/>
  </r>
  <r>
    <n v="591"/>
    <x v="588"/>
    <s v="Motor Vehicles &amp; Parts"/>
    <x v="7"/>
    <x v="277"/>
    <n v="4007"/>
    <n v="199"/>
    <n v="10450"/>
  </r>
  <r>
    <n v="592"/>
    <x v="589"/>
    <s v="Retailing"/>
    <x v="10"/>
    <x v="278"/>
    <n v="3998"/>
    <n v="189"/>
    <n v="19700"/>
  </r>
  <r>
    <n v="593"/>
    <x v="590"/>
    <s v="Technology"/>
    <x v="25"/>
    <x v="215"/>
    <n v="3991"/>
    <n v="-660"/>
    <n v="9100"/>
  </r>
  <r>
    <n v="594"/>
    <x v="591"/>
    <s v="Technology"/>
    <x v="51"/>
    <x v="279"/>
    <n v="3974"/>
    <n v="591"/>
    <n v="15400"/>
  </r>
  <r>
    <n v="595"/>
    <x v="592"/>
    <s v="Food and Drug Stores"/>
    <x v="6"/>
    <x v="280"/>
    <n v="3971"/>
    <n v="38"/>
    <n v="6939"/>
  </r>
  <r>
    <n v="596"/>
    <x v="593"/>
    <s v="Industrials"/>
    <x v="9"/>
    <x v="281"/>
    <n v="3967"/>
    <n v="168"/>
    <n v="17087"/>
  </r>
  <r>
    <n v="597"/>
    <x v="594"/>
    <s v="Apparel"/>
    <x v="40"/>
    <x v="272"/>
    <n v="3963"/>
    <n v="233"/>
    <n v="9600"/>
  </r>
  <r>
    <n v="598"/>
    <x v="595"/>
    <s v="Energy"/>
    <x v="39"/>
    <x v="117"/>
    <n v="3955"/>
    <n v="941"/>
    <n v="480"/>
  </r>
  <r>
    <n v="599"/>
    <x v="596"/>
    <s v="Wholesalers"/>
    <x v="41"/>
    <x v="153"/>
    <n v="3949"/>
    <n v="20"/>
    <n v="2450"/>
  </r>
  <r>
    <n v="600"/>
    <x v="597"/>
    <s v="Energy"/>
    <x v="43"/>
    <x v="25"/>
    <n v="3941"/>
    <n v="353"/>
    <n v="5203"/>
  </r>
  <r>
    <n v="601"/>
    <x v="598"/>
    <s v="Household Products"/>
    <x v="65"/>
    <x v="282"/>
    <n v="3937"/>
    <n v="325"/>
    <n v="20000"/>
  </r>
  <r>
    <n v="602"/>
    <x v="599"/>
    <s v="Retailing"/>
    <x v="10"/>
    <x v="283"/>
    <n v="3924"/>
    <n v="320"/>
    <n v="18100"/>
  </r>
  <r>
    <n v="603"/>
    <x v="600"/>
    <s v="Financials"/>
    <x v="14"/>
    <x v="12"/>
    <n v="3906"/>
    <n v="1057"/>
    <n v="4900"/>
  </r>
  <r>
    <n v="604"/>
    <x v="601"/>
    <s v="Motor Vehicles &amp; Parts"/>
    <x v="7"/>
    <x v="7"/>
    <n v="3903"/>
    <n v="236"/>
    <n v="13054"/>
  </r>
  <r>
    <n v="605"/>
    <x v="602"/>
    <s v="Aerospace &amp; Defense"/>
    <x v="15"/>
    <x v="279"/>
    <n v="3889"/>
    <n v="239"/>
    <n v="15153"/>
  </r>
  <r>
    <n v="606"/>
    <x v="603"/>
    <s v="Energy"/>
    <x v="57"/>
    <x v="26"/>
    <n v="3870"/>
    <n v="50"/>
    <n v="2591"/>
  </r>
  <r>
    <n v="607"/>
    <x v="604"/>
    <s v="Retailing"/>
    <x v="10"/>
    <x v="284"/>
    <n v="3869"/>
    <n v="516"/>
    <n v="20746"/>
  </r>
  <r>
    <n v="608"/>
    <x v="605"/>
    <s v="Food, Beverages &amp; Tobacco"/>
    <x v="23"/>
    <x v="117"/>
    <n v="3866"/>
    <n v="168"/>
    <n v="5300"/>
  </r>
  <r>
    <n v="609"/>
    <x v="606"/>
    <s v="Financials"/>
    <x v="66"/>
    <x v="240"/>
    <n v="3860"/>
    <n v="884"/>
    <n v="462"/>
  </r>
  <r>
    <n v="610"/>
    <x v="607"/>
    <s v="Retailing"/>
    <x v="10"/>
    <x v="285"/>
    <n v="3834"/>
    <n v="235"/>
    <n v="21033"/>
  </r>
  <r>
    <n v="611"/>
    <x v="608"/>
    <s v="Financials"/>
    <x v="21"/>
    <x v="286"/>
    <n v="3812"/>
    <n v="271"/>
    <n v="3500"/>
  </r>
  <r>
    <n v="612"/>
    <x v="609"/>
    <s v="Technology"/>
    <x v="27"/>
    <x v="287"/>
    <n v="3808"/>
    <n v="-71"/>
    <n v="23000"/>
  </r>
  <r>
    <n v="613"/>
    <x v="610"/>
    <s v="Chemicals"/>
    <x v="28"/>
    <x v="25"/>
    <n v="3787"/>
    <n v="-816"/>
    <n v="5830"/>
  </r>
  <r>
    <n v="614"/>
    <x v="611"/>
    <s v="Food and Drug Stores"/>
    <x v="6"/>
    <x v="288"/>
    <n v="3779"/>
    <n v="59"/>
    <n v="17125"/>
  </r>
  <r>
    <n v="615"/>
    <x v="612"/>
    <s v="Food, Beverages &amp; Tobacco"/>
    <x v="23"/>
    <x v="289"/>
    <n v="3779"/>
    <n v="189"/>
    <n v="10900"/>
  </r>
  <r>
    <n v="616"/>
    <x v="613"/>
    <s v="Materials"/>
    <x v="71"/>
    <x v="22"/>
    <n v="3776"/>
    <n v="991"/>
    <n v="8900"/>
  </r>
  <r>
    <n v="617"/>
    <x v="614"/>
    <s v="Materials"/>
    <x v="49"/>
    <x v="164"/>
    <n v="3764"/>
    <n v="172"/>
    <n v="9600"/>
  </r>
  <r>
    <n v="618"/>
    <x v="615"/>
    <s v="Health Care"/>
    <x v="33"/>
    <x v="290"/>
    <n v="3743"/>
    <n v="131"/>
    <n v="34700"/>
  </r>
  <r>
    <n v="619"/>
    <x v="616"/>
    <s v="Telecommunications"/>
    <x v="8"/>
    <x v="26"/>
    <n v="3729"/>
    <n v="1521"/>
    <n v="2700"/>
  </r>
  <r>
    <n v="620"/>
    <x v="617"/>
    <s v="Materials"/>
    <x v="48"/>
    <x v="99"/>
    <n v="3720"/>
    <n v="-378"/>
    <n v="9200"/>
  </r>
  <r>
    <n v="621"/>
    <x v="618"/>
    <s v="Retailing"/>
    <x v="10"/>
    <x v="103"/>
    <n v="3691"/>
    <n v="169"/>
    <n v="6600"/>
  </r>
  <r>
    <n v="622"/>
    <x v="619"/>
    <s v="Industrials"/>
    <x v="9"/>
    <x v="291"/>
    <n v="3653"/>
    <n v="340"/>
    <n v="12700"/>
  </r>
  <r>
    <n v="623"/>
    <x v="620"/>
    <s v="Industrials"/>
    <x v="37"/>
    <x v="128"/>
    <n v="3652"/>
    <n v="-137"/>
    <n v="7000"/>
  </r>
  <r>
    <n v="624"/>
    <x v="621"/>
    <s v="Chemicals"/>
    <x v="28"/>
    <x v="292"/>
    <n v="3651"/>
    <n v="335"/>
    <n v="6963"/>
  </r>
  <r>
    <n v="625"/>
    <x v="622"/>
    <s v="Materials"/>
    <x v="68"/>
    <x v="293"/>
    <n v="3645"/>
    <n v="-257"/>
    <n v="8000"/>
  </r>
  <r>
    <n v="626"/>
    <x v="623"/>
    <s v="Business Services"/>
    <x v="59"/>
    <x v="114"/>
    <n v="3645"/>
    <n v="385"/>
    <n v="16300"/>
  </r>
  <r>
    <n v="627"/>
    <x v="624"/>
    <s v="Wholesalers"/>
    <x v="41"/>
    <x v="110"/>
    <n v="3633"/>
    <n v="52"/>
    <n v="5830"/>
  </r>
  <r>
    <n v="628"/>
    <x v="625"/>
    <s v="Materials"/>
    <x v="49"/>
    <x v="294"/>
    <n v="3617"/>
    <n v="72"/>
    <n v="13150"/>
  </r>
  <r>
    <n v="629"/>
    <x v="626"/>
    <s v="Health Care"/>
    <x v="13"/>
    <x v="295"/>
    <n v="3597"/>
    <n v="83"/>
    <n v="18800"/>
  </r>
  <r>
    <n v="630"/>
    <x v="627"/>
    <s v="Industrials"/>
    <x v="9"/>
    <x v="296"/>
    <n v="3593"/>
    <n v="479"/>
    <n v="11500"/>
  </r>
  <r>
    <n v="631"/>
    <x v="628"/>
    <s v="Food and Drug Stores"/>
    <x v="6"/>
    <x v="74"/>
    <n v="3593"/>
    <n v="129"/>
    <n v="20000"/>
  </r>
  <r>
    <n v="632"/>
    <x v="629"/>
    <s v="Technology"/>
    <x v="51"/>
    <x v="297"/>
    <n v="3582"/>
    <n v="696"/>
    <n v="10806"/>
  </r>
  <r>
    <n v="633"/>
    <x v="630"/>
    <s v="Energy"/>
    <x v="57"/>
    <x v="238"/>
    <n v="3579"/>
    <n v="546"/>
    <n v="6350"/>
  </r>
  <r>
    <n v="634"/>
    <x v="631"/>
    <s v="Technology"/>
    <x v="2"/>
    <x v="164"/>
    <n v="3578"/>
    <n v="408"/>
    <n v="14800"/>
  </r>
  <r>
    <n v="635"/>
    <x v="632"/>
    <s v="Business Services"/>
    <x v="59"/>
    <x v="116"/>
    <n v="3574"/>
    <n v="296"/>
    <n v="17100"/>
  </r>
  <r>
    <n v="636"/>
    <x v="633"/>
    <s v="Food, Beverages &amp; Tobacco"/>
    <x v="32"/>
    <x v="117"/>
    <n v="3568"/>
    <n v="360"/>
    <n v="17500"/>
  </r>
  <r>
    <n v="637"/>
    <x v="634"/>
    <s v="Materials"/>
    <x v="71"/>
    <x v="9"/>
    <n v="3564"/>
    <n v="-23"/>
    <n v="14000"/>
  </r>
  <r>
    <n v="638"/>
    <x v="635"/>
    <s v="Technology"/>
    <x v="46"/>
    <x v="298"/>
    <n v="3551"/>
    <n v="-40"/>
    <n v="14000"/>
  </r>
  <r>
    <n v="639"/>
    <x v="636"/>
    <s v="Materials"/>
    <x v="71"/>
    <x v="24"/>
    <n v="3543"/>
    <n v="320"/>
    <n v="12000"/>
  </r>
  <r>
    <n v="640"/>
    <x v="637"/>
    <s v="Engineering &amp; Construction"/>
    <x v="67"/>
    <x v="51"/>
    <n v="3540"/>
    <n v="214"/>
    <n v="2855"/>
  </r>
  <r>
    <n v="641"/>
    <x v="638"/>
    <s v="Materials"/>
    <x v="71"/>
    <x v="299"/>
    <n v="3540"/>
    <n v="289"/>
    <n v="7299"/>
  </r>
  <r>
    <n v="642"/>
    <x v="639"/>
    <s v="Transportation"/>
    <x v="61"/>
    <x v="77"/>
    <n v="3526"/>
    <n v="71"/>
    <n v="2633"/>
  </r>
  <r>
    <n v="643"/>
    <x v="640"/>
    <s v="Retailing"/>
    <x v="38"/>
    <x v="99"/>
    <n v="3522"/>
    <n v="218"/>
    <n v="22150"/>
  </r>
  <r>
    <n v="644"/>
    <x v="641"/>
    <s v="Retailing"/>
    <x v="38"/>
    <x v="300"/>
    <n v="3519"/>
    <n v="36"/>
    <n v="28500"/>
  </r>
  <r>
    <n v="645"/>
    <x v="642"/>
    <s v="Industrials"/>
    <x v="37"/>
    <x v="301"/>
    <n v="3510"/>
    <n v="143"/>
    <n v="26200"/>
  </r>
  <r>
    <n v="646"/>
    <x v="643"/>
    <s v="Financials"/>
    <x v="19"/>
    <x v="30"/>
    <n v="3506"/>
    <n v="173"/>
    <n v="3343"/>
  </r>
  <r>
    <n v="647"/>
    <x v="644"/>
    <s v="Motor Vehicles &amp; Parts"/>
    <x v="7"/>
    <x v="235"/>
    <n v="3506"/>
    <n v="64"/>
    <n v="8400"/>
  </r>
  <r>
    <n v="648"/>
    <x v="645"/>
    <s v="Retailing"/>
    <x v="38"/>
    <x v="26"/>
    <n v="3496"/>
    <n v="-1027"/>
    <n v="21250"/>
  </r>
  <r>
    <n v="649"/>
    <x v="646"/>
    <s v="Technology"/>
    <x v="25"/>
    <x v="74"/>
    <n v="3496"/>
    <n v="206"/>
    <n v="24500"/>
  </r>
  <r>
    <n v="650"/>
    <x v="647"/>
    <s v="Energy"/>
    <x v="43"/>
    <x v="74"/>
    <n v="3495"/>
    <n v="437"/>
    <n v="6407"/>
  </r>
  <r>
    <n v="651"/>
    <x v="648"/>
    <s v="Financials"/>
    <x v="66"/>
    <x v="22"/>
    <n v="3486"/>
    <n v="418"/>
    <n v="466"/>
  </r>
  <r>
    <n v="652"/>
    <x v="649"/>
    <s v="Business Services"/>
    <x v="60"/>
    <x v="12"/>
    <n v="3485"/>
    <n v="941"/>
    <n v="10400"/>
  </r>
  <r>
    <n v="653"/>
    <x v="650"/>
    <s v="Wholesalers"/>
    <x v="41"/>
    <x v="302"/>
    <n v="3482"/>
    <n v="78"/>
    <n v="590"/>
  </r>
  <r>
    <n v="654"/>
    <x v="651"/>
    <s v="Chemicals"/>
    <x v="28"/>
    <x v="32"/>
    <n v="3471"/>
    <n v="489"/>
    <n v="6000"/>
  </r>
  <r>
    <n v="655"/>
    <x v="652"/>
    <s v="Industrials"/>
    <x v="9"/>
    <x v="303"/>
    <n v="3467"/>
    <n v="187"/>
    <n v="10000"/>
  </r>
  <r>
    <n v="656"/>
    <x v="653"/>
    <s v="Energy"/>
    <x v="35"/>
    <x v="26"/>
    <n v="3453"/>
    <n v="437"/>
    <n v="1765"/>
  </r>
  <r>
    <n v="657"/>
    <x v="654"/>
    <s v="Retailing"/>
    <x v="38"/>
    <x v="32"/>
    <n v="3445"/>
    <n v="225"/>
    <n v="16680"/>
  </r>
  <r>
    <n v="658"/>
    <x v="655"/>
    <s v="Industrials"/>
    <x v="30"/>
    <x v="304"/>
    <n v="3436"/>
    <n v="64"/>
    <n v="11430"/>
  </r>
  <r>
    <n v="659"/>
    <x v="656"/>
    <s v="Technology"/>
    <x v="25"/>
    <x v="305"/>
    <n v="3435"/>
    <n v="697"/>
    <n v="9700"/>
  </r>
  <r>
    <n v="660"/>
    <x v="657"/>
    <s v="Materials"/>
    <x v="71"/>
    <x v="227"/>
    <n v="3422"/>
    <n v="221"/>
    <n v="7187"/>
  </r>
  <r>
    <n v="661"/>
    <x v="658"/>
    <s v="Health Care"/>
    <x v="53"/>
    <x v="306"/>
    <n v="3416"/>
    <n v="135"/>
    <n v="15000"/>
  </r>
  <r>
    <n v="662"/>
    <x v="659"/>
    <s v="Energy"/>
    <x v="39"/>
    <x v="144"/>
    <n v="3415"/>
    <n v="-2271"/>
    <n v="1258"/>
  </r>
  <r>
    <n v="663"/>
    <x v="660"/>
    <s v="Financials"/>
    <x v="63"/>
    <x v="12"/>
    <n v="3403"/>
    <n v="428"/>
    <n v="3824"/>
  </r>
  <r>
    <n v="664"/>
    <x v="661"/>
    <s v="Food, Beverages &amp; Tobacco"/>
    <x v="22"/>
    <x v="1"/>
    <n v="3397"/>
    <n v="79"/>
    <n v="10000"/>
  </r>
  <r>
    <n v="665"/>
    <x v="662"/>
    <s v="Household Products"/>
    <x v="18"/>
    <x v="307"/>
    <n v="3395"/>
    <n v="410"/>
    <n v="4406"/>
  </r>
  <r>
    <n v="666"/>
    <x v="663"/>
    <s v="Industrials"/>
    <x v="37"/>
    <x v="308"/>
    <n v="3390"/>
    <n v="277"/>
    <n v="16200"/>
  </r>
  <r>
    <n v="667"/>
    <x v="664"/>
    <s v="Materials"/>
    <x v="48"/>
    <x v="54"/>
    <n v="3384"/>
    <n v="77"/>
    <n v="10500"/>
  </r>
  <r>
    <n v="668"/>
    <x v="665"/>
    <s v="Chemicals"/>
    <x v="28"/>
    <x v="309"/>
    <n v="3378"/>
    <n v="145"/>
    <n v="6900"/>
  </r>
  <r>
    <n v="669"/>
    <x v="666"/>
    <s v="Food and Drug Stores"/>
    <x v="6"/>
    <x v="310"/>
    <n v="3367"/>
    <n v="26"/>
    <n v="1616"/>
  </r>
  <r>
    <n v="670"/>
    <x v="667"/>
    <s v="Motor Vehicles &amp; Parts"/>
    <x v="7"/>
    <x v="311"/>
    <n v="3343"/>
    <n v="112"/>
    <n v="29000"/>
  </r>
  <r>
    <n v="671"/>
    <x v="668"/>
    <s v="Financials"/>
    <x v="63"/>
    <x v="22"/>
    <n v="3327"/>
    <n v="1247"/>
    <n v="2530"/>
  </r>
  <r>
    <n v="672"/>
    <x v="669"/>
    <s v="Transportation"/>
    <x v="69"/>
    <x v="137"/>
    <n v="3321"/>
    <n v="148"/>
    <n v="1223"/>
  </r>
  <r>
    <n v="673"/>
    <x v="670"/>
    <s v="Technology"/>
    <x v="17"/>
    <x v="114"/>
    <n v="3314"/>
    <n v="126"/>
    <n v="16600"/>
  </r>
  <r>
    <n v="674"/>
    <x v="671"/>
    <s v="Industrials"/>
    <x v="9"/>
    <x v="312"/>
    <n v="3308"/>
    <n v="399"/>
    <n v="13000"/>
  </r>
  <r>
    <n v="675"/>
    <x v="672"/>
    <s v="Retailing"/>
    <x v="10"/>
    <x v="130"/>
    <n v="3278"/>
    <n v="-867"/>
    <n v="24300"/>
  </r>
  <r>
    <n v="676"/>
    <x v="673"/>
    <s v="Technology"/>
    <x v="27"/>
    <x v="89"/>
    <n v="3276"/>
    <n v="319"/>
    <n v="9500"/>
  </r>
  <r>
    <n v="677"/>
    <x v="674"/>
    <s v="Business Services"/>
    <x v="62"/>
    <x v="313"/>
    <n v="3275"/>
    <n v="44"/>
    <n v="12900"/>
  </r>
  <r>
    <n v="678"/>
    <x v="675"/>
    <s v="Technology"/>
    <x v="25"/>
    <x v="314"/>
    <n v="3258"/>
    <n v="798"/>
    <n v="6700"/>
  </r>
  <r>
    <n v="679"/>
    <x v="676"/>
    <s v="Energy"/>
    <x v="43"/>
    <x v="177"/>
    <n v="3254"/>
    <n v="378"/>
    <n v="4070"/>
  </r>
  <r>
    <n v="680"/>
    <x v="677"/>
    <s v="Financials"/>
    <x v="63"/>
    <x v="3"/>
    <n v="3253"/>
    <n v="813"/>
    <n v="5690"/>
  </r>
  <r>
    <n v="681"/>
    <x v="678"/>
    <s v="Media"/>
    <x v="26"/>
    <x v="36"/>
    <n v="3242"/>
    <n v="460"/>
    <n v="10020"/>
  </r>
  <r>
    <n v="682"/>
    <x v="679"/>
    <s v="Technology"/>
    <x v="12"/>
    <x v="12"/>
    <n v="3231"/>
    <n v="120"/>
    <n v="5000"/>
  </r>
  <r>
    <n v="683"/>
    <x v="680"/>
    <s v="Apparel"/>
    <x v="40"/>
    <x v="303"/>
    <n v="3229"/>
    <n v="221"/>
    <n v="15100"/>
  </r>
  <r>
    <n v="684"/>
    <x v="681"/>
    <s v="Health Care"/>
    <x v="20"/>
    <x v="315"/>
    <n v="3226"/>
    <n v="74"/>
    <n v="13100"/>
  </r>
  <r>
    <n v="685"/>
    <x v="682"/>
    <s v="Wholesalers"/>
    <x v="34"/>
    <x v="316"/>
    <n v="3219"/>
    <n v="65"/>
    <n v="2000"/>
  </r>
  <r>
    <n v="686"/>
    <x v="683"/>
    <s v="Food, Beverages &amp; Tobacco"/>
    <x v="23"/>
    <x v="77"/>
    <n v="3206"/>
    <n v="115"/>
    <n v="5880"/>
  </r>
  <r>
    <n v="687"/>
    <x v="684"/>
    <s v="Materials"/>
    <x v="48"/>
    <x v="129"/>
    <n v="3206"/>
    <n v="49"/>
    <n v="5200"/>
  </r>
  <r>
    <n v="688"/>
    <x v="685"/>
    <s v="Technology"/>
    <x v="12"/>
    <x v="22"/>
    <n v="3187"/>
    <n v="21"/>
    <n v="9872"/>
  </r>
  <r>
    <n v="689"/>
    <x v="686"/>
    <s v="Retailing"/>
    <x v="10"/>
    <x v="25"/>
    <n v="3180"/>
    <n v="136"/>
    <n v="12700"/>
  </r>
  <r>
    <n v="690"/>
    <x v="687"/>
    <s v="Industrials"/>
    <x v="30"/>
    <x v="55"/>
    <n v="3172"/>
    <n v="-1178"/>
    <n v="13400"/>
  </r>
  <r>
    <n v="691"/>
    <x v="688"/>
    <s v="Materials"/>
    <x v="48"/>
    <x v="22"/>
    <n v="3167"/>
    <n v="-1"/>
    <n v="3600"/>
  </r>
  <r>
    <n v="692"/>
    <x v="689"/>
    <s v="Energy"/>
    <x v="47"/>
    <x v="107"/>
    <n v="3165"/>
    <n v="422"/>
    <n v="6733"/>
  </r>
  <r>
    <n v="693"/>
    <x v="690"/>
    <s v="Health Care"/>
    <x v="33"/>
    <x v="227"/>
    <n v="3163"/>
    <n v="183"/>
    <n v="27929"/>
  </r>
  <r>
    <n v="694"/>
    <x v="691"/>
    <s v="Business Services"/>
    <x v="60"/>
    <x v="317"/>
    <n v="3160"/>
    <n v="148"/>
    <n v="3313"/>
  </r>
  <r>
    <n v="695"/>
    <x v="692"/>
    <s v="Apparel"/>
    <x v="40"/>
    <x v="318"/>
    <n v="3159"/>
    <n v="232"/>
    <n v="6400"/>
  </r>
  <r>
    <n v="696"/>
    <x v="693"/>
    <s v="Energy"/>
    <x v="42"/>
    <x v="319"/>
    <n v="3159"/>
    <n v="476"/>
    <n v="6700"/>
  </r>
  <r>
    <n v="697"/>
    <x v="694"/>
    <s v="Health Care"/>
    <x v="33"/>
    <x v="85"/>
    <n v="3158"/>
    <n v="-8"/>
    <n v="11950"/>
  </r>
  <r>
    <n v="698"/>
    <x v="695"/>
    <s v="Financials"/>
    <x v="14"/>
    <x v="54"/>
    <n v="3153"/>
    <n v="693"/>
    <n v="12243"/>
  </r>
  <r>
    <n v="699"/>
    <x v="696"/>
    <s v="Household Products"/>
    <x v="65"/>
    <x v="298"/>
    <n v="3151"/>
    <n v="74"/>
    <n v="7200"/>
  </r>
  <r>
    <n v="700"/>
    <x v="697"/>
    <s v="Technology"/>
    <x v="27"/>
    <x v="113"/>
    <n v="3144"/>
    <n v="153"/>
    <n v="4400"/>
  </r>
  <r>
    <n v="701"/>
    <x v="698"/>
    <s v="Financials"/>
    <x v="21"/>
    <x v="177"/>
    <n v="3135"/>
    <n v="217"/>
    <n v="3722"/>
  </r>
  <r>
    <n v="702"/>
    <x v="699"/>
    <s v="Food, Beverages &amp; Tobacco"/>
    <x v="32"/>
    <x v="43"/>
    <n v="3134"/>
    <n v="684"/>
    <n v="4300"/>
  </r>
  <r>
    <n v="703"/>
    <x v="700"/>
    <s v="Energy"/>
    <x v="39"/>
    <x v="26"/>
    <n v="3133"/>
    <n v="-2441"/>
    <n v="2395"/>
  </r>
  <r>
    <n v="703"/>
    <x v="700"/>
    <s v="Energy"/>
    <x v="39"/>
    <x v="26"/>
    <n v="3133"/>
    <n v="-2441"/>
    <n v="2395"/>
  </r>
  <r>
    <n v="705"/>
    <x v="701"/>
    <s v="Media"/>
    <x v="26"/>
    <x v="295"/>
    <n v="3127"/>
    <n v="153"/>
    <n v="25915"/>
  </r>
  <r>
    <n v="706"/>
    <x v="702"/>
    <s v="Energy"/>
    <x v="39"/>
    <x v="320"/>
    <n v="3114"/>
    <n v="-375"/>
    <n v="3114"/>
  </r>
  <r>
    <n v="707"/>
    <x v="703"/>
    <s v="Media"/>
    <x v="64"/>
    <x v="12"/>
    <n v="3103"/>
    <n v="-881"/>
    <n v="7200"/>
  </r>
  <r>
    <n v="708"/>
    <x v="704"/>
    <s v="Health Care"/>
    <x v="53"/>
    <x v="19"/>
    <n v="3099"/>
    <n v="412"/>
    <n v="7300"/>
  </r>
  <r>
    <n v="709"/>
    <x v="705"/>
    <s v="Transportation"/>
    <x v="36"/>
    <x v="321"/>
    <n v="3096"/>
    <n v="118"/>
    <n v="18300"/>
  </r>
  <r>
    <n v="710"/>
    <x v="706"/>
    <s v="Financials"/>
    <x v="63"/>
    <x v="12"/>
    <n v="3095"/>
    <n v="127"/>
    <n v="7841"/>
  </r>
  <r>
    <n v="711"/>
    <x v="707"/>
    <s v="Energy"/>
    <x v="43"/>
    <x v="95"/>
    <n v="3093"/>
    <n v="241"/>
    <n v="2800"/>
  </r>
  <r>
    <n v="712"/>
    <x v="708"/>
    <s v="Financials"/>
    <x v="11"/>
    <x v="322"/>
    <n v="3079"/>
    <n v="474"/>
    <n v="50400"/>
  </r>
  <r>
    <n v="713"/>
    <x v="709"/>
    <s v="Transportation"/>
    <x v="69"/>
    <x v="323"/>
    <n v="3075"/>
    <n v="357"/>
    <n v="18415"/>
  </r>
  <r>
    <n v="714"/>
    <x v="710"/>
    <s v="Business Services"/>
    <x v="59"/>
    <x v="97"/>
    <n v="3066"/>
    <n v="-12"/>
    <n v="59900"/>
  </r>
  <r>
    <n v="715"/>
    <x v="711"/>
    <s v="Energy"/>
    <x v="47"/>
    <x v="26"/>
    <n v="3063"/>
    <n v="231"/>
    <n v="11000"/>
  </r>
  <r>
    <n v="716"/>
    <x v="712"/>
    <s v="Household Products"/>
    <x v="65"/>
    <x v="324"/>
    <n v="3060"/>
    <n v="86"/>
    <n v="11550"/>
  </r>
  <r>
    <n v="717"/>
    <x v="713"/>
    <s v="Chemicals"/>
    <x v="28"/>
    <x v="325"/>
    <n v="3052"/>
    <n v="144"/>
    <n v="6700"/>
  </r>
  <r>
    <n v="718"/>
    <x v="714"/>
    <s v="Motor Vehicles &amp; Parts"/>
    <x v="7"/>
    <x v="100"/>
    <n v="3047"/>
    <n v="125"/>
    <n v="12000"/>
  </r>
  <r>
    <n v="719"/>
    <x v="715"/>
    <s v="Engineering &amp; Construction"/>
    <x v="67"/>
    <x v="101"/>
    <n v="3032"/>
    <n v="85"/>
    <n v="1680"/>
  </r>
  <r>
    <n v="720"/>
    <x v="716"/>
    <s v="Chemicals"/>
    <x v="28"/>
    <x v="12"/>
    <n v="3023"/>
    <n v="419"/>
    <n v="6732"/>
  </r>
  <r>
    <n v="721"/>
    <x v="717"/>
    <s v="Retailing"/>
    <x v="38"/>
    <x v="50"/>
    <n v="3022"/>
    <n v="95"/>
    <n v="18363"/>
  </r>
  <r>
    <n v="722"/>
    <x v="718"/>
    <s v="Media"/>
    <x v="26"/>
    <x v="295"/>
    <n v="3018"/>
    <n v="607"/>
    <n v="3500"/>
  </r>
  <r>
    <n v="723"/>
    <x v="719"/>
    <s v="Financials"/>
    <x v="21"/>
    <x v="326"/>
    <n v="3018"/>
    <n v="243"/>
    <n v="4736"/>
  </r>
  <r>
    <n v="724"/>
    <x v="720"/>
    <s v="Chemicals"/>
    <x v="28"/>
    <x v="327"/>
    <n v="3017"/>
    <n v="160"/>
    <n v="7900"/>
  </r>
  <r>
    <n v="725"/>
    <x v="721"/>
    <s v="Technology"/>
    <x v="17"/>
    <x v="328"/>
    <n v="3015"/>
    <n v="-110"/>
    <n v="23000"/>
  </r>
  <r>
    <n v="726"/>
    <x v="722"/>
    <s v="Apparel"/>
    <x v="40"/>
    <x v="25"/>
    <n v="3014"/>
    <n v="238"/>
    <n v="16800"/>
  </r>
  <r>
    <n v="727"/>
    <x v="723"/>
    <s v="Wholesalers"/>
    <x v="41"/>
    <x v="26"/>
    <n v="3010"/>
    <n v="-502"/>
    <n v="4850"/>
  </r>
  <r>
    <n v="728"/>
    <x v="724"/>
    <s v="Financials"/>
    <x v="3"/>
    <x v="101"/>
    <n v="3009"/>
    <n v="75"/>
    <n v="4300"/>
  </r>
  <r>
    <n v="729"/>
    <x v="725"/>
    <s v="Business Services"/>
    <x v="59"/>
    <x v="58"/>
    <n v="3008"/>
    <n v="123"/>
    <n v="20000"/>
  </r>
  <r>
    <n v="730"/>
    <x v="726"/>
    <s v="Financials"/>
    <x v="63"/>
    <x v="15"/>
    <n v="3006"/>
    <n v="-18"/>
    <n v="1700"/>
  </r>
  <r>
    <n v="731"/>
    <x v="727"/>
    <s v="Hotels, Resturants &amp; Leisure"/>
    <x v="45"/>
    <x v="9"/>
    <n v="3002"/>
    <n v="197"/>
    <n v="53000"/>
  </r>
  <r>
    <n v="732"/>
    <x v="728"/>
    <s v="Energy"/>
    <x v="1"/>
    <x v="238"/>
    <n v="3002"/>
    <n v="331"/>
    <n v="2961"/>
  </r>
  <r>
    <n v="733"/>
    <x v="729"/>
    <s v="Technology"/>
    <x v="12"/>
    <x v="31"/>
    <n v="2991"/>
    <n v="-166"/>
    <n v="9372"/>
  </r>
  <r>
    <n v="734"/>
    <x v="730"/>
    <s v="Business Services"/>
    <x v="42"/>
    <x v="26"/>
    <n v="2986"/>
    <n v="234"/>
    <n v="19720"/>
  </r>
  <r>
    <n v="735"/>
    <x v="731"/>
    <s v="Business Services"/>
    <x v="62"/>
    <x v="158"/>
    <n v="2986"/>
    <n v="267"/>
    <n v="25472"/>
  </r>
  <r>
    <n v="736"/>
    <x v="732"/>
    <s v="Technology"/>
    <x v="12"/>
    <x v="329"/>
    <n v="2986"/>
    <n v="546"/>
    <n v="9100"/>
  </r>
  <r>
    <n v="737"/>
    <x v="733"/>
    <s v="Business Services"/>
    <x v="72"/>
    <x v="114"/>
    <n v="2984"/>
    <n v="-101"/>
    <n v="11585"/>
  </r>
  <r>
    <n v="738"/>
    <x v="734"/>
    <s v="Engineering &amp; Construction"/>
    <x v="67"/>
    <x v="260"/>
    <n v="2977"/>
    <n v="61"/>
    <n v="1600"/>
  </r>
  <r>
    <n v="739"/>
    <x v="735"/>
    <s v="Motor Vehicles &amp; Parts"/>
    <x v="7"/>
    <x v="35"/>
    <n v="2973"/>
    <n v="213"/>
    <n v="9119"/>
  </r>
  <r>
    <n v="740"/>
    <x v="736"/>
    <s v="Transportation"/>
    <x v="69"/>
    <x v="330"/>
    <n v="2972"/>
    <n v="305"/>
    <n v="17931"/>
  </r>
  <r>
    <n v="741"/>
    <x v="737"/>
    <s v="Media"/>
    <x v="26"/>
    <x v="12"/>
    <n v="2966"/>
    <n v="-91"/>
    <n v="4211"/>
  </r>
  <r>
    <n v="742"/>
    <x v="738"/>
    <s v="Energy"/>
    <x v="57"/>
    <x v="3"/>
    <n v="2966"/>
    <n v="7"/>
    <n v="995"/>
  </r>
  <r>
    <n v="743"/>
    <x v="739"/>
    <s v="Energy"/>
    <x v="39"/>
    <x v="331"/>
    <n v="2965"/>
    <n v="-5785"/>
    <n v="6700"/>
  </r>
  <r>
    <n v="744"/>
    <x v="740"/>
    <s v="Business Services"/>
    <x v="59"/>
    <x v="16"/>
    <n v="2951"/>
    <n v="169"/>
    <n v="130000"/>
  </r>
  <r>
    <n v="745"/>
    <x v="741"/>
    <s v="Energy"/>
    <x v="43"/>
    <x v="119"/>
    <n v="2944"/>
    <n v="174"/>
    <n v="3713"/>
  </r>
  <r>
    <n v="746"/>
    <x v="742"/>
    <s v="Health Care"/>
    <x v="13"/>
    <x v="145"/>
    <n v="2921"/>
    <n v="417"/>
    <n v="15000"/>
  </r>
  <r>
    <n v="747"/>
    <x v="743"/>
    <s v="Wholesalers"/>
    <x v="41"/>
    <x v="149"/>
    <n v="2910"/>
    <n v="231"/>
    <n v="6588"/>
  </r>
  <r>
    <n v="748"/>
    <x v="744"/>
    <s v="Retailing"/>
    <x v="10"/>
    <x v="332"/>
    <n v="2908"/>
    <n v="-100"/>
    <n v="3300"/>
  </r>
  <r>
    <n v="749"/>
    <x v="745"/>
    <s v="Health Care"/>
    <x v="5"/>
    <x v="333"/>
    <n v="2903"/>
    <n v="52"/>
    <n v="3405"/>
  </r>
  <r>
    <n v="750"/>
    <x v="746"/>
    <s v="Financials"/>
    <x v="21"/>
    <x v="156"/>
    <n v="2902"/>
    <n v="215"/>
    <n v="2767"/>
  </r>
  <r>
    <n v="751"/>
    <x v="747"/>
    <s v="Materials"/>
    <x v="68"/>
    <x v="324"/>
    <n v="2887"/>
    <n v="81"/>
    <n v="7000"/>
  </r>
  <r>
    <n v="752"/>
    <x v="748"/>
    <s v="Media"/>
    <x v="64"/>
    <x v="36"/>
    <n v="2885"/>
    <n v="146"/>
    <n v="18700"/>
  </r>
  <r>
    <n v="753"/>
    <x v="749"/>
    <s v="Technology"/>
    <x v="25"/>
    <x v="238"/>
    <n v="2885"/>
    <n v="57"/>
    <n v="26700"/>
  </r>
  <r>
    <n v="754"/>
    <x v="750"/>
    <s v="Energy"/>
    <x v="39"/>
    <x v="26"/>
    <n v="2883"/>
    <n v="-4760"/>
    <n v="1760"/>
  </r>
  <r>
    <n v="755"/>
    <x v="751"/>
    <s v="Financials"/>
    <x v="19"/>
    <x v="334"/>
    <n v="2883"/>
    <n v="284"/>
    <n v="4169"/>
  </r>
  <r>
    <n v="756"/>
    <x v="752"/>
    <s v="Food and Drug Stores"/>
    <x v="6"/>
    <x v="335"/>
    <n v="2877"/>
    <n v="59"/>
    <n v="19000"/>
  </r>
  <r>
    <n v="757"/>
    <x v="753"/>
    <s v="Industrials"/>
    <x v="9"/>
    <x v="336"/>
    <n v="2872"/>
    <n v="-71"/>
    <n v="14709"/>
  </r>
  <r>
    <n v="758"/>
    <x v="754"/>
    <s v="Chemicals"/>
    <x v="28"/>
    <x v="58"/>
    <n v="2871"/>
    <n v="-334"/>
    <n v="4600"/>
  </r>
  <r>
    <n v="759"/>
    <x v="755"/>
    <s v="Media"/>
    <x v="26"/>
    <x v="12"/>
    <n v="2858"/>
    <n v="-45"/>
    <n v="3700"/>
  </r>
  <r>
    <n v="760"/>
    <x v="756"/>
    <s v="Technology"/>
    <x v="51"/>
    <x v="337"/>
    <n v="2856"/>
    <n v="513"/>
    <n v="10250"/>
  </r>
  <r>
    <n v="761"/>
    <x v="757"/>
    <s v="Chemicals"/>
    <x v="28"/>
    <x v="338"/>
    <n v="2854"/>
    <n v="-1"/>
    <n v="6200"/>
  </r>
  <r>
    <n v="762"/>
    <x v="758"/>
    <s v="Media"/>
    <x v="26"/>
    <x v="130"/>
    <n v="2853"/>
    <n v="217"/>
    <n v="17649"/>
  </r>
  <r>
    <n v="763"/>
    <x v="759"/>
    <s v="Hotels, Resturants &amp; Leisure"/>
    <x v="45"/>
    <x v="339"/>
    <n v="2842"/>
    <n v="164"/>
    <n v="72000"/>
  </r>
  <r>
    <n v="764"/>
    <x v="760"/>
    <s v="Hotels, Resturants &amp; Leisure"/>
    <x v="58"/>
    <x v="340"/>
    <n v="2838"/>
    <n v="1"/>
    <n v="18204"/>
  </r>
  <r>
    <n v="765"/>
    <x v="761"/>
    <s v="Financials"/>
    <x v="14"/>
    <x v="9"/>
    <n v="2834"/>
    <n v="521"/>
    <n v="8818"/>
  </r>
  <r>
    <n v="766"/>
    <x v="762"/>
    <s v="Health Care"/>
    <x v="33"/>
    <x v="50"/>
    <n v="2833"/>
    <n v="163"/>
    <n v="10700"/>
  </r>
  <r>
    <n v="767"/>
    <x v="763"/>
    <s v="Business Services"/>
    <x v="60"/>
    <x v="322"/>
    <n v="2825"/>
    <n v="358"/>
    <n v="13420"/>
  </r>
  <r>
    <n v="768"/>
    <x v="764"/>
    <s v="Financials"/>
    <x v="63"/>
    <x v="272"/>
    <n v="2819"/>
    <n v="237"/>
    <n v="2982"/>
  </r>
  <r>
    <n v="769"/>
    <x v="765"/>
    <s v="Technology"/>
    <x v="25"/>
    <x v="234"/>
    <n v="2814"/>
    <n v="366"/>
    <n v="5880"/>
  </r>
  <r>
    <n v="770"/>
    <x v="766"/>
    <s v="Food, Beverages &amp; Tobacco"/>
    <x v="22"/>
    <x v="341"/>
    <n v="2804"/>
    <n v="216"/>
    <n v="12264"/>
  </r>
  <r>
    <n v="771"/>
    <x v="767"/>
    <s v="Retailing"/>
    <x v="10"/>
    <x v="78"/>
    <n v="2803"/>
    <n v="89"/>
    <n v="7592"/>
  </r>
  <r>
    <n v="772"/>
    <x v="768"/>
    <s v="Energy"/>
    <x v="47"/>
    <x v="26"/>
    <n v="2793"/>
    <n v="-1855"/>
    <n v="8300"/>
  </r>
  <r>
    <n v="773"/>
    <x v="769"/>
    <s v="Retailing"/>
    <x v="0"/>
    <x v="342"/>
    <n v="2790"/>
    <n v="-57"/>
    <n v="24100"/>
  </r>
  <r>
    <n v="774"/>
    <x v="770"/>
    <s v="Materials"/>
    <x v="49"/>
    <x v="63"/>
    <n v="2789"/>
    <n v="106"/>
    <n v="6400"/>
  </r>
  <r>
    <n v="775"/>
    <x v="771"/>
    <s v="Health Care"/>
    <x v="13"/>
    <x v="343"/>
    <n v="2780"/>
    <n v="336"/>
    <n v="8645"/>
  </r>
  <r>
    <n v="776"/>
    <x v="772"/>
    <s v="Business Services"/>
    <x v="60"/>
    <x v="88"/>
    <n v="2780"/>
    <n v="364"/>
    <n v="10500"/>
  </r>
  <r>
    <n v="777"/>
    <x v="773"/>
    <s v="Business Services"/>
    <x v="60"/>
    <x v="25"/>
    <n v="2774"/>
    <n v="278"/>
    <n v="4438"/>
  </r>
  <r>
    <n v="778"/>
    <x v="774"/>
    <s v="Technology"/>
    <x v="2"/>
    <x v="336"/>
    <n v="2768"/>
    <n v="74"/>
    <n v="16000"/>
  </r>
  <r>
    <n v="779"/>
    <x v="775"/>
    <s v="Hotels, Resturants &amp; Leisure"/>
    <x v="58"/>
    <x v="139"/>
    <n v="2759"/>
    <n v="-1394"/>
    <n v="8500"/>
  </r>
  <r>
    <n v="780"/>
    <x v="776"/>
    <s v="Wholesalers"/>
    <x v="41"/>
    <x v="129"/>
    <n v="2752"/>
    <n v="116"/>
    <n v="5839"/>
  </r>
  <r>
    <n v="781"/>
    <x v="777"/>
    <s v="Financials"/>
    <x v="66"/>
    <x v="22"/>
    <n v="2746"/>
    <n v="870"/>
    <n v="3500"/>
  </r>
  <r>
    <n v="782"/>
    <x v="778"/>
    <s v="Industrials"/>
    <x v="9"/>
    <x v="164"/>
    <n v="2741"/>
    <n v="229"/>
    <n v="11200"/>
  </r>
  <r>
    <n v="783"/>
    <x v="779"/>
    <s v="Business Services"/>
    <x v="59"/>
    <x v="344"/>
    <n v="2740"/>
    <n v="675"/>
    <n v="13000"/>
  </r>
  <r>
    <n v="784"/>
    <x v="780"/>
    <s v="Energy"/>
    <x v="57"/>
    <x v="345"/>
    <n v="2734"/>
    <n v="181"/>
    <n v="991"/>
  </r>
  <r>
    <n v="785"/>
    <x v="781"/>
    <s v="Aerospace &amp; Defense"/>
    <x v="15"/>
    <x v="346"/>
    <n v="2730"/>
    <n v="286"/>
    <n v="10057"/>
  </r>
  <r>
    <n v="786"/>
    <x v="782"/>
    <s v="Telecommunications"/>
    <x v="8"/>
    <x v="61"/>
    <n v="2726"/>
    <n v="188"/>
    <n v="5042"/>
  </r>
  <r>
    <n v="787"/>
    <x v="783"/>
    <s v="Food, Beverages &amp; Tobacco"/>
    <x v="32"/>
    <x v="347"/>
    <n v="2723"/>
    <n v="547"/>
    <n v="1857"/>
  </r>
  <r>
    <n v="788"/>
    <x v="784"/>
    <s v="Aerospace &amp; Defense"/>
    <x v="15"/>
    <x v="129"/>
    <n v="2707"/>
    <n v="447"/>
    <n v="8200"/>
  </r>
  <r>
    <n v="789"/>
    <x v="785"/>
    <s v="Industrials"/>
    <x v="37"/>
    <x v="25"/>
    <n v="2707"/>
    <n v="222"/>
    <n v="7800"/>
  </r>
  <r>
    <n v="790"/>
    <x v="786"/>
    <s v="Health Care"/>
    <x v="53"/>
    <x v="190"/>
    <n v="2705"/>
    <n v="132"/>
    <n v="5290"/>
  </r>
  <r>
    <n v="791"/>
    <x v="787"/>
    <s v="Business Services"/>
    <x v="54"/>
    <x v="348"/>
    <n v="2696"/>
    <n v="71"/>
    <n v="5500"/>
  </r>
  <r>
    <n v="792"/>
    <x v="788"/>
    <s v="Business Services"/>
    <x v="60"/>
    <x v="349"/>
    <n v="2694"/>
    <n v="287"/>
    <n v="7400"/>
  </r>
  <r>
    <n v="793"/>
    <x v="789"/>
    <s v="Materials"/>
    <x v="68"/>
    <x v="47"/>
    <n v="2692"/>
    <n v="-477"/>
    <n v="1630"/>
  </r>
  <r>
    <n v="794"/>
    <x v="790"/>
    <s v="Apparel"/>
    <x v="40"/>
    <x v="350"/>
    <n v="2692"/>
    <n v="123"/>
    <n v="6550"/>
  </r>
  <r>
    <n v="795"/>
    <x v="791"/>
    <s v="Food, Beverages &amp; Tobacco"/>
    <x v="23"/>
    <x v="349"/>
    <n v="2689"/>
    <n v="168"/>
    <n v="6307"/>
  </r>
  <r>
    <n v="796"/>
    <x v="792"/>
    <s v="Business Services"/>
    <x v="60"/>
    <x v="115"/>
    <n v="2682"/>
    <n v="85"/>
    <n v="4272"/>
  </r>
  <r>
    <n v="797"/>
    <x v="793"/>
    <s v="Hotels, Resturants &amp; Leisure"/>
    <x v="45"/>
    <x v="21"/>
    <n v="2682"/>
    <n v="149"/>
    <n v="37200"/>
  </r>
  <r>
    <n v="798"/>
    <x v="794"/>
    <s v="Energy"/>
    <x v="39"/>
    <x v="126"/>
    <n v="2680"/>
    <n v="-354"/>
    <n v="1143"/>
  </r>
  <r>
    <n v="799"/>
    <x v="795"/>
    <s v="Health Care"/>
    <x v="53"/>
    <x v="342"/>
    <n v="2674"/>
    <n v="251"/>
    <n v="11400"/>
  </r>
  <r>
    <n v="800"/>
    <x v="796"/>
    <s v="Transportation"/>
    <x v="69"/>
    <x v="351"/>
    <n v="2667"/>
    <n v="45"/>
    <n v="13000"/>
  </r>
  <r>
    <n v="801"/>
    <x v="797"/>
    <s v="Business Services"/>
    <x v="60"/>
    <x v="25"/>
    <n v="2664"/>
    <n v="429"/>
    <n v="8000"/>
  </r>
  <r>
    <n v="802"/>
    <x v="798"/>
    <s v="Energy"/>
    <x v="57"/>
    <x v="15"/>
    <n v="2660"/>
    <n v="131"/>
    <n v="1529"/>
  </r>
  <r>
    <n v="803"/>
    <x v="799"/>
    <s v="Business Services"/>
    <x v="59"/>
    <x v="352"/>
    <n v="2659"/>
    <n v="32"/>
    <n v="2500"/>
  </r>
  <r>
    <n v="804"/>
    <x v="800"/>
    <s v="Food, Beverages &amp; Tobacco"/>
    <x v="23"/>
    <x v="127"/>
    <n v="2656"/>
    <n v="213"/>
    <n v="4300"/>
  </r>
  <r>
    <n v="805"/>
    <x v="801"/>
    <s v="Technology"/>
    <x v="25"/>
    <x v="275"/>
    <n v="2654"/>
    <n v="94"/>
    <n v="14000"/>
  </r>
  <r>
    <n v="806"/>
    <x v="802"/>
    <s v="Industrials"/>
    <x v="9"/>
    <x v="99"/>
    <n v="2647"/>
    <n v="-374"/>
    <n v="12700"/>
  </r>
  <r>
    <n v="807"/>
    <x v="803"/>
    <s v="Retailing"/>
    <x v="38"/>
    <x v="353"/>
    <n v="2642"/>
    <n v="2"/>
    <n v="14755"/>
  </r>
  <r>
    <n v="808"/>
    <x v="804"/>
    <s v="Wholesalers"/>
    <x v="41"/>
    <x v="286"/>
    <n v="2640"/>
    <n v="215"/>
    <n v="12528"/>
  </r>
  <r>
    <n v="809"/>
    <x v="805"/>
    <s v="Food and Drug Stores"/>
    <x v="6"/>
    <x v="99"/>
    <n v="2639"/>
    <n v="219"/>
    <n v="11650"/>
  </r>
  <r>
    <n v="810"/>
    <x v="806"/>
    <s v="Energy"/>
    <x v="57"/>
    <x v="26"/>
    <n v="2633"/>
    <n v="-1667"/>
    <n v="1300"/>
  </r>
  <r>
    <n v="811"/>
    <x v="807"/>
    <s v="Motor Vehicles &amp; Parts"/>
    <x v="7"/>
    <x v="354"/>
    <n v="2628"/>
    <n v="275"/>
    <n v="12429"/>
  </r>
  <r>
    <n v="812"/>
    <x v="808"/>
    <s v="Retailing"/>
    <x v="38"/>
    <x v="54"/>
    <n v="2620"/>
    <n v="136"/>
    <n v="11900"/>
  </r>
  <r>
    <n v="813"/>
    <x v="809"/>
    <s v="Industrials"/>
    <x v="30"/>
    <x v="3"/>
    <n v="2619"/>
    <n v="40"/>
    <n v="10697"/>
  </r>
  <r>
    <n v="814"/>
    <x v="810"/>
    <s v="Transportation"/>
    <x v="70"/>
    <x v="355"/>
    <n v="2605"/>
    <n v="193"/>
    <n v="10689"/>
  </r>
  <r>
    <n v="815"/>
    <x v="811"/>
    <s v="Health Care"/>
    <x v="20"/>
    <x v="356"/>
    <n v="2604"/>
    <n v="144"/>
    <n v="2924"/>
  </r>
  <r>
    <n v="816"/>
    <x v="812"/>
    <s v="Business Services"/>
    <x v="59"/>
    <x v="357"/>
    <n v="2604"/>
    <n v="39"/>
    <n v="2400"/>
  </r>
  <r>
    <n v="817"/>
    <x v="813"/>
    <s v="Energy"/>
    <x v="43"/>
    <x v="358"/>
    <n v="2603"/>
    <n v="160"/>
    <n v="3918"/>
  </r>
  <r>
    <n v="818"/>
    <x v="814"/>
    <s v="Health Care"/>
    <x v="53"/>
    <x v="82"/>
    <n v="2601"/>
    <n v="346"/>
    <n v="9800"/>
  </r>
  <r>
    <n v="819"/>
    <x v="815"/>
    <s v="Business Services"/>
    <x v="59"/>
    <x v="47"/>
    <n v="2594"/>
    <n v="160"/>
    <n v="13000"/>
  </r>
  <r>
    <n v="820"/>
    <x v="816"/>
    <s v="Business Services"/>
    <x v="72"/>
    <x v="74"/>
    <n v="2591"/>
    <n v="30"/>
    <n v="23400"/>
  </r>
  <r>
    <n v="821"/>
    <x v="817"/>
    <s v="Media"/>
    <x v="26"/>
    <x v="12"/>
    <n v="2581"/>
    <n v="367"/>
    <n v="2341"/>
  </r>
  <r>
    <n v="822"/>
    <x v="818"/>
    <s v="Engineering &amp; Construction"/>
    <x v="67"/>
    <x v="260"/>
    <n v="2580"/>
    <n v="129"/>
    <n v="1409"/>
  </r>
  <r>
    <n v="823"/>
    <x v="819"/>
    <s v="Industrials"/>
    <x v="9"/>
    <x v="129"/>
    <n v="2578"/>
    <n v="75"/>
    <n v="5400"/>
  </r>
  <r>
    <n v="824"/>
    <x v="820"/>
    <s v="Retailing"/>
    <x v="38"/>
    <x v="21"/>
    <n v="2577"/>
    <n v="82"/>
    <n v="11000"/>
  </r>
  <r>
    <n v="825"/>
    <x v="821"/>
    <s v="Retailing"/>
    <x v="10"/>
    <x v="359"/>
    <n v="2574"/>
    <n v="47"/>
    <n v="2155"/>
  </r>
  <r>
    <n v="826"/>
    <x v="822"/>
    <s v="Energy"/>
    <x v="39"/>
    <x v="21"/>
    <n v="2573"/>
    <n v="-2913"/>
    <n v="4655"/>
  </r>
  <r>
    <n v="827"/>
    <x v="823"/>
    <s v="Retailing"/>
    <x v="10"/>
    <x v="26"/>
    <n v="2547"/>
    <n v="65"/>
    <n v="7186"/>
  </r>
  <r>
    <n v="828"/>
    <x v="824"/>
    <s v="Financials"/>
    <x v="66"/>
    <x v="51"/>
    <n v="2544"/>
    <n v="-559"/>
    <n v="187"/>
  </r>
  <r>
    <n v="829"/>
    <x v="825"/>
    <s v="Chemicals"/>
    <x v="28"/>
    <x v="360"/>
    <n v="2542"/>
    <n v="-309"/>
    <n v="8200"/>
  </r>
  <r>
    <n v="830"/>
    <x v="826"/>
    <s v="Technology"/>
    <x v="25"/>
    <x v="361"/>
    <n v="2541"/>
    <n v="95"/>
    <n v="10500"/>
  </r>
  <r>
    <n v="831"/>
    <x v="827"/>
    <s v="Industrials"/>
    <x v="37"/>
    <x v="55"/>
    <n v="2537"/>
    <n v="283"/>
    <n v="13386"/>
  </r>
  <r>
    <n v="832"/>
    <x v="828"/>
    <s v="Industrials"/>
    <x v="9"/>
    <x v="129"/>
    <n v="2536"/>
    <n v="128"/>
    <n v="10000"/>
  </r>
  <r>
    <n v="833"/>
    <x v="829"/>
    <s v="Financials"/>
    <x v="66"/>
    <x v="12"/>
    <n v="2530"/>
    <n v="760"/>
    <n v="4089"/>
  </r>
  <r>
    <n v="834"/>
    <x v="830"/>
    <s v="Technology"/>
    <x v="16"/>
    <x v="362"/>
    <n v="2530"/>
    <n v="-214"/>
    <n v="11300"/>
  </r>
  <r>
    <n v="835"/>
    <x v="831"/>
    <s v="Industrials"/>
    <x v="9"/>
    <x v="122"/>
    <n v="2526"/>
    <n v="-27"/>
    <n v="11400"/>
  </r>
  <r>
    <n v="836"/>
    <x v="832"/>
    <s v="Aerospace &amp; Defense"/>
    <x v="15"/>
    <x v="363"/>
    <n v="2526"/>
    <n v="132"/>
    <n v="10691"/>
  </r>
  <r>
    <n v="837"/>
    <x v="833"/>
    <s v="Wholesalers"/>
    <x v="41"/>
    <x v="364"/>
    <n v="2515"/>
    <n v="62"/>
    <n v="3366"/>
  </r>
  <r>
    <n v="838"/>
    <x v="834"/>
    <s v="Financials"/>
    <x v="3"/>
    <x v="12"/>
    <n v="2511"/>
    <n v="142"/>
    <n v="4630"/>
  </r>
  <r>
    <n v="839"/>
    <x v="835"/>
    <s v="Financials"/>
    <x v="63"/>
    <x v="12"/>
    <n v="2509"/>
    <n v="-509"/>
    <n v="2116"/>
  </r>
  <r>
    <n v="840"/>
    <x v="836"/>
    <s v="Retailing"/>
    <x v="38"/>
    <x v="12"/>
    <n v="2506"/>
    <n v="-1243"/>
    <n v="10450"/>
  </r>
  <r>
    <n v="841"/>
    <x v="837"/>
    <s v="Industrials"/>
    <x v="37"/>
    <x v="365"/>
    <n v="2506"/>
    <n v="181"/>
    <n v="9500"/>
  </r>
  <r>
    <n v="842"/>
    <x v="838"/>
    <s v="Technology"/>
    <x v="16"/>
    <x v="366"/>
    <n v="2504"/>
    <n v="-331"/>
    <n v="9500"/>
  </r>
  <r>
    <n v="843"/>
    <x v="839"/>
    <s v="Energy"/>
    <x v="43"/>
    <x v="322"/>
    <n v="2502"/>
    <n v="213"/>
    <n v="2899"/>
  </r>
  <r>
    <n v="844"/>
    <x v="840"/>
    <s v="Financials"/>
    <x v="31"/>
    <x v="12"/>
    <n v="2495"/>
    <n v="65"/>
    <n v="1093"/>
  </r>
  <r>
    <n v="845"/>
    <x v="841"/>
    <s v="Health Care"/>
    <x v="53"/>
    <x v="51"/>
    <n v="2494"/>
    <n v="495"/>
    <n v="9800"/>
  </r>
  <r>
    <n v="846"/>
    <x v="842"/>
    <s v="Financials"/>
    <x v="66"/>
    <x v="58"/>
    <n v="2491"/>
    <n v="583"/>
    <n v="765"/>
  </r>
  <r>
    <n v="847"/>
    <x v="843"/>
    <s v="Industrials"/>
    <x v="9"/>
    <x v="367"/>
    <n v="2486"/>
    <n v="352"/>
    <n v="9700"/>
  </r>
  <r>
    <n v="848"/>
    <x v="844"/>
    <s v="Financials"/>
    <x v="63"/>
    <x v="360"/>
    <n v="2485"/>
    <n v="516"/>
    <n v="3200"/>
  </r>
  <r>
    <n v="849"/>
    <x v="845"/>
    <s v="Food and Drug Stores"/>
    <x v="6"/>
    <x v="368"/>
    <n v="2472"/>
    <n v="-62"/>
    <n v="14800"/>
  </r>
  <r>
    <n v="850"/>
    <x v="846"/>
    <s v="Energy"/>
    <x v="1"/>
    <x v="369"/>
    <n v="2470"/>
    <n v="82"/>
    <n v="2997"/>
  </r>
  <r>
    <n v="851"/>
    <x v="847"/>
    <s v="Energy"/>
    <x v="43"/>
    <x v="139"/>
    <n v="2464"/>
    <n v="138"/>
    <n v="5876"/>
  </r>
  <r>
    <n v="852"/>
    <x v="848"/>
    <s v="Financials"/>
    <x v="31"/>
    <x v="129"/>
    <n v="2462"/>
    <n v="120"/>
    <n v="2186"/>
  </r>
  <r>
    <n v="853"/>
    <x v="849"/>
    <s v="Energy"/>
    <x v="43"/>
    <x v="370"/>
    <n v="2459"/>
    <n v="292"/>
    <n v="2330"/>
  </r>
  <r>
    <n v="854"/>
    <x v="850"/>
    <s v="Technology"/>
    <x v="27"/>
    <x v="371"/>
    <n v="2446"/>
    <n v="12"/>
    <n v="5345"/>
  </r>
  <r>
    <n v="855"/>
    <x v="851"/>
    <s v="Energy"/>
    <x v="43"/>
    <x v="255"/>
    <n v="2435"/>
    <n v="197"/>
    <n v="5600"/>
  </r>
  <r>
    <n v="856"/>
    <x v="852"/>
    <s v="Household Products"/>
    <x v="18"/>
    <x v="152"/>
    <n v="2421"/>
    <n v="-275"/>
    <n v="6000"/>
  </r>
  <r>
    <n v="857"/>
    <x v="853"/>
    <s v="Materials"/>
    <x v="71"/>
    <x v="372"/>
    <n v="2420"/>
    <n v="94"/>
    <n v="7600"/>
  </r>
  <r>
    <n v="858"/>
    <x v="854"/>
    <s v="Transportation"/>
    <x v="50"/>
    <x v="322"/>
    <n v="2419"/>
    <n v="484"/>
    <n v="6670"/>
  </r>
  <r>
    <n v="859"/>
    <x v="855"/>
    <s v="Energy"/>
    <x v="35"/>
    <x v="126"/>
    <n v="2418"/>
    <n v="-752"/>
    <n v="1640"/>
  </r>
  <r>
    <n v="860"/>
    <x v="856"/>
    <s v="Energy"/>
    <x v="39"/>
    <x v="129"/>
    <n v="2418"/>
    <n v="-749"/>
    <n v="2638"/>
  </r>
  <r>
    <n v="861"/>
    <x v="857"/>
    <s v="Financials"/>
    <x v="66"/>
    <x v="22"/>
    <n v="2404"/>
    <n v="1375"/>
    <n v="1700"/>
  </r>
  <r>
    <n v="862"/>
    <x v="858"/>
    <s v="Energy"/>
    <x v="39"/>
    <x v="101"/>
    <n v="2403"/>
    <n v="-3554"/>
    <n v="1700"/>
  </r>
  <r>
    <n v="863"/>
    <x v="859"/>
    <s v="Engineering &amp; Construction"/>
    <x v="67"/>
    <x v="51"/>
    <n v="2401"/>
    <n v="206"/>
    <n v="1036"/>
  </r>
  <r>
    <n v="864"/>
    <x v="860"/>
    <s v="Technology"/>
    <x v="51"/>
    <x v="54"/>
    <n v="2395"/>
    <n v="353"/>
    <n v="13000"/>
  </r>
  <r>
    <n v="865"/>
    <x v="861"/>
    <s v="Chemicals"/>
    <x v="28"/>
    <x v="373"/>
    <n v="2392"/>
    <n v="27"/>
    <n v="5000"/>
  </r>
  <r>
    <n v="866"/>
    <x v="862"/>
    <s v="Industrials"/>
    <x v="30"/>
    <x v="374"/>
    <n v="2391"/>
    <n v="202"/>
    <n v="6874"/>
  </r>
  <r>
    <n v="867"/>
    <x v="863"/>
    <s v="Industrials"/>
    <x v="9"/>
    <x v="24"/>
    <n v="2389"/>
    <n v="88"/>
    <n v="8000"/>
  </r>
  <r>
    <n v="868"/>
    <x v="864"/>
    <s v="Health Care"/>
    <x v="53"/>
    <x v="215"/>
    <n v="2384"/>
    <n v="589"/>
    <n v="3211"/>
  </r>
  <r>
    <n v="869"/>
    <x v="865"/>
    <s v="Business Services"/>
    <x v="59"/>
    <x v="3"/>
    <n v="2383"/>
    <n v="242"/>
    <n v="10630"/>
  </r>
  <r>
    <n v="870"/>
    <x v="866"/>
    <s v="Business Services"/>
    <x v="42"/>
    <x v="221"/>
    <n v="2382"/>
    <n v="1311"/>
    <n v="5300"/>
  </r>
  <r>
    <n v="871"/>
    <x v="867"/>
    <s v="Technology"/>
    <x v="25"/>
    <x v="45"/>
    <n v="2377"/>
    <n v="648"/>
    <n v="3451"/>
  </r>
  <r>
    <n v="872"/>
    <x v="868"/>
    <s v="Financials"/>
    <x v="63"/>
    <x v="21"/>
    <n v="2377"/>
    <n v="92"/>
    <n v="7100"/>
  </r>
  <r>
    <n v="873"/>
    <x v="869"/>
    <s v="Industrials"/>
    <x v="9"/>
    <x v="33"/>
    <n v="2371"/>
    <n v="208"/>
    <n v="12500"/>
  </r>
  <r>
    <n v="874"/>
    <x v="870"/>
    <s v="Engineering &amp; Construction"/>
    <x v="55"/>
    <x v="375"/>
    <n v="2371"/>
    <n v="61"/>
    <n v="3200"/>
  </r>
  <r>
    <n v="875"/>
    <x v="871"/>
    <s v="Wholesalers"/>
    <x v="41"/>
    <x v="376"/>
    <n v="2363"/>
    <n v="128"/>
    <n v="3800"/>
  </r>
  <r>
    <n v="876"/>
    <x v="872"/>
    <s v="Retailing"/>
    <x v="38"/>
    <x v="54"/>
    <n v="2350"/>
    <n v="117"/>
    <n v="10710"/>
  </r>
  <r>
    <n v="877"/>
    <x v="873"/>
    <s v="Apparel"/>
    <x v="40"/>
    <x v="12"/>
    <n v="2344"/>
    <n v="114"/>
    <n v="8919"/>
  </r>
  <r>
    <n v="878"/>
    <x v="874"/>
    <s v="Financials"/>
    <x v="3"/>
    <x v="22"/>
    <n v="2341"/>
    <n v="86"/>
    <n v="5600"/>
  </r>
  <r>
    <n v="879"/>
    <x v="875"/>
    <s v="Energy"/>
    <x v="57"/>
    <x v="99"/>
    <n v="2340"/>
    <n v="85"/>
    <n v="1914"/>
  </r>
  <r>
    <n v="880"/>
    <x v="876"/>
    <s v="Financials"/>
    <x v="11"/>
    <x v="377"/>
    <n v="2339"/>
    <n v="39"/>
    <n v="6740"/>
  </r>
  <r>
    <n v="881"/>
    <x v="877"/>
    <s v="Health Care"/>
    <x v="13"/>
    <x v="82"/>
    <n v="2330"/>
    <n v="148"/>
    <n v="18660"/>
  </r>
  <r>
    <n v="882"/>
    <x v="878"/>
    <s v="Apparel"/>
    <x v="40"/>
    <x v="156"/>
    <n v="2326"/>
    <n v="174"/>
    <n v="5978"/>
  </r>
  <r>
    <n v="883"/>
    <x v="879"/>
    <s v="Health Care"/>
    <x v="13"/>
    <x v="378"/>
    <n v="2321"/>
    <n v="-152"/>
    <n v="14000"/>
  </r>
  <r>
    <n v="884"/>
    <x v="880"/>
    <s v="Transportation"/>
    <x v="36"/>
    <x v="358"/>
    <n v="2318"/>
    <n v="183"/>
    <n v="5548"/>
  </r>
  <r>
    <n v="885"/>
    <x v="881"/>
    <s v="Materials"/>
    <x v="49"/>
    <x v="379"/>
    <n v="2317"/>
    <n v="199"/>
    <n v="13000"/>
  </r>
  <r>
    <n v="886"/>
    <x v="882"/>
    <s v="Business Services"/>
    <x v="60"/>
    <x v="113"/>
    <n v="2314"/>
    <n v="240"/>
    <n v="8600"/>
  </r>
  <r>
    <n v="887"/>
    <x v="883"/>
    <s v="Industrials"/>
    <x v="37"/>
    <x v="21"/>
    <n v="2309"/>
    <n v="66"/>
    <n v="8200"/>
  </r>
  <r>
    <n v="888"/>
    <x v="884"/>
    <s v="Technology"/>
    <x v="25"/>
    <x v="45"/>
    <n v="2307"/>
    <n v="206"/>
    <n v="8250"/>
  </r>
  <r>
    <n v="889"/>
    <x v="885"/>
    <s v="Food, Beverages &amp; Tobacco"/>
    <x v="32"/>
    <x v="24"/>
    <n v="2307"/>
    <n v="59"/>
    <n v="8550"/>
  </r>
  <r>
    <n v="890"/>
    <x v="886"/>
    <s v="Household Products"/>
    <x v="65"/>
    <x v="380"/>
    <n v="2304"/>
    <n v="105"/>
    <n v="10200"/>
  </r>
  <r>
    <n v="891"/>
    <x v="887"/>
    <s v="Technology"/>
    <x v="25"/>
    <x v="381"/>
    <n v="2301"/>
    <n v="-109"/>
    <n v="22400"/>
  </r>
  <r>
    <n v="892"/>
    <x v="888"/>
    <s v="Engineering &amp; Construction"/>
    <x v="55"/>
    <x v="133"/>
    <n v="2299"/>
    <n v="39"/>
    <n v="13000"/>
  </r>
  <r>
    <n v="893"/>
    <x v="889"/>
    <s v="Technology"/>
    <x v="51"/>
    <x v="86"/>
    <n v="2298"/>
    <n v="196"/>
    <n v="9200"/>
  </r>
  <r>
    <n v="894"/>
    <x v="890"/>
    <s v="Retailing"/>
    <x v="10"/>
    <x v="382"/>
    <n v="2295"/>
    <n v="11"/>
    <n v="12888"/>
  </r>
  <r>
    <n v="895"/>
    <x v="891"/>
    <s v="Hotels, Resturants &amp; Leisure"/>
    <x v="58"/>
    <x v="139"/>
    <n v="2292"/>
    <n v="49"/>
    <n v="14726"/>
  </r>
  <r>
    <n v="896"/>
    <x v="892"/>
    <s v="Technology"/>
    <x v="51"/>
    <x v="215"/>
    <n v="2290"/>
    <n v="121"/>
    <n v="8451"/>
  </r>
  <r>
    <n v="897"/>
    <x v="893"/>
    <s v="Financials"/>
    <x v="21"/>
    <x v="273"/>
    <n v="2290"/>
    <n v="209"/>
    <n v="1022"/>
  </r>
  <r>
    <n v="898"/>
    <x v="894"/>
    <s v="Chemicals"/>
    <x v="28"/>
    <x v="383"/>
    <n v="2289"/>
    <n v="-83"/>
    <n v="5000"/>
  </r>
  <r>
    <n v="899"/>
    <x v="895"/>
    <s v="Retailing"/>
    <x v="10"/>
    <x v="79"/>
    <n v="2288"/>
    <n v="-27"/>
    <n v="2918"/>
  </r>
  <r>
    <n v="900"/>
    <x v="896"/>
    <s v="Household Products"/>
    <x v="18"/>
    <x v="195"/>
    <n v="2284"/>
    <n v="186"/>
    <n v="13000"/>
  </r>
  <r>
    <n v="901"/>
    <x v="897"/>
    <s v="Energy"/>
    <x v="39"/>
    <x v="107"/>
    <n v="2273"/>
    <n v="211"/>
    <n v="4243"/>
  </r>
  <r>
    <n v="902"/>
    <x v="898"/>
    <s v="Food, Beverages &amp; Tobacco"/>
    <x v="44"/>
    <x v="97"/>
    <n v="2272"/>
    <n v="115"/>
    <n v="27000"/>
  </r>
  <r>
    <n v="903"/>
    <x v="899"/>
    <s v="Aerospace &amp; Defense"/>
    <x v="15"/>
    <x v="24"/>
    <n v="2264"/>
    <n v="146"/>
    <n v="8400"/>
  </r>
  <r>
    <n v="904"/>
    <x v="900"/>
    <s v="Technology"/>
    <x v="27"/>
    <x v="45"/>
    <n v="2264"/>
    <n v="340"/>
    <n v="4640"/>
  </r>
  <r>
    <n v="905"/>
    <x v="901"/>
    <s v="Technology"/>
    <x v="51"/>
    <x v="82"/>
    <n v="2263"/>
    <n v="212"/>
    <n v="8000"/>
  </r>
  <r>
    <n v="906"/>
    <x v="902"/>
    <s v="Technology"/>
    <x v="12"/>
    <x v="58"/>
    <n v="2250"/>
    <n v="-77"/>
    <n v="3809"/>
  </r>
  <r>
    <n v="907"/>
    <x v="903"/>
    <s v="Household Products"/>
    <x v="18"/>
    <x v="384"/>
    <n v="2247"/>
    <n v="133"/>
    <n v="26800"/>
  </r>
  <r>
    <n v="908"/>
    <x v="904"/>
    <s v="Energy"/>
    <x v="35"/>
    <x v="26"/>
    <n v="2247"/>
    <n v="423"/>
    <n v="1400"/>
  </r>
  <r>
    <n v="909"/>
    <x v="905"/>
    <s v="Technology"/>
    <x v="16"/>
    <x v="31"/>
    <n v="2242"/>
    <n v="226"/>
    <n v="10284"/>
  </r>
  <r>
    <n v="910"/>
    <x v="906"/>
    <s v="Financials"/>
    <x v="19"/>
    <x v="385"/>
    <n v="2231"/>
    <n v="63"/>
    <n v="3512"/>
  </r>
  <r>
    <n v="911"/>
    <x v="907"/>
    <s v="Materials"/>
    <x v="48"/>
    <x v="340"/>
    <n v="2227"/>
    <n v="59"/>
    <n v="4900"/>
  </r>
  <r>
    <n v="912"/>
    <x v="908"/>
    <s v="Technology"/>
    <x v="51"/>
    <x v="78"/>
    <n v="2220"/>
    <n v="462"/>
    <n v="4600"/>
  </r>
  <r>
    <n v="913"/>
    <x v="909"/>
    <s v="Media"/>
    <x v="26"/>
    <x v="386"/>
    <n v="2219"/>
    <n v="172"/>
    <n v="8000"/>
  </r>
  <r>
    <n v="914"/>
    <x v="910"/>
    <s v="Technology"/>
    <x v="12"/>
    <x v="4"/>
    <n v="2218"/>
    <n v="-521"/>
    <n v="3898"/>
  </r>
  <r>
    <n v="915"/>
    <x v="911"/>
    <s v="Hotels, Resturants &amp; Leisure"/>
    <x v="45"/>
    <x v="387"/>
    <n v="2217"/>
    <n v="193"/>
    <n v="11900"/>
  </r>
  <r>
    <n v="916"/>
    <x v="912"/>
    <s v="Financials"/>
    <x v="14"/>
    <x v="388"/>
    <n v="2211"/>
    <n v="310"/>
    <n v="10200"/>
  </r>
  <r>
    <n v="917"/>
    <x v="913"/>
    <s v="Apparel"/>
    <x v="40"/>
    <x v="101"/>
    <n v="2204"/>
    <n v="82"/>
    <n v="13500"/>
  </r>
  <r>
    <n v="918"/>
    <x v="914"/>
    <s v="Hotels, Resturants &amp; Leisure"/>
    <x v="58"/>
    <x v="139"/>
    <n v="2199"/>
    <n v="47"/>
    <n v="18243"/>
  </r>
  <r>
    <n v="919"/>
    <x v="915"/>
    <s v="Technology"/>
    <x v="16"/>
    <x v="146"/>
    <n v="2197"/>
    <n v="321"/>
    <n v="6084"/>
  </r>
  <r>
    <n v="920"/>
    <x v="916"/>
    <s v="Financials"/>
    <x v="66"/>
    <x v="4"/>
    <n v="2197"/>
    <n v="869"/>
    <n v="1555"/>
  </r>
  <r>
    <n v="921"/>
    <x v="917"/>
    <s v="Energy"/>
    <x v="43"/>
    <x v="126"/>
    <n v="2197"/>
    <n v="271"/>
    <n v="2586"/>
  </r>
  <r>
    <n v="922"/>
    <x v="918"/>
    <s v="Retailing"/>
    <x v="10"/>
    <x v="95"/>
    <n v="2195"/>
    <n v="44"/>
    <n v="2670"/>
  </r>
  <r>
    <n v="923"/>
    <x v="919"/>
    <s v="Financials"/>
    <x v="11"/>
    <x v="255"/>
    <n v="2192"/>
    <n v="-242"/>
    <n v="11400"/>
  </r>
  <r>
    <n v="924"/>
    <x v="920"/>
    <s v="Energy"/>
    <x v="35"/>
    <x v="107"/>
    <n v="2189"/>
    <n v="819"/>
    <n v="1640"/>
  </r>
  <r>
    <n v="925"/>
    <x v="921"/>
    <s v="Financials"/>
    <x v="31"/>
    <x v="356"/>
    <n v="2180"/>
    <n v="68"/>
    <n v="929"/>
  </r>
  <r>
    <n v="926"/>
    <x v="922"/>
    <s v="Financials"/>
    <x v="21"/>
    <x v="95"/>
    <n v="2179"/>
    <n v="147"/>
    <n v="1400"/>
  </r>
  <r>
    <n v="927"/>
    <x v="923"/>
    <s v="Technology"/>
    <x v="17"/>
    <x v="164"/>
    <n v="2163"/>
    <n v="176"/>
    <n v="7834"/>
  </r>
  <r>
    <n v="928"/>
    <x v="924"/>
    <s v="Food and Drug Stores"/>
    <x v="6"/>
    <x v="47"/>
    <n v="2151"/>
    <n v="-7"/>
    <n v="7103"/>
  </r>
  <r>
    <n v="929"/>
    <x v="925"/>
    <s v="Engineering &amp; Construction"/>
    <x v="67"/>
    <x v="389"/>
    <n v="2149"/>
    <n v="-16"/>
    <n v="2078"/>
  </r>
  <r>
    <n v="930"/>
    <x v="926"/>
    <s v="Transportation"/>
    <x v="42"/>
    <x v="26"/>
    <n v="2148"/>
    <n v="227"/>
    <n v="4200"/>
  </r>
  <r>
    <n v="931"/>
    <x v="927"/>
    <s v="Technology"/>
    <x v="25"/>
    <x v="390"/>
    <n v="2147"/>
    <n v="369"/>
    <n v="9449"/>
  </r>
  <r>
    <n v="932"/>
    <x v="928"/>
    <s v="Household Products"/>
    <x v="65"/>
    <x v="391"/>
    <n v="2142"/>
    <n v="98"/>
    <n v="7510"/>
  </r>
  <r>
    <n v="933"/>
    <x v="929"/>
    <s v="Transportation"/>
    <x v="36"/>
    <x v="392"/>
    <n v="2142"/>
    <n v="317"/>
    <n v="4326"/>
  </r>
  <r>
    <n v="934"/>
    <x v="930"/>
    <s v="Chemicals"/>
    <x v="28"/>
    <x v="97"/>
    <n v="2141"/>
    <n v="239"/>
    <n v="1979"/>
  </r>
  <r>
    <n v="935"/>
    <x v="931"/>
    <s v="Health Care"/>
    <x v="33"/>
    <x v="101"/>
    <n v="2134"/>
    <n v="211"/>
    <n v="12700"/>
  </r>
  <r>
    <n v="936"/>
    <x v="932"/>
    <s v="Financials"/>
    <x v="3"/>
    <x v="393"/>
    <n v="2132"/>
    <n v="166"/>
    <n v="2200"/>
  </r>
  <r>
    <n v="937"/>
    <x v="933"/>
    <s v="Retailing"/>
    <x v="10"/>
    <x v="29"/>
    <n v="2129"/>
    <n v="-133"/>
    <n v="4941"/>
  </r>
  <r>
    <n v="938"/>
    <x v="934"/>
    <s v="Financials"/>
    <x v="14"/>
    <x v="394"/>
    <n v="2123"/>
    <n v="895"/>
    <n v="7810"/>
  </r>
  <r>
    <n v="939"/>
    <x v="935"/>
    <s v="Business Services"/>
    <x v="62"/>
    <x v="153"/>
    <n v="2117"/>
    <n v="-96"/>
    <n v="7227"/>
  </r>
  <r>
    <n v="940"/>
    <x v="936"/>
    <s v="Retailing"/>
    <x v="10"/>
    <x v="395"/>
    <n v="2109"/>
    <n v="91"/>
    <n v="4200"/>
  </r>
  <r>
    <n v="941"/>
    <x v="937"/>
    <s v="Hotels, Resturants &amp; Leisure"/>
    <x v="45"/>
    <x v="396"/>
    <n v="2101"/>
    <n v="117"/>
    <n v="37600"/>
  </r>
  <r>
    <n v="942"/>
    <x v="938"/>
    <s v="Industrials"/>
    <x v="9"/>
    <x v="47"/>
    <n v="2100"/>
    <n v="88"/>
    <n v="4104"/>
  </r>
  <r>
    <n v="943"/>
    <x v="939"/>
    <s v="Technology"/>
    <x v="17"/>
    <x v="246"/>
    <n v="2100"/>
    <n v="158"/>
    <n v="17000"/>
  </r>
  <r>
    <n v="944"/>
    <x v="940"/>
    <s v="Technology"/>
    <x v="25"/>
    <x v="397"/>
    <n v="2096"/>
    <n v="-26"/>
    <n v="29570"/>
  </r>
  <r>
    <n v="945"/>
    <x v="941"/>
    <s v="Transportation"/>
    <x v="69"/>
    <x v="3"/>
    <n v="2094"/>
    <n v="124"/>
    <n v="12325"/>
  </r>
  <r>
    <n v="946"/>
    <x v="942"/>
    <s v="Technology"/>
    <x v="17"/>
    <x v="398"/>
    <n v="2086"/>
    <n v="-235"/>
    <n v="9800"/>
  </r>
  <r>
    <n v="947"/>
    <x v="943"/>
    <s v="Industrials"/>
    <x v="9"/>
    <x v="55"/>
    <n v="2084"/>
    <n v="84"/>
    <n v="8000"/>
  </r>
  <r>
    <n v="948"/>
    <x v="944"/>
    <s v="Energy"/>
    <x v="35"/>
    <x v="28"/>
    <n v="2084"/>
    <n v="307"/>
    <n v="1644"/>
  </r>
  <r>
    <n v="949"/>
    <x v="945"/>
    <s v="Chemicals"/>
    <x v="28"/>
    <x v="71"/>
    <n v="2084"/>
    <n v="87"/>
    <n v="4425"/>
  </r>
  <r>
    <n v="950"/>
    <x v="946"/>
    <s v="Household Products"/>
    <x v="42"/>
    <x v="399"/>
    <n v="2083"/>
    <n v="80"/>
    <n v="5200"/>
  </r>
  <r>
    <n v="951"/>
    <x v="947"/>
    <s v="Business Services"/>
    <x v="54"/>
    <x v="400"/>
    <n v="2077"/>
    <n v="98"/>
    <n v="3320"/>
  </r>
  <r>
    <n v="952"/>
    <x v="948"/>
    <s v="Business Services"/>
    <x v="60"/>
    <x v="401"/>
    <n v="2068"/>
    <n v="508"/>
    <n v="7783"/>
  </r>
  <r>
    <n v="953"/>
    <x v="949"/>
    <s v="Energy"/>
    <x v="1"/>
    <x v="26"/>
    <n v="2066"/>
    <n v="-40"/>
    <n v="744"/>
  </r>
  <r>
    <n v="954"/>
    <x v="950"/>
    <s v="Food, Beverages &amp; Tobacco"/>
    <x v="44"/>
    <x v="402"/>
    <n v="2066"/>
    <n v="-15"/>
    <n v="6835"/>
  </r>
  <r>
    <n v="955"/>
    <x v="951"/>
    <s v="Energy"/>
    <x v="39"/>
    <x v="117"/>
    <n v="2051"/>
    <n v="-2219"/>
    <n v="1200"/>
  </r>
  <r>
    <n v="956"/>
    <x v="952"/>
    <s v="Technology"/>
    <x v="51"/>
    <x v="403"/>
    <n v="2042"/>
    <n v="469"/>
    <n v="6594"/>
  </r>
  <r>
    <n v="957"/>
    <x v="953"/>
    <s v="Motor Vehicles &amp; Parts"/>
    <x v="7"/>
    <x v="404"/>
    <n v="2042"/>
    <n v="194"/>
    <n v="8300"/>
  </r>
  <r>
    <n v="958"/>
    <x v="954"/>
    <s v="Aerospace &amp; Defense"/>
    <x v="15"/>
    <x v="405"/>
    <n v="2038"/>
    <n v="182"/>
    <n v="6955"/>
  </r>
  <r>
    <n v="959"/>
    <x v="955"/>
    <s v="Financials"/>
    <x v="3"/>
    <x v="26"/>
    <n v="2034"/>
    <n v="-6"/>
    <n v="6900"/>
  </r>
  <r>
    <n v="960"/>
    <x v="956"/>
    <s v="Health Care"/>
    <x v="13"/>
    <x v="43"/>
    <n v="2029"/>
    <n v="35"/>
    <n v="5200"/>
  </r>
  <r>
    <n v="961"/>
    <x v="957"/>
    <s v="Motor Vehicles &amp; Parts"/>
    <x v="7"/>
    <x v="406"/>
    <n v="2028"/>
    <n v="104"/>
    <n v="5300"/>
  </r>
  <r>
    <n v="962"/>
    <x v="958"/>
    <s v="Energy"/>
    <x v="57"/>
    <x v="233"/>
    <n v="2024"/>
    <n v="30"/>
    <n v="4028"/>
  </r>
  <r>
    <n v="963"/>
    <x v="959"/>
    <s v="Engineering &amp; Construction"/>
    <x v="55"/>
    <x v="407"/>
    <n v="2022"/>
    <n v="84"/>
    <n v="11159"/>
  </r>
  <r>
    <n v="964"/>
    <x v="960"/>
    <s v="Industrials"/>
    <x v="9"/>
    <x v="158"/>
    <n v="2021"/>
    <n v="283"/>
    <n v="6801"/>
  </r>
  <r>
    <n v="965"/>
    <x v="961"/>
    <s v="Health Care"/>
    <x v="53"/>
    <x v="408"/>
    <n v="2019"/>
    <n v="113"/>
    <n v="7770"/>
  </r>
  <r>
    <n v="966"/>
    <x v="962"/>
    <s v="Energy"/>
    <x v="39"/>
    <x v="117"/>
    <n v="2019"/>
    <n v="-149"/>
    <n v="693"/>
  </r>
  <r>
    <n v="967"/>
    <x v="963"/>
    <s v="Household Products"/>
    <x v="65"/>
    <x v="12"/>
    <n v="2016"/>
    <n v="34"/>
    <n v="6000"/>
  </r>
  <r>
    <n v="968"/>
    <x v="964"/>
    <s v="Media"/>
    <x v="64"/>
    <x v="129"/>
    <n v="2011"/>
    <n v="65"/>
    <n v="17650"/>
  </r>
  <r>
    <n v="969"/>
    <x v="965"/>
    <s v="Media"/>
    <x v="26"/>
    <x v="22"/>
    <n v="2011"/>
    <n v="-320"/>
    <n v="8000"/>
  </r>
  <r>
    <n v="970"/>
    <x v="966"/>
    <s v="Technology"/>
    <x v="12"/>
    <x v="28"/>
    <n v="2001"/>
    <n v="126"/>
    <n v="6189"/>
  </r>
  <r>
    <n v="971"/>
    <x v="967"/>
    <s v="Technology"/>
    <x v="2"/>
    <x v="45"/>
    <n v="2001"/>
    <n v="79"/>
    <n v="5400"/>
  </r>
  <r>
    <n v="972"/>
    <x v="968"/>
    <s v="Transportation"/>
    <x v="50"/>
    <x v="409"/>
    <n v="2000"/>
    <n v="225"/>
    <n v="7500"/>
  </r>
  <r>
    <n v="973"/>
    <x v="969"/>
    <s v="Retailing"/>
    <x v="10"/>
    <x v="280"/>
    <n v="1999"/>
    <n v="-232"/>
    <n v="18200"/>
  </r>
  <r>
    <n v="974"/>
    <x v="970"/>
    <s v="Transportation"/>
    <x v="61"/>
    <x v="410"/>
    <n v="1995"/>
    <n v="48"/>
    <n v="4502"/>
  </r>
  <r>
    <n v="975"/>
    <x v="971"/>
    <s v="Technology"/>
    <x v="2"/>
    <x v="45"/>
    <n v="1991"/>
    <n v="102"/>
    <n v="2285"/>
  </r>
  <r>
    <n v="976"/>
    <x v="972"/>
    <s v="Financials"/>
    <x v="14"/>
    <x v="4"/>
    <n v="1989"/>
    <n v="522"/>
    <n v="3130"/>
  </r>
  <r>
    <n v="977"/>
    <x v="973"/>
    <s v="Health Care"/>
    <x v="53"/>
    <x v="22"/>
    <n v="1988"/>
    <n v="48"/>
    <n v="10000"/>
  </r>
  <r>
    <n v="978"/>
    <x v="974"/>
    <s v="Health Care"/>
    <x v="13"/>
    <x v="411"/>
    <n v="1987"/>
    <n v="84"/>
    <n v="9072"/>
  </r>
  <r>
    <n v="979"/>
    <x v="975"/>
    <s v="Motor Vehicles &amp; Parts"/>
    <x v="7"/>
    <x v="412"/>
    <n v="1986"/>
    <n v="182"/>
    <n v="2700"/>
  </r>
  <r>
    <n v="980"/>
    <x v="976"/>
    <s v="Energy"/>
    <x v="43"/>
    <x v="21"/>
    <n v="1976"/>
    <n v="137"/>
    <n v="3078"/>
  </r>
  <r>
    <n v="981"/>
    <x v="977"/>
    <s v="Energy"/>
    <x v="39"/>
    <x v="107"/>
    <n v="1958"/>
    <n v="-1727"/>
    <n v="1040"/>
  </r>
  <r>
    <n v="982"/>
    <x v="978"/>
    <s v="Materials"/>
    <x v="48"/>
    <x v="22"/>
    <n v="1950"/>
    <n v="-59"/>
    <n v="1778"/>
  </r>
  <r>
    <n v="983"/>
    <x v="979"/>
    <s v="Energy"/>
    <x v="1"/>
    <x v="26"/>
    <n v="1944"/>
    <n v="-1"/>
    <n v="809"/>
  </r>
  <r>
    <n v="984"/>
    <x v="980"/>
    <s v="Technology"/>
    <x v="16"/>
    <x v="378"/>
    <n v="1931"/>
    <n v="-115"/>
    <n v="13500"/>
  </r>
  <r>
    <n v="985"/>
    <x v="981"/>
    <s v="Engineering &amp; Construction"/>
    <x v="55"/>
    <x v="9"/>
    <n v="1929"/>
    <n v="37"/>
    <n v="7011"/>
  </r>
  <r>
    <n v="986"/>
    <x v="982"/>
    <s v="Materials"/>
    <x v="48"/>
    <x v="156"/>
    <n v="1924"/>
    <n v="-197"/>
    <n v="2955"/>
  </r>
  <r>
    <n v="987"/>
    <x v="983"/>
    <s v="Aerospace &amp; Defense"/>
    <x v="15"/>
    <x v="36"/>
    <n v="1923"/>
    <n v="-133"/>
    <n v="12000"/>
  </r>
  <r>
    <n v="988"/>
    <x v="984"/>
    <s v="Financials"/>
    <x v="66"/>
    <x v="413"/>
    <n v="1922"/>
    <n v="166"/>
    <n v="400"/>
  </r>
  <r>
    <n v="989"/>
    <x v="985"/>
    <s v="Media"/>
    <x v="64"/>
    <x v="164"/>
    <n v="1921"/>
    <n v="-31"/>
    <n v="7300"/>
  </r>
  <r>
    <n v="990"/>
    <x v="986"/>
    <s v="Technology"/>
    <x v="27"/>
    <x v="17"/>
    <n v="1920"/>
    <n v="365"/>
    <n v="4178"/>
  </r>
  <r>
    <n v="991"/>
    <x v="987"/>
    <s v="Wholesalers"/>
    <x v="41"/>
    <x v="25"/>
    <n v="1917"/>
    <n v="-12"/>
    <n v="1600"/>
  </r>
  <r>
    <n v="992"/>
    <x v="988"/>
    <s v="Household Products"/>
    <x v="18"/>
    <x v="12"/>
    <n v="1914"/>
    <n v="56"/>
    <n v="5700"/>
  </r>
  <r>
    <n v="993"/>
    <x v="989"/>
    <s v="Business Services"/>
    <x v="72"/>
    <x v="172"/>
    <n v="1910"/>
    <n v="140"/>
    <n v="11770"/>
  </r>
  <r>
    <n v="994"/>
    <x v="990"/>
    <s v="Engineering &amp; Construction"/>
    <x v="67"/>
    <x v="117"/>
    <n v="1909"/>
    <n v="66"/>
    <n v="1225"/>
  </r>
  <r>
    <n v="995"/>
    <x v="991"/>
    <s v="Energy"/>
    <x v="39"/>
    <x v="26"/>
    <n v="1908"/>
    <n v="-3748"/>
    <n v="665"/>
  </r>
  <r>
    <n v="996"/>
    <x v="992"/>
    <s v="Financials"/>
    <x v="14"/>
    <x v="414"/>
    <n v="1902"/>
    <n v="-47"/>
    <n v="3448"/>
  </r>
  <r>
    <n v="997"/>
    <x v="993"/>
    <s v="Energy"/>
    <x v="43"/>
    <x v="156"/>
    <n v="1898"/>
    <n v="172"/>
    <n v="2646"/>
  </r>
  <r>
    <n v="997"/>
    <x v="993"/>
    <s v="Energy"/>
    <x v="43"/>
    <x v="156"/>
    <n v="1898"/>
    <n v="172"/>
    <n v="2646"/>
  </r>
  <r>
    <n v="999"/>
    <x v="994"/>
    <s v="Hotels, Resturants &amp; Leisure"/>
    <x v="45"/>
    <x v="20"/>
    <n v="1896"/>
    <n v="161"/>
    <n v="21200"/>
  </r>
  <r>
    <n v="1000"/>
    <x v="995"/>
    <s v="Industrials"/>
    <x v="9"/>
    <x v="415"/>
    <n v="1895"/>
    <n v="46"/>
    <n v="54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6" firstHeaderRow="1" firstDataRow="1" firstDataCol="1"/>
  <pivotFields count="8">
    <pivotField showAll="0"/>
    <pivotField showAll="0">
      <items count="997">
        <item x="92"/>
        <item x="969"/>
        <item x="861"/>
        <item x="827"/>
        <item x="686"/>
        <item x="137"/>
        <item x="122"/>
        <item x="641"/>
        <item x="482"/>
        <item x="529"/>
        <item x="785"/>
        <item x="979"/>
        <item x="521"/>
        <item x="247"/>
        <item x="632"/>
        <item x="292"/>
        <item x="590"/>
        <item x="155"/>
        <item x="189"/>
        <item x="45"/>
        <item x="844"/>
        <item x="134"/>
        <item x="359"/>
        <item x="586"/>
        <item x="597"/>
        <item x="48"/>
        <item x="287"/>
        <item x="481"/>
        <item x="382"/>
        <item x="915"/>
        <item x="457"/>
        <item x="621"/>
        <item x="125"/>
        <item x="814"/>
        <item x="684"/>
        <item x="811"/>
        <item x="506"/>
        <item x="617"/>
        <item x="403"/>
        <item x="897"/>
        <item x="950"/>
        <item x="676"/>
        <item x="975"/>
        <item x="80"/>
        <item x="297"/>
        <item x="566"/>
        <item x="739"/>
        <item x="35"/>
        <item x="148"/>
        <item x="425"/>
        <item x="17"/>
        <item x="817"/>
        <item x="709"/>
        <item x="424"/>
        <item x="66"/>
        <item x="601"/>
        <item x="640"/>
        <item x="164"/>
        <item x="84"/>
        <item x="331"/>
        <item x="420"/>
        <item x="964"/>
        <item x="719"/>
        <item x="523"/>
        <item x="693"/>
        <item x="231"/>
        <item x="11"/>
        <item x="591"/>
        <item x="129"/>
        <item x="906"/>
        <item x="749"/>
        <item x="460"/>
        <item x="762"/>
        <item x="528"/>
        <item x="323"/>
        <item x="656"/>
        <item x="571"/>
        <item x="390"/>
        <item x="595"/>
        <item x="32"/>
        <item x="387"/>
        <item x="816"/>
        <item x="2"/>
        <item x="776"/>
        <item x="294"/>
        <item x="881"/>
        <item x="198"/>
        <item x="796"/>
        <item x="822"/>
        <item x="40"/>
        <item x="835"/>
        <item x="853"/>
        <item x="118"/>
        <item x="469"/>
        <item x="392"/>
        <item x="520"/>
        <item x="274"/>
        <item x="9"/>
        <item x="576"/>
        <item x="838"/>
        <item x="309"/>
        <item x="135"/>
        <item x="397"/>
        <item x="279"/>
        <item x="581"/>
        <item x="434"/>
        <item x="329"/>
        <item x="101"/>
        <item x="369"/>
        <item x="610"/>
        <item x="781"/>
        <item x="177"/>
        <item x="340"/>
        <item x="25"/>
        <item x="178"/>
        <item x="426"/>
        <item x="419"/>
        <item x="285"/>
        <item x="272"/>
        <item x="833"/>
        <item x="277"/>
        <item x="237"/>
        <item x="883"/>
        <item x="583"/>
        <item x="826"/>
        <item x="3"/>
        <item x="515"/>
        <item x="70"/>
        <item x="706"/>
        <item x="492"/>
        <item x="262"/>
        <item x="961"/>
        <item x="249"/>
        <item x="533"/>
        <item x="554"/>
        <item x="987"/>
        <item x="23"/>
        <item x="624"/>
        <item x="769"/>
        <item x="484"/>
        <item x="338"/>
        <item x="842"/>
        <item x="358"/>
        <item x="914"/>
        <item x="995"/>
        <item x="710"/>
        <item x="727"/>
        <item x="167"/>
        <item x="330"/>
        <item x="788"/>
        <item x="900"/>
        <item x="512"/>
        <item x="699"/>
        <item x="575"/>
        <item x="653"/>
        <item x="634"/>
        <item x="497"/>
        <item x="207"/>
        <item x="658"/>
        <item x="560"/>
        <item x="589"/>
        <item x="398"/>
        <item x="754"/>
        <item x="670"/>
        <item x="531"/>
        <item x="637"/>
        <item x="820"/>
        <item x="858"/>
        <item x="401"/>
        <item x="568"/>
        <item x="318"/>
        <item x="336"/>
        <item x="111"/>
        <item x="20"/>
        <item x="636"/>
        <item x="726"/>
        <item x="190"/>
        <item x="907"/>
        <item x="722"/>
        <item x="373"/>
        <item x="58"/>
        <item x="258"/>
        <item x="202"/>
        <item x="219"/>
        <item x="304"/>
        <item x="123"/>
        <item x="362"/>
        <item x="978"/>
        <item x="158"/>
        <item x="985"/>
        <item x="550"/>
        <item x="563"/>
        <item x="475"/>
        <item x="400"/>
        <item x="291"/>
        <item x="937"/>
        <item x="222"/>
        <item x="13"/>
        <item x="803"/>
        <item x="543"/>
        <item x="83"/>
        <item x="662"/>
        <item x="850"/>
        <item x="78"/>
        <item x="496"/>
        <item x="758"/>
        <item x="542"/>
        <item x="53"/>
        <item x="600"/>
        <item x="28"/>
        <item x="483"/>
        <item x="673"/>
        <item x="674"/>
        <item x="856"/>
        <item x="453"/>
        <item x="668"/>
        <item x="402"/>
        <item x="608"/>
        <item x="572"/>
        <item x="61"/>
        <item x="885"/>
        <item x="396"/>
        <item x="229"/>
        <item x="593"/>
        <item x="173"/>
        <item x="878"/>
        <item x="36"/>
        <item x="761"/>
        <item x="416"/>
        <item x="609"/>
        <item x="124"/>
        <item x="232"/>
        <item x="175"/>
        <item x="89"/>
        <item x="702"/>
        <item x="228"/>
        <item x="428"/>
        <item x="794"/>
        <item x="740"/>
        <item x="735"/>
        <item x="667"/>
        <item x="316"/>
        <item x="312"/>
        <item x="14"/>
        <item x="551"/>
        <item x="643"/>
        <item x="759"/>
        <item x="778"/>
        <item x="806"/>
        <item x="616"/>
        <item x="320"/>
        <item x="298"/>
        <item x="238"/>
        <item x="147"/>
        <item x="698"/>
        <item x="899"/>
        <item x="6"/>
        <item x="259"/>
        <item x="427"/>
        <item x="132"/>
        <item x="370"/>
        <item x="661"/>
        <item x="199"/>
        <item x="335"/>
        <item x="96"/>
        <item x="444"/>
        <item x="67"/>
        <item x="983"/>
        <item x="795"/>
        <item x="215"/>
        <item x="989"/>
        <item x="364"/>
        <item x="774"/>
        <item x="379"/>
        <item x="666"/>
        <item x="282"/>
        <item x="405"/>
        <item x="186"/>
        <item x="52"/>
        <item x="138"/>
        <item x="179"/>
        <item x="242"/>
        <item x="911"/>
        <item x="486"/>
        <item x="869"/>
        <item x="376"/>
        <item x="55"/>
        <item x="412"/>
        <item x="763"/>
        <item x="808"/>
        <item x="273"/>
        <item x="114"/>
        <item x="100"/>
        <item x="959"/>
        <item x="603"/>
        <item x="295"/>
        <item x="299"/>
        <item x="697"/>
        <item x="205"/>
        <item x="852"/>
        <item x="245"/>
        <item x="841"/>
        <item x="540"/>
        <item x="140"/>
        <item x="112"/>
        <item x="380"/>
        <item x="127"/>
        <item x="855"/>
        <item x="472"/>
        <item x="64"/>
        <item x="837"/>
        <item x="942"/>
        <item x="246"/>
        <item x="103"/>
        <item x="467"/>
        <item x="321"/>
        <item x="991"/>
        <item x="875"/>
        <item x="797"/>
        <item x="782"/>
        <item x="777"/>
        <item x="410"/>
        <item x="474"/>
        <item x="260"/>
        <item x="342"/>
        <item x="94"/>
        <item x="384"/>
        <item x="389"/>
        <item x="872"/>
        <item x="21"/>
        <item x="1"/>
        <item x="986"/>
        <item x="156"/>
        <item x="15"/>
        <item x="226"/>
        <item x="604"/>
        <item x="57"/>
        <item x="958"/>
        <item x="310"/>
        <item x="391"/>
        <item x="375"/>
        <item x="494"/>
        <item x="248"/>
        <item x="972"/>
        <item x="630"/>
        <item x="187"/>
        <item x="489"/>
        <item x="612"/>
        <item x="536"/>
        <item x="154"/>
        <item x="558"/>
        <item x="651"/>
        <item x="409"/>
        <item x="360"/>
        <item x="8"/>
        <item x="530"/>
        <item x="680"/>
        <item x="343"/>
        <item x="924"/>
        <item x="42"/>
        <item x="174"/>
        <item x="459"/>
        <item x="301"/>
        <item x="748"/>
        <item x="176"/>
        <item x="923"/>
        <item x="541"/>
        <item x="87"/>
        <item x="10"/>
        <item x="857"/>
        <item x="160"/>
        <item x="7"/>
        <item x="717"/>
        <item x="968"/>
        <item x="904"/>
        <item x="455"/>
        <item x="182"/>
        <item x="305"/>
        <item x="873"/>
        <item x="85"/>
        <item x="275"/>
        <item x="773"/>
        <item x="805"/>
        <item x="73"/>
        <item x="168"/>
        <item x="733"/>
        <item x="870"/>
        <item x="574"/>
        <item x="422"/>
        <item x="839"/>
        <item x="738"/>
        <item x="810"/>
        <item x="625"/>
        <item x="963"/>
        <item x="266"/>
        <item x="685"/>
        <item x="225"/>
        <item x="913"/>
        <item x="708"/>
        <item x="945"/>
        <item x="791"/>
        <item x="116"/>
        <item x="447"/>
        <item x="503"/>
        <item x="431"/>
        <item x="418"/>
        <item x="502"/>
        <item x="151"/>
        <item x="547"/>
        <item x="813"/>
        <item x="880"/>
        <item x="62"/>
        <item x="824"/>
        <item x="319"/>
        <item x="171"/>
        <item x="690"/>
        <item x="792"/>
        <item x="689"/>
        <item x="267"/>
        <item x="928"/>
        <item x="361"/>
        <item x="268"/>
        <item x="393"/>
        <item x="577"/>
        <item x="933"/>
        <item x="973"/>
        <item x="253"/>
        <item x="886"/>
        <item x="213"/>
        <item x="786"/>
        <item x="27"/>
        <item x="74"/>
        <item x="303"/>
        <item x="984"/>
        <item x="470"/>
        <item x="925"/>
        <item x="19"/>
        <item x="440"/>
        <item x="618"/>
        <item x="639"/>
        <item x="663"/>
        <item x="51"/>
        <item x="695"/>
        <item x="377"/>
        <item x="276"/>
        <item x="559"/>
        <item x="819"/>
        <item x="679"/>
        <item x="694"/>
        <item x="30"/>
        <item x="183"/>
        <item x="960"/>
        <item x="413"/>
        <item x="882"/>
        <item x="210"/>
        <item x="908"/>
        <item x="742"/>
        <item x="611"/>
        <item x="63"/>
        <item x="454"/>
        <item x="471"/>
        <item x="812"/>
        <item x="50"/>
        <item x="526"/>
        <item x="716"/>
        <item x="126"/>
        <item x="354"/>
        <item x="82"/>
        <item x="549"/>
        <item x="864"/>
        <item x="879"/>
        <item x="725"/>
        <item x="843"/>
        <item x="415"/>
        <item x="227"/>
        <item x="836"/>
        <item x="451"/>
        <item x="22"/>
        <item x="157"/>
        <item x="234"/>
        <item x="327"/>
        <item x="404"/>
        <item x="38"/>
        <item x="69"/>
        <item x="381"/>
        <item x="435"/>
        <item x="687"/>
        <item x="516"/>
        <item x="854"/>
        <item x="770"/>
        <item x="804"/>
        <item x="715"/>
        <item x="498"/>
        <item x="206"/>
        <item x="465"/>
        <item x="874"/>
        <item x="802"/>
        <item x="539"/>
        <item x="537"/>
        <item x="756"/>
        <item x="150"/>
        <item x="197"/>
        <item x="371"/>
        <item x="926"/>
        <item x="346"/>
        <item x="765"/>
        <item x="921"/>
        <item x="144"/>
        <item x="152"/>
        <item x="16"/>
        <item x="233"/>
        <item x="244"/>
        <item x="324"/>
        <item x="488"/>
        <item x="214"/>
        <item x="669"/>
        <item x="461"/>
        <item x="240"/>
        <item x="153"/>
        <item x="764"/>
        <item x="598"/>
        <item x="501"/>
        <item x="300"/>
        <item x="652"/>
        <item x="241"/>
        <item x="332"/>
        <item x="544"/>
        <item x="635"/>
        <item x="283"/>
        <item x="522"/>
        <item x="72"/>
        <item x="429"/>
        <item x="828"/>
        <item x="204"/>
        <item x="729"/>
        <item x="750"/>
        <item x="345"/>
        <item x="365"/>
        <item x="368"/>
        <item x="59"/>
        <item x="209"/>
        <item x="46"/>
        <item x="565"/>
        <item x="507"/>
        <item x="102"/>
        <item x="534"/>
        <item x="920"/>
        <item x="655"/>
        <item x="143"/>
        <item x="437"/>
        <item x="41"/>
        <item x="473"/>
        <item x="194"/>
        <item x="221"/>
        <item x="638"/>
        <item x="344"/>
        <item x="75"/>
        <item x="569"/>
        <item x="293"/>
        <item x="449"/>
        <item x="823"/>
        <item x="884"/>
        <item x="939"/>
        <item x="564"/>
        <item x="108"/>
        <item x="4"/>
        <item x="990"/>
        <item x="555"/>
        <item x="584"/>
        <item x="848"/>
        <item x="771"/>
        <item x="71"/>
        <item x="724"/>
        <item x="818"/>
        <item x="644"/>
        <item x="714"/>
        <item x="39"/>
        <item x="860"/>
        <item x="308"/>
        <item x="514"/>
        <item x="927"/>
        <item x="172"/>
        <item x="24"/>
        <item x="337"/>
        <item x="200"/>
        <item x="633"/>
        <item x="93"/>
        <item x="188"/>
        <item x="783"/>
        <item x="649"/>
        <item x="832"/>
        <item x="77"/>
        <item x="315"/>
        <item x="450"/>
        <item x="894"/>
        <item x="538"/>
        <item x="743"/>
        <item x="938"/>
        <item x="659"/>
        <item x="257"/>
        <item x="840"/>
        <item x="366"/>
        <item x="660"/>
        <item x="834"/>
        <item x="191"/>
        <item x="876"/>
        <item x="68"/>
        <item x="491"/>
        <item x="280"/>
        <item x="681"/>
        <item x="408"/>
        <item x="499"/>
        <item x="421"/>
        <item x="378"/>
        <item x="780"/>
        <item x="992"/>
        <item x="60"/>
        <item x="433"/>
        <item x="930"/>
        <item x="348"/>
        <item x="326"/>
        <item x="596"/>
        <item x="162"/>
        <item x="166"/>
        <item x="90"/>
        <item x="480"/>
        <item x="700"/>
        <item x="196"/>
        <item x="269"/>
        <item x="831"/>
        <item x="728"/>
        <item x="517"/>
        <item x="117"/>
        <item x="99"/>
        <item x="723"/>
        <item x="192"/>
        <item x="903"/>
        <item x="980"/>
        <item x="169"/>
        <item x="944"/>
        <item x="505"/>
        <item x="495"/>
        <item x="341"/>
        <item x="224"/>
        <item x="711"/>
        <item x="195"/>
        <item x="917"/>
        <item x="736"/>
        <item x="441"/>
        <item x="757"/>
        <item x="185"/>
        <item x="947"/>
        <item x="646"/>
        <item x="919"/>
        <item x="347"/>
        <item x="76"/>
        <item x="557"/>
        <item x="423"/>
        <item x="918"/>
        <item x="290"/>
        <item x="477"/>
        <item x="417"/>
        <item x="146"/>
        <item x="325"/>
        <item x="445"/>
        <item x="793"/>
        <item x="949"/>
        <item x="877"/>
        <item x="223"/>
        <item x="890"/>
        <item x="556"/>
        <item x="779"/>
        <item x="306"/>
        <item x="216"/>
        <item x="821"/>
        <item x="456"/>
        <item x="893"/>
        <item x="760"/>
        <item x="142"/>
        <item x="504"/>
        <item x="43"/>
        <item x="184"/>
        <item x="901"/>
        <item x="313"/>
        <item x="54"/>
        <item x="165"/>
        <item x="956"/>
        <item x="105"/>
        <item x="29"/>
        <item x="891"/>
        <item x="800"/>
        <item x="647"/>
        <item x="519"/>
        <item x="631"/>
        <item x="120"/>
        <item x="825"/>
        <item x="801"/>
        <item x="170"/>
        <item x="525"/>
        <item x="665"/>
        <item x="871"/>
        <item x="934"/>
        <item x="993"/>
        <item x="532"/>
        <item x="181"/>
        <item x="349"/>
        <item x="261"/>
        <item x="281"/>
        <item x="307"/>
        <item x="767"/>
        <item x="981"/>
        <item x="235"/>
        <item x="33"/>
        <item x="136"/>
        <item x="916"/>
        <item x="974"/>
        <item x="49"/>
        <item x="271"/>
        <item x="866"/>
        <item x="86"/>
        <item x="707"/>
        <item x="432"/>
        <item x="339"/>
        <item x="962"/>
        <item x="527"/>
        <item x="109"/>
        <item x="351"/>
        <item x="357"/>
        <item x="446"/>
        <item x="254"/>
        <item x="966"/>
        <item x="353"/>
        <item x="479"/>
        <item x="119"/>
        <item x="448"/>
        <item x="642"/>
        <item x="701"/>
        <item x="580"/>
        <item x="452"/>
        <item x="270"/>
        <item x="302"/>
        <item x="672"/>
        <item x="311"/>
        <item x="622"/>
        <item x="936"/>
        <item x="988"/>
        <item x="943"/>
        <item x="265"/>
        <item x="106"/>
        <item x="970"/>
        <item x="500"/>
        <item x="411"/>
        <item x="487"/>
        <item x="629"/>
        <item x="236"/>
        <item x="535"/>
        <item x="508"/>
        <item x="394"/>
        <item x="688"/>
        <item x="478"/>
        <item x="732"/>
        <item x="385"/>
        <item x="607"/>
        <item x="766"/>
        <item x="462"/>
        <item x="407"/>
        <item x="553"/>
        <item x="682"/>
        <item x="982"/>
        <item x="562"/>
        <item x="775"/>
        <item x="720"/>
        <item x="718"/>
        <item x="458"/>
        <item x="374"/>
        <item x="110"/>
        <item x="895"/>
        <item x="548"/>
        <item x="615"/>
        <item x="932"/>
        <item x="278"/>
        <item x="751"/>
        <item x="730"/>
        <item x="815"/>
        <item x="252"/>
        <item x="614"/>
        <item x="485"/>
        <item x="909"/>
        <item x="692"/>
        <item x="705"/>
        <item x="675"/>
        <item x="592"/>
        <item x="627"/>
        <item x="296"/>
        <item x="511"/>
        <item x="161"/>
        <item x="141"/>
        <item x="847"/>
        <item x="350"/>
        <item x="490"/>
        <item x="976"/>
        <item x="388"/>
        <item x="929"/>
        <item x="650"/>
        <item x="628"/>
        <item x="863"/>
        <item x="463"/>
        <item x="746"/>
        <item x="255"/>
        <item x="131"/>
        <item x="145"/>
        <item x="443"/>
        <item x="34"/>
        <item x="263"/>
        <item x="355"/>
        <item x="712"/>
        <item x="731"/>
        <item x="955"/>
        <item x="868"/>
        <item x="286"/>
        <item x="328"/>
        <item x="971"/>
        <item x="768"/>
        <item x="159"/>
        <item x="567"/>
        <item x="399"/>
        <item x="922"/>
        <item x="211"/>
        <item x="905"/>
        <item x="56"/>
        <item x="744"/>
        <item x="570"/>
        <item x="645"/>
        <item x="545"/>
        <item x="386"/>
        <item x="37"/>
        <item x="734"/>
        <item x="677"/>
        <item x="626"/>
        <item x="107"/>
        <item x="741"/>
        <item x="678"/>
        <item x="889"/>
        <item x="493"/>
        <item x="696"/>
        <item x="139"/>
        <item x="333"/>
        <item x="830"/>
        <item x="395"/>
        <item x="585"/>
        <item x="97"/>
        <item x="888"/>
        <item x="218"/>
        <item x="208"/>
        <item x="163"/>
        <item x="588"/>
        <item x="317"/>
        <item x="81"/>
        <item x="579"/>
        <item x="703"/>
        <item x="98"/>
        <item x="115"/>
        <item x="753"/>
        <item x="88"/>
        <item x="573"/>
        <item x="845"/>
        <item x="587"/>
        <item x="862"/>
        <item x="772"/>
        <item x="953"/>
        <item x="623"/>
        <item x="239"/>
        <item x="414"/>
        <item x="784"/>
        <item x="438"/>
        <item x="104"/>
        <item x="683"/>
        <item x="859"/>
        <item x="965"/>
        <item x="892"/>
        <item x="799"/>
        <item x="406"/>
        <item x="745"/>
        <item x="602"/>
        <item x="787"/>
        <item x="940"/>
        <item x="896"/>
        <item x="513"/>
        <item x="95"/>
        <item x="910"/>
        <item x="65"/>
        <item x="130"/>
        <item x="383"/>
        <item x="599"/>
        <item x="594"/>
        <item x="128"/>
        <item x="721"/>
        <item x="79"/>
        <item x="334"/>
        <item x="846"/>
        <item x="439"/>
        <item x="243"/>
        <item x="44"/>
        <item x="5"/>
        <item x="314"/>
        <item x="898"/>
        <item x="747"/>
        <item x="289"/>
        <item x="755"/>
        <item x="264"/>
        <item x="47"/>
        <item x="654"/>
        <item x="121"/>
        <item x="113"/>
        <item x="613"/>
        <item x="31"/>
        <item x="809"/>
        <item x="552"/>
        <item x="691"/>
        <item x="704"/>
        <item x="931"/>
        <item x="851"/>
        <item x="648"/>
        <item x="967"/>
        <item x="948"/>
        <item x="322"/>
        <item x="12"/>
        <item x="789"/>
        <item x="230"/>
        <item x="212"/>
        <item x="203"/>
        <item x="887"/>
        <item x="946"/>
        <item x="468"/>
        <item x="829"/>
        <item x="251"/>
        <item x="657"/>
        <item x="561"/>
        <item x="367"/>
        <item x="713"/>
        <item x="284"/>
        <item x="957"/>
        <item x="807"/>
        <item x="18"/>
        <item x="0"/>
        <item x="737"/>
        <item x="935"/>
        <item x="220"/>
        <item x="952"/>
        <item x="578"/>
        <item x="902"/>
        <item x="436"/>
        <item x="752"/>
        <item x="201"/>
        <item x="26"/>
        <item x="606"/>
        <item x="994"/>
        <item x="941"/>
        <item x="356"/>
        <item x="865"/>
        <item x="849"/>
        <item x="476"/>
        <item x="193"/>
        <item x="288"/>
        <item x="466"/>
        <item x="671"/>
        <item x="546"/>
        <item x="250"/>
        <item x="372"/>
        <item x="798"/>
        <item x="133"/>
        <item x="605"/>
        <item x="951"/>
        <item x="180"/>
        <item x="363"/>
        <item x="509"/>
        <item x="442"/>
        <item x="790"/>
        <item x="954"/>
        <item x="91"/>
        <item x="664"/>
        <item x="977"/>
        <item x="464"/>
        <item x="582"/>
        <item x="256"/>
        <item x="149"/>
        <item x="867"/>
        <item x="352"/>
        <item x="619"/>
        <item x="510"/>
        <item x="518"/>
        <item x="217"/>
        <item x="620"/>
        <item x="430"/>
        <item x="912"/>
        <item x="524"/>
        <item t="default"/>
      </items>
    </pivotField>
    <pivotField showAll="0"/>
    <pivotField showAll="0">
      <items count="74">
        <item x="56"/>
        <item x="15"/>
        <item x="36"/>
        <item x="40"/>
        <item x="52"/>
        <item x="32"/>
        <item x="71"/>
        <item x="28"/>
        <item x="14"/>
        <item x="46"/>
        <item x="16"/>
        <item x="2"/>
        <item x="30"/>
        <item x="11"/>
        <item x="59"/>
        <item x="72"/>
        <item x="37"/>
        <item x="57"/>
        <item x="55"/>
        <item x="26"/>
        <item x="60"/>
        <item x="6"/>
        <item x="23"/>
        <item x="22"/>
        <item x="45"/>
        <item x="68"/>
        <item x="0"/>
        <item x="5"/>
        <item x="33"/>
        <item x="13"/>
        <item x="65"/>
        <item x="67"/>
        <item x="58"/>
        <item x="18"/>
        <item x="9"/>
        <item x="17"/>
        <item x="31"/>
        <item x="21"/>
        <item x="19"/>
        <item x="3"/>
        <item x="12"/>
        <item x="24"/>
        <item x="53"/>
        <item x="48"/>
        <item x="39"/>
        <item x="42"/>
        <item x="7"/>
        <item x="27"/>
        <item x="47"/>
        <item x="49"/>
        <item x="1"/>
        <item x="20"/>
        <item x="35"/>
        <item x="64"/>
        <item x="50"/>
        <item x="66"/>
        <item x="51"/>
        <item x="63"/>
        <item x="25"/>
        <item x="38"/>
        <item x="10"/>
        <item x="8"/>
        <item x="54"/>
        <item x="44"/>
        <item x="61"/>
        <item x="70"/>
        <item x="69"/>
        <item x="43"/>
        <item x="62"/>
        <item x="41"/>
        <item x="34"/>
        <item x="29"/>
        <item x="4"/>
        <item t="default"/>
      </items>
    </pivotField>
    <pivotField axis="axisRow" showAll="0" measureFilter="1" sortType="descending">
      <items count="417">
        <item x="91"/>
        <item x="108"/>
        <item x="160"/>
        <item x="361"/>
        <item x="197"/>
        <item x="387"/>
        <item x="281"/>
        <item x="125"/>
        <item x="114"/>
        <item x="27"/>
        <item x="25"/>
        <item x="170"/>
        <item x="168"/>
        <item x="112"/>
        <item x="309"/>
        <item x="272"/>
        <item x="214"/>
        <item x="292"/>
        <item x="121"/>
        <item x="69"/>
        <item x="95"/>
        <item x="301"/>
        <item x="87"/>
        <item x="0"/>
        <item x="279"/>
        <item x="49"/>
        <item x="206"/>
        <item x="194"/>
        <item x="227"/>
        <item x="267"/>
        <item x="288"/>
        <item x="93"/>
        <item x="62"/>
        <item x="30"/>
        <item x="374"/>
        <item x="328"/>
        <item x="116"/>
        <item x="110"/>
        <item x="283"/>
        <item x="58"/>
        <item x="393"/>
        <item x="211"/>
        <item x="331"/>
        <item x="244"/>
        <item x="178"/>
        <item x="251"/>
        <item x="44"/>
        <item x="378"/>
        <item x="175"/>
        <item x="248"/>
        <item x="186"/>
        <item x="396"/>
        <item x="400"/>
        <item x="180"/>
        <item x="146"/>
        <item x="179"/>
        <item x="75"/>
        <item x="320"/>
        <item x="286"/>
        <item x="282"/>
        <item x="293"/>
        <item x="266"/>
        <item x="243"/>
        <item x="81"/>
        <item x="390"/>
        <item x="398"/>
        <item x="24"/>
        <item x="147"/>
        <item x="111"/>
        <item x="11"/>
        <item x="152"/>
        <item x="22"/>
        <item x="16"/>
        <item x="338"/>
        <item x="399"/>
        <item x="76"/>
        <item x="129"/>
        <item x="325"/>
        <item x="88"/>
        <item x="96"/>
        <item x="54"/>
        <item x="280"/>
        <item x="377"/>
        <item x="271"/>
        <item x="193"/>
        <item x="171"/>
        <item x="347"/>
        <item x="395"/>
        <item x="397"/>
        <item x="376"/>
        <item x="379"/>
        <item x="410"/>
        <item x="2"/>
        <item x="9"/>
        <item x="145"/>
        <item x="409"/>
        <item x="362"/>
        <item x="8"/>
        <item x="18"/>
        <item x="294"/>
        <item x="285"/>
        <item x="117"/>
        <item x="134"/>
        <item x="201"/>
        <item x="7"/>
        <item x="172"/>
        <item x="135"/>
        <item x="20"/>
        <item x="268"/>
        <item x="191"/>
        <item x="223"/>
        <item x="105"/>
        <item x="144"/>
        <item x="161"/>
        <item x="224"/>
        <item x="277"/>
        <item x="363"/>
        <item x="382"/>
        <item x="113"/>
        <item x="210"/>
        <item x="150"/>
        <item x="255"/>
        <item x="307"/>
        <item x="10"/>
        <item x="247"/>
        <item x="373"/>
        <item x="67"/>
        <item x="38"/>
        <item x="196"/>
        <item x="35"/>
        <item x="310"/>
        <item x="257"/>
        <item x="405"/>
        <item x="89"/>
        <item x="242"/>
        <item x="353"/>
        <item x="351"/>
        <item x="188"/>
        <item x="53"/>
        <item x="65"/>
        <item x="68"/>
        <item x="154"/>
        <item x="85"/>
        <item x="124"/>
        <item x="326"/>
        <item x="239"/>
        <item x="221"/>
        <item x="123"/>
        <item x="92"/>
        <item x="324"/>
        <item x="167"/>
        <item x="132"/>
        <item x="316"/>
        <item x="187"/>
        <item x="185"/>
        <item x="371"/>
        <item x="39"/>
        <item x="253"/>
        <item x="394"/>
        <item x="408"/>
        <item x="364"/>
        <item x="192"/>
        <item x="287"/>
        <item x="263"/>
        <item x="79"/>
        <item x="358"/>
        <item x="80"/>
        <item x="273"/>
        <item x="26"/>
        <item x="386"/>
        <item x="412"/>
        <item x="29"/>
        <item x="64"/>
        <item x="51"/>
        <item x="1"/>
        <item x="14"/>
        <item x="237"/>
        <item x="207"/>
        <item x="137"/>
        <item x="401"/>
        <item x="269"/>
        <item x="106"/>
        <item x="159"/>
        <item x="322"/>
        <item x="57"/>
        <item x="230"/>
        <item x="296"/>
        <item x="162"/>
        <item x="166"/>
        <item x="357"/>
        <item x="295"/>
        <item x="406"/>
        <item x="158"/>
        <item x="355"/>
        <item x="349"/>
        <item x="66"/>
        <item x="372"/>
        <item x="205"/>
        <item x="139"/>
        <item x="341"/>
        <item x="339"/>
        <item x="298"/>
        <item x="385"/>
        <item x="128"/>
        <item x="155"/>
        <item x="200"/>
        <item x="404"/>
        <item x="118"/>
        <item x="208"/>
        <item x="101"/>
        <item x="199"/>
        <item x="43"/>
        <item x="212"/>
        <item x="189"/>
        <item x="177"/>
        <item x="256"/>
        <item x="381"/>
        <item x="318"/>
        <item x="304"/>
        <item x="190"/>
        <item x="327"/>
        <item x="218"/>
        <item x="90"/>
        <item x="276"/>
        <item x="36"/>
        <item x="290"/>
        <item x="163"/>
        <item x="184"/>
        <item x="258"/>
        <item x="261"/>
        <item x="249"/>
        <item x="149"/>
        <item x="47"/>
        <item x="102"/>
        <item x="94"/>
        <item x="231"/>
        <item x="241"/>
        <item x="359"/>
        <item x="70"/>
        <item x="46"/>
        <item x="403"/>
        <item x="234"/>
        <item x="55"/>
        <item x="33"/>
        <item x="5"/>
        <item x="392"/>
        <item x="72"/>
        <item x="104"/>
        <item x="40"/>
        <item x="59"/>
        <item x="402"/>
        <item x="31"/>
        <item x="306"/>
        <item x="380"/>
        <item x="50"/>
        <item x="275"/>
        <item x="300"/>
        <item x="252"/>
        <item x="143"/>
        <item x="34"/>
        <item x="356"/>
        <item x="141"/>
        <item x="12"/>
        <item x="41"/>
        <item x="176"/>
        <item x="198"/>
        <item x="413"/>
        <item x="151"/>
        <item x="336"/>
        <item x="84"/>
        <item x="265"/>
        <item x="63"/>
        <item x="98"/>
        <item x="313"/>
        <item x="305"/>
        <item x="311"/>
        <item x="77"/>
        <item x="228"/>
        <item x="126"/>
        <item x="3"/>
        <item x="195"/>
        <item x="226"/>
        <item x="216"/>
        <item x="233"/>
        <item x="407"/>
        <item x="19"/>
        <item x="127"/>
        <item x="133"/>
        <item x="264"/>
        <item x="48"/>
        <item x="213"/>
        <item x="32"/>
        <item x="74"/>
        <item x="99"/>
        <item x="130"/>
        <item x="173"/>
        <item x="332"/>
        <item x="156"/>
        <item x="302"/>
        <item x="115"/>
        <item x="122"/>
        <item x="384"/>
        <item x="37"/>
        <item x="120"/>
        <item x="299"/>
        <item x="365"/>
        <item x="389"/>
        <item x="23"/>
        <item x="61"/>
        <item x="323"/>
        <item x="246"/>
        <item x="303"/>
        <item x="56"/>
        <item x="97"/>
        <item x="157"/>
        <item x="165"/>
        <item x="354"/>
        <item x="344"/>
        <item x="350"/>
        <item x="315"/>
        <item x="142"/>
        <item x="140"/>
        <item x="83"/>
        <item x="291"/>
        <item x="388"/>
        <item x="28"/>
        <item x="78"/>
        <item x="4"/>
        <item x="45"/>
        <item x="333"/>
        <item x="352"/>
        <item x="182"/>
        <item x="366"/>
        <item x="13"/>
        <item x="245"/>
        <item x="42"/>
        <item x="217"/>
        <item x="337"/>
        <item x="297"/>
        <item x="225"/>
        <item x="260"/>
        <item x="17"/>
        <item x="308"/>
        <item x="278"/>
        <item x="209"/>
        <item x="174"/>
        <item x="100"/>
        <item x="329"/>
        <item x="270"/>
        <item x="52"/>
        <item x="60"/>
        <item x="181"/>
        <item x="321"/>
        <item x="21"/>
        <item x="71"/>
        <item x="103"/>
        <item x="164"/>
        <item x="334"/>
        <item x="169"/>
        <item x="335"/>
        <item x="215"/>
        <item x="343"/>
        <item x="259"/>
        <item x="254"/>
        <item x="317"/>
        <item x="348"/>
        <item x="119"/>
        <item x="274"/>
        <item x="183"/>
        <item x="131"/>
        <item x="238"/>
        <item x="153"/>
        <item x="289"/>
        <item x="330"/>
        <item x="86"/>
        <item x="240"/>
        <item x="370"/>
        <item x="235"/>
        <item x="411"/>
        <item x="107"/>
        <item x="136"/>
        <item x="236"/>
        <item x="219"/>
        <item x="319"/>
        <item x="345"/>
        <item x="232"/>
        <item x="82"/>
        <item x="369"/>
        <item x="220"/>
        <item x="15"/>
        <item x="262"/>
        <item x="383"/>
        <item x="375"/>
        <item x="415"/>
        <item x="138"/>
        <item x="346"/>
        <item x="202"/>
        <item x="360"/>
        <item x="414"/>
        <item x="229"/>
        <item x="222"/>
        <item x="204"/>
        <item x="367"/>
        <item x="203"/>
        <item x="368"/>
        <item x="312"/>
        <item x="73"/>
        <item x="284"/>
        <item x="148"/>
        <item x="314"/>
        <item x="109"/>
        <item x="6"/>
        <item x="250"/>
        <item x="340"/>
        <item x="342"/>
        <item x="391"/>
        <item t="default"/>
      </items>
      <autoSortScope>
        <pivotArea dataOnly="0" outline="0" fieldPosition="0">
          <references count="1">
            <reference field="4294967294" count="1" selected="0">
              <x v="0"/>
            </reference>
          </references>
        </pivotArea>
      </autoSortScope>
    </pivotField>
    <pivotField numFmtId="165" showAll="0"/>
    <pivotField dataField="1" numFmtId="165" showAll="0"/>
    <pivotField numFmtId="165" showAll="0"/>
  </pivotFields>
  <rowFields count="1">
    <field x="4"/>
  </rowFields>
  <rowItems count="13">
    <i>
      <x v="262"/>
    </i>
    <i>
      <x v="92"/>
    </i>
    <i>
      <x v="10"/>
    </i>
    <i>
      <x v="279"/>
    </i>
    <i>
      <x v="327"/>
    </i>
    <i>
      <x v="139"/>
    </i>
    <i>
      <x v="71"/>
    </i>
    <i>
      <x v="66"/>
    </i>
    <i>
      <x v="174"/>
    </i>
    <i>
      <x v="251"/>
    </i>
    <i>
      <x v="93"/>
    </i>
    <i>
      <x v="259"/>
    </i>
    <i t="grand">
      <x/>
    </i>
  </rowItems>
  <colItems count="1">
    <i/>
  </colItems>
  <dataFields count="1">
    <dataField name="Sum of Profits" fld="6" baseField="0" baseItem="0"/>
  </dataFields>
  <pivotTableStyleInfo name="PivotStyleLight16" showRowHeaders="1" showColHeaders="1" showRowStripes="0" showColStripes="0" showLastColumn="1"/>
  <filters count="1">
    <filter fld="4" type="count" evalOrder="-1" id="1" iMeasureFld="0">
      <autoFilter ref="A1">
        <filterColumn colId="0">
          <top10 val="12" filterVal="12"/>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2"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H4:I78" firstHeaderRow="1" firstDataRow="1" firstDataCol="1"/>
  <pivotFields count="8">
    <pivotField showAll="0"/>
    <pivotField showAll="0"/>
    <pivotField showAll="0"/>
    <pivotField axis="axisRow" showAll="0" sortType="descending">
      <items count="74">
        <item x="56"/>
        <item x="15"/>
        <item x="36"/>
        <item x="40"/>
        <item x="52"/>
        <item x="32"/>
        <item x="71"/>
        <item x="28"/>
        <item x="14"/>
        <item x="46"/>
        <item x="16"/>
        <item x="2"/>
        <item x="30"/>
        <item x="11"/>
        <item x="59"/>
        <item x="72"/>
        <item x="37"/>
        <item x="57"/>
        <item x="55"/>
        <item x="26"/>
        <item x="60"/>
        <item x="6"/>
        <item x="23"/>
        <item x="22"/>
        <item x="45"/>
        <item x="68"/>
        <item x="0"/>
        <item x="5"/>
        <item x="33"/>
        <item x="13"/>
        <item x="65"/>
        <item x="67"/>
        <item x="58"/>
        <item x="18"/>
        <item x="9"/>
        <item x="17"/>
        <item x="31"/>
        <item x="21"/>
        <item x="19"/>
        <item x="3"/>
        <item x="12"/>
        <item x="24"/>
        <item x="53"/>
        <item x="48"/>
        <item x="39"/>
        <item x="42"/>
        <item x="7"/>
        <item x="27"/>
        <item x="47"/>
        <item x="49"/>
        <item x="1"/>
        <item x="20"/>
        <item x="35"/>
        <item x="64"/>
        <item x="50"/>
        <item x="66"/>
        <item x="51"/>
        <item x="63"/>
        <item x="25"/>
        <item x="38"/>
        <item x="10"/>
        <item x="8"/>
        <item x="54"/>
        <item x="44"/>
        <item x="61"/>
        <item x="70"/>
        <item x="69"/>
        <item x="43"/>
        <item x="62"/>
        <item x="41"/>
        <item x="34"/>
        <item x="29"/>
        <item x="4"/>
        <item t="default"/>
      </items>
      <autoSortScope>
        <pivotArea dataOnly="0" outline="0" fieldPosition="0">
          <references count="1">
            <reference field="4294967294" count="1" selected="0">
              <x v="0"/>
            </reference>
          </references>
        </pivotArea>
      </autoSortScope>
    </pivotField>
    <pivotField multipleItemSelectionAllowed="1" showAll="0">
      <items count="417">
        <item h="1" x="91"/>
        <item h="1" x="108"/>
        <item h="1" x="160"/>
        <item h="1" x="361"/>
        <item x="197"/>
        <item h="1" x="387"/>
        <item h="1" x="281"/>
        <item x="125"/>
        <item h="1" x="114"/>
        <item h="1" x="27"/>
        <item h="1" x="25"/>
        <item h="1" x="170"/>
        <item h="1" x="168"/>
        <item h="1" x="112"/>
        <item h="1" x="309"/>
        <item h="1" x="272"/>
        <item h="1" x="214"/>
        <item h="1" x="292"/>
        <item h="1" x="121"/>
        <item h="1" x="69"/>
        <item h="1" x="95"/>
        <item h="1" x="301"/>
        <item h="1" x="87"/>
        <item h="1" x="0"/>
        <item h="1" x="279"/>
        <item h="1" x="49"/>
        <item h="1" x="206"/>
        <item h="1" x="194"/>
        <item h="1" x="227"/>
        <item h="1" x="267"/>
        <item h="1" x="288"/>
        <item h="1" x="93"/>
        <item h="1" x="62"/>
        <item h="1" x="30"/>
        <item h="1" x="374"/>
        <item h="1" x="328"/>
        <item h="1" x="116"/>
        <item h="1" x="110"/>
        <item h="1" x="283"/>
        <item h="1" x="58"/>
        <item h="1" x="393"/>
        <item h="1" x="211"/>
        <item h="1" x="331"/>
        <item h="1" x="244"/>
        <item h="1" x="178"/>
        <item h="1" x="251"/>
        <item h="1" x="44"/>
        <item h="1" x="378"/>
        <item h="1" x="175"/>
        <item h="1" x="248"/>
        <item h="1" x="186"/>
        <item h="1" x="396"/>
        <item h="1" x="400"/>
        <item h="1" x="180"/>
        <item h="1" x="146"/>
        <item h="1" x="179"/>
        <item h="1" x="75"/>
        <item h="1" x="320"/>
        <item h="1" x="286"/>
        <item h="1" x="282"/>
        <item h="1" x="293"/>
        <item h="1" x="266"/>
        <item h="1" x="243"/>
        <item h="1" x="81"/>
        <item h="1" x="390"/>
        <item h="1" x="398"/>
        <item h="1" x="24"/>
        <item h="1" x="147"/>
        <item h="1" x="111"/>
        <item h="1" x="11"/>
        <item h="1" x="152"/>
        <item h="1" x="22"/>
        <item h="1" x="16"/>
        <item h="1" x="338"/>
        <item h="1" x="399"/>
        <item h="1" x="76"/>
        <item h="1" x="129"/>
        <item h="1" x="325"/>
        <item h="1" x="88"/>
        <item h="1" x="96"/>
        <item h="1" x="54"/>
        <item h="1" x="280"/>
        <item h="1" x="377"/>
        <item h="1" x="271"/>
        <item h="1" x="193"/>
        <item h="1" x="171"/>
        <item h="1" x="347"/>
        <item h="1" x="395"/>
        <item h="1" x="397"/>
        <item h="1" x="376"/>
        <item h="1" x="379"/>
        <item h="1" x="410"/>
        <item h="1" x="2"/>
        <item h="1" x="9"/>
        <item h="1" x="145"/>
        <item h="1" x="409"/>
        <item h="1" x="362"/>
        <item h="1" x="8"/>
        <item h="1" x="18"/>
        <item h="1" x="294"/>
        <item h="1" x="285"/>
        <item h="1" x="117"/>
        <item h="1" x="134"/>
        <item h="1" x="201"/>
        <item h="1" x="7"/>
        <item h="1" x="172"/>
        <item h="1" x="135"/>
        <item h="1" x="20"/>
        <item h="1" x="268"/>
        <item h="1" x="191"/>
        <item h="1" x="223"/>
        <item h="1" x="105"/>
        <item h="1" x="144"/>
        <item h="1" x="161"/>
        <item h="1" x="224"/>
        <item h="1" x="277"/>
        <item h="1" x="363"/>
        <item h="1" x="382"/>
        <item h="1" x="113"/>
        <item h="1" x="210"/>
        <item h="1" x="150"/>
        <item h="1" x="255"/>
        <item h="1" x="307"/>
        <item h="1" x="10"/>
        <item h="1" x="247"/>
        <item h="1" x="373"/>
        <item h="1" x="67"/>
        <item h="1" x="38"/>
        <item h="1" x="196"/>
        <item h="1" x="35"/>
        <item h="1" x="310"/>
        <item h="1" x="257"/>
        <item h="1" x="405"/>
        <item h="1" x="89"/>
        <item h="1" x="242"/>
        <item h="1" x="353"/>
        <item h="1" x="351"/>
        <item h="1" x="188"/>
        <item h="1" x="53"/>
        <item h="1" x="65"/>
        <item h="1" x="68"/>
        <item h="1" x="154"/>
        <item h="1" x="85"/>
        <item h="1" x="124"/>
        <item h="1" x="326"/>
        <item h="1" x="239"/>
        <item h="1" x="221"/>
        <item h="1" x="123"/>
        <item h="1" x="92"/>
        <item h="1" x="324"/>
        <item h="1" x="167"/>
        <item h="1" x="132"/>
        <item h="1" x="316"/>
        <item h="1" x="187"/>
        <item h="1" x="185"/>
        <item h="1" x="371"/>
        <item h="1" x="39"/>
        <item h="1" x="253"/>
        <item h="1" x="394"/>
        <item h="1" x="408"/>
        <item h="1" x="364"/>
        <item h="1" x="192"/>
        <item h="1" x="287"/>
        <item h="1" x="263"/>
        <item h="1" x="79"/>
        <item h="1" x="358"/>
        <item h="1" x="80"/>
        <item h="1" x="273"/>
        <item h="1" x="26"/>
        <item h="1" x="386"/>
        <item h="1" x="412"/>
        <item h="1" x="29"/>
        <item h="1" x="64"/>
        <item h="1" x="51"/>
        <item h="1" x="1"/>
        <item h="1" x="14"/>
        <item h="1" x="237"/>
        <item h="1" x="207"/>
        <item h="1" x="137"/>
        <item h="1" x="401"/>
        <item h="1" x="269"/>
        <item h="1" x="106"/>
        <item h="1" x="159"/>
        <item h="1" x="322"/>
        <item h="1" x="57"/>
        <item h="1" x="230"/>
        <item h="1" x="296"/>
        <item h="1" x="162"/>
        <item h="1" x="166"/>
        <item h="1" x="357"/>
        <item h="1" x="295"/>
        <item h="1" x="406"/>
        <item h="1" x="158"/>
        <item h="1" x="355"/>
        <item h="1" x="349"/>
        <item h="1" x="66"/>
        <item h="1" x="372"/>
        <item h="1" x="205"/>
        <item h="1" x="139"/>
        <item h="1" x="341"/>
        <item h="1" x="339"/>
        <item h="1" x="298"/>
        <item h="1" x="385"/>
        <item h="1" x="128"/>
        <item h="1" x="155"/>
        <item h="1" x="200"/>
        <item h="1" x="404"/>
        <item h="1" x="118"/>
        <item h="1" x="208"/>
        <item h="1" x="101"/>
        <item h="1" x="199"/>
        <item h="1" x="43"/>
        <item h="1" x="212"/>
        <item h="1" x="189"/>
        <item h="1" x="177"/>
        <item h="1" x="256"/>
        <item h="1" x="381"/>
        <item h="1" x="318"/>
        <item h="1" x="304"/>
        <item h="1" x="190"/>
        <item h="1" x="327"/>
        <item h="1" x="218"/>
        <item h="1" x="90"/>
        <item h="1" x="276"/>
        <item h="1" x="36"/>
        <item h="1" x="290"/>
        <item h="1" x="163"/>
        <item h="1" x="184"/>
        <item h="1" x="258"/>
        <item h="1" x="261"/>
        <item h="1" x="249"/>
        <item h="1" x="149"/>
        <item h="1" x="47"/>
        <item h="1" x="102"/>
        <item h="1" x="94"/>
        <item h="1" x="231"/>
        <item h="1" x="241"/>
        <item h="1" x="359"/>
        <item h="1" x="70"/>
        <item h="1" x="46"/>
        <item h="1" x="403"/>
        <item h="1" x="234"/>
        <item h="1" x="55"/>
        <item h="1" x="33"/>
        <item h="1" x="5"/>
        <item h="1" x="392"/>
        <item h="1" x="72"/>
        <item h="1" x="104"/>
        <item h="1" x="40"/>
        <item h="1" x="59"/>
        <item h="1" x="402"/>
        <item h="1" x="31"/>
        <item h="1" x="306"/>
        <item h="1" x="380"/>
        <item h="1" x="50"/>
        <item h="1" x="275"/>
        <item h="1" x="300"/>
        <item h="1" x="252"/>
        <item h="1" x="143"/>
        <item h="1" x="34"/>
        <item h="1" x="356"/>
        <item h="1" x="141"/>
        <item h="1" x="12"/>
        <item h="1" x="41"/>
        <item h="1" x="176"/>
        <item h="1" x="198"/>
        <item h="1" x="413"/>
        <item h="1" x="151"/>
        <item h="1" x="336"/>
        <item h="1" x="84"/>
        <item h="1" x="265"/>
        <item h="1" x="63"/>
        <item h="1" x="98"/>
        <item h="1" x="313"/>
        <item h="1" x="305"/>
        <item h="1" x="311"/>
        <item h="1" x="77"/>
        <item h="1" x="228"/>
        <item h="1" x="126"/>
        <item h="1" x="3"/>
        <item h="1" x="195"/>
        <item h="1" x="226"/>
        <item h="1" x="216"/>
        <item h="1" x="233"/>
        <item h="1" x="407"/>
        <item h="1" x="19"/>
        <item h="1" x="127"/>
        <item h="1" x="133"/>
        <item h="1" x="264"/>
        <item h="1" x="48"/>
        <item h="1" x="213"/>
        <item h="1" x="32"/>
        <item h="1" x="74"/>
        <item h="1" x="99"/>
        <item h="1" x="130"/>
        <item h="1" x="173"/>
        <item h="1" x="332"/>
        <item h="1" x="156"/>
        <item h="1" x="302"/>
        <item h="1" x="115"/>
        <item h="1" x="122"/>
        <item h="1" x="384"/>
        <item h="1" x="37"/>
        <item h="1" x="120"/>
        <item h="1" x="299"/>
        <item h="1" x="365"/>
        <item h="1" x="389"/>
        <item h="1" x="23"/>
        <item h="1" x="61"/>
        <item h="1" x="323"/>
        <item h="1" x="246"/>
        <item h="1" x="303"/>
        <item h="1" x="56"/>
        <item h="1" x="97"/>
        <item h="1" x="157"/>
        <item h="1" x="165"/>
        <item h="1" x="354"/>
        <item h="1" x="344"/>
        <item h="1" x="350"/>
        <item h="1" x="315"/>
        <item h="1" x="142"/>
        <item h="1" x="140"/>
        <item h="1" x="83"/>
        <item h="1" x="291"/>
        <item h="1" x="388"/>
        <item h="1" x="28"/>
        <item h="1" x="78"/>
        <item h="1" x="4"/>
        <item h="1" x="45"/>
        <item h="1" x="333"/>
        <item h="1" x="352"/>
        <item h="1" x="182"/>
        <item h="1" x="366"/>
        <item h="1" x="13"/>
        <item h="1" x="245"/>
        <item h="1" x="42"/>
        <item h="1" x="217"/>
        <item h="1" x="337"/>
        <item h="1" x="297"/>
        <item h="1" x="225"/>
        <item h="1" x="260"/>
        <item h="1" x="17"/>
        <item h="1" x="308"/>
        <item h="1" x="278"/>
        <item h="1" x="209"/>
        <item h="1" x="174"/>
        <item h="1" x="100"/>
        <item h="1" x="329"/>
        <item h="1" x="270"/>
        <item h="1" x="52"/>
        <item h="1" x="60"/>
        <item h="1" x="181"/>
        <item h="1" x="321"/>
        <item h="1" x="21"/>
        <item h="1" x="71"/>
        <item h="1" x="103"/>
        <item h="1" x="164"/>
        <item h="1" x="334"/>
        <item h="1" x="169"/>
        <item h="1" x="335"/>
        <item h="1" x="215"/>
        <item h="1" x="343"/>
        <item h="1" x="259"/>
        <item h="1" x="254"/>
        <item h="1" x="317"/>
        <item h="1" x="348"/>
        <item h="1" x="119"/>
        <item h="1" x="274"/>
        <item h="1" x="183"/>
        <item h="1" x="131"/>
        <item h="1" x="238"/>
        <item h="1" x="153"/>
        <item h="1" x="289"/>
        <item h="1" x="330"/>
        <item h="1" x="86"/>
        <item h="1" x="240"/>
        <item h="1" x="370"/>
        <item h="1" x="235"/>
        <item h="1" x="411"/>
        <item h="1" x="107"/>
        <item h="1" x="136"/>
        <item h="1" x="236"/>
        <item h="1" x="219"/>
        <item h="1" x="319"/>
        <item h="1" x="345"/>
        <item h="1" x="232"/>
        <item h="1" x="82"/>
        <item h="1" x="369"/>
        <item h="1" x="220"/>
        <item h="1" x="15"/>
        <item h="1" x="262"/>
        <item h="1" x="383"/>
        <item h="1" x="375"/>
        <item h="1" x="415"/>
        <item h="1" x="138"/>
        <item h="1" x="346"/>
        <item h="1" x="202"/>
        <item h="1" x="360"/>
        <item h="1" x="414"/>
        <item h="1" x="229"/>
        <item h="1" x="222"/>
        <item h="1" x="204"/>
        <item h="1" x="367"/>
        <item h="1" x="203"/>
        <item h="1" x="368"/>
        <item h="1" x="312"/>
        <item h="1" x="73"/>
        <item h="1" x="284"/>
        <item h="1" x="148"/>
        <item h="1" x="314"/>
        <item h="1" x="109"/>
        <item h="1" x="6"/>
        <item h="1" x="250"/>
        <item h="1" x="340"/>
        <item h="1" x="342"/>
        <item h="1" x="391"/>
        <item t="default"/>
      </items>
    </pivotField>
    <pivotField numFmtId="165" showAll="0"/>
    <pivotField dataField="1" numFmtId="165" showAll="0"/>
    <pivotField numFmtId="165" showAll="0"/>
  </pivotFields>
  <rowFields count="1">
    <field x="3"/>
  </rowFields>
  <rowItems count="74">
    <i>
      <x v="8"/>
    </i>
    <i>
      <x v="51"/>
    </i>
    <i>
      <x v="11"/>
    </i>
    <i>
      <x v="61"/>
    </i>
    <i>
      <x v="39"/>
    </i>
    <i>
      <x v="50"/>
    </i>
    <i>
      <x v="67"/>
    </i>
    <i>
      <x v="1"/>
    </i>
    <i>
      <x v="13"/>
    </i>
    <i>
      <x v="10"/>
    </i>
    <i>
      <x v="46"/>
    </i>
    <i>
      <x v="19"/>
    </i>
    <i>
      <x v="58"/>
    </i>
    <i>
      <x v="2"/>
    </i>
    <i>
      <x v="7"/>
    </i>
    <i>
      <x v="40"/>
    </i>
    <i>
      <x v="60"/>
    </i>
    <i>
      <x v="26"/>
    </i>
    <i>
      <x v="37"/>
    </i>
    <i>
      <x v="22"/>
    </i>
    <i>
      <x v="47"/>
    </i>
    <i>
      <x v="20"/>
    </i>
    <i>
      <x v="21"/>
    </i>
    <i>
      <x v="35"/>
    </i>
    <i>
      <x v="63"/>
    </i>
    <i>
      <x v="27"/>
    </i>
    <i>
      <x v="57"/>
    </i>
    <i>
      <x v="5"/>
    </i>
    <i>
      <x v="24"/>
    </i>
    <i>
      <x v="42"/>
    </i>
    <i>
      <x v="16"/>
    </i>
    <i>
      <x v="33"/>
    </i>
    <i>
      <x v="32"/>
    </i>
    <i>
      <x v="55"/>
    </i>
    <i>
      <x v="56"/>
    </i>
    <i>
      <x v="54"/>
    </i>
    <i>
      <x v="45"/>
    </i>
    <i>
      <x v="3"/>
    </i>
    <i>
      <x v="38"/>
    </i>
    <i>
      <x v="41"/>
    </i>
    <i>
      <x v="52"/>
    </i>
    <i>
      <x v="29"/>
    </i>
    <i>
      <x v="36"/>
    </i>
    <i>
      <x v="69"/>
    </i>
    <i>
      <x v="23"/>
    </i>
    <i>
      <x v="12"/>
    </i>
    <i>
      <x v="59"/>
    </i>
    <i>
      <x v="49"/>
    </i>
    <i>
      <x v="14"/>
    </i>
    <i>
      <x v="9"/>
    </i>
    <i>
      <x v="31"/>
    </i>
    <i>
      <x v="30"/>
    </i>
    <i>
      <x v="72"/>
    </i>
    <i>
      <x v="28"/>
    </i>
    <i>
      <x v="4"/>
    </i>
    <i>
      <x v="65"/>
    </i>
    <i>
      <x v="6"/>
    </i>
    <i>
      <x v="66"/>
    </i>
    <i>
      <x v="70"/>
    </i>
    <i>
      <x v="18"/>
    </i>
    <i>
      <x v="68"/>
    </i>
    <i>
      <x/>
    </i>
    <i>
      <x v="71"/>
    </i>
    <i>
      <x v="62"/>
    </i>
    <i>
      <x v="64"/>
    </i>
    <i>
      <x v="34"/>
    </i>
    <i>
      <x v="15"/>
    </i>
    <i>
      <x v="25"/>
    </i>
    <i>
      <x v="53"/>
    </i>
    <i>
      <x v="43"/>
    </i>
    <i>
      <x v="48"/>
    </i>
    <i>
      <x v="17"/>
    </i>
    <i>
      <x v="44"/>
    </i>
    <i t="grand">
      <x/>
    </i>
  </rowItems>
  <colItems count="1">
    <i/>
  </colItems>
  <dataFields count="1">
    <dataField name="Sum of Profits" fld="6" baseField="0" baseItem="0"/>
  </dataFields>
  <chartFormats count="76">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8" format="245" series="1">
      <pivotArea type="data" outline="0" fieldPosition="0">
        <references count="1">
          <reference field="4294967294" count="1" selected="0">
            <x v="0"/>
          </reference>
        </references>
      </pivotArea>
    </chartFormat>
    <chartFormat chart="8" format="246">
      <pivotArea type="data" outline="0" fieldPosition="0">
        <references count="2">
          <reference field="4294967294" count="1" selected="0">
            <x v="0"/>
          </reference>
          <reference field="3" count="1" selected="0">
            <x v="8"/>
          </reference>
        </references>
      </pivotArea>
    </chartFormat>
    <chartFormat chart="8" format="247">
      <pivotArea type="data" outline="0" fieldPosition="0">
        <references count="2">
          <reference field="4294967294" count="1" selected="0">
            <x v="0"/>
          </reference>
          <reference field="3" count="1" selected="0">
            <x v="51"/>
          </reference>
        </references>
      </pivotArea>
    </chartFormat>
    <chartFormat chart="8" format="248">
      <pivotArea type="data" outline="0" fieldPosition="0">
        <references count="2">
          <reference field="4294967294" count="1" selected="0">
            <x v="0"/>
          </reference>
          <reference field="3" count="1" selected="0">
            <x v="11"/>
          </reference>
        </references>
      </pivotArea>
    </chartFormat>
    <chartFormat chart="8" format="249">
      <pivotArea type="data" outline="0" fieldPosition="0">
        <references count="2">
          <reference field="4294967294" count="1" selected="0">
            <x v="0"/>
          </reference>
          <reference field="3" count="1" selected="0">
            <x v="61"/>
          </reference>
        </references>
      </pivotArea>
    </chartFormat>
    <chartFormat chart="8" format="250">
      <pivotArea type="data" outline="0" fieldPosition="0">
        <references count="2">
          <reference field="4294967294" count="1" selected="0">
            <x v="0"/>
          </reference>
          <reference field="3" count="1" selected="0">
            <x v="39"/>
          </reference>
        </references>
      </pivotArea>
    </chartFormat>
    <chartFormat chart="8" format="251">
      <pivotArea type="data" outline="0" fieldPosition="0">
        <references count="2">
          <reference field="4294967294" count="1" selected="0">
            <x v="0"/>
          </reference>
          <reference field="3" count="1" selected="0">
            <x v="50"/>
          </reference>
        </references>
      </pivotArea>
    </chartFormat>
    <chartFormat chart="8" format="252">
      <pivotArea type="data" outline="0" fieldPosition="0">
        <references count="2">
          <reference field="4294967294" count="1" selected="0">
            <x v="0"/>
          </reference>
          <reference field="3" count="1" selected="0">
            <x v="67"/>
          </reference>
        </references>
      </pivotArea>
    </chartFormat>
    <chartFormat chart="8" format="253">
      <pivotArea type="data" outline="0" fieldPosition="0">
        <references count="2">
          <reference field="4294967294" count="1" selected="0">
            <x v="0"/>
          </reference>
          <reference field="3" count="1" selected="0">
            <x v="1"/>
          </reference>
        </references>
      </pivotArea>
    </chartFormat>
    <chartFormat chart="8" format="254">
      <pivotArea type="data" outline="0" fieldPosition="0">
        <references count="2">
          <reference field="4294967294" count="1" selected="0">
            <x v="0"/>
          </reference>
          <reference field="3" count="1" selected="0">
            <x v="13"/>
          </reference>
        </references>
      </pivotArea>
    </chartFormat>
    <chartFormat chart="8" format="255">
      <pivotArea type="data" outline="0" fieldPosition="0">
        <references count="2">
          <reference field="4294967294" count="1" selected="0">
            <x v="0"/>
          </reference>
          <reference field="3" count="1" selected="0">
            <x v="10"/>
          </reference>
        </references>
      </pivotArea>
    </chartFormat>
    <chartFormat chart="8" format="256">
      <pivotArea type="data" outline="0" fieldPosition="0">
        <references count="2">
          <reference field="4294967294" count="1" selected="0">
            <x v="0"/>
          </reference>
          <reference field="3" count="1" selected="0">
            <x v="46"/>
          </reference>
        </references>
      </pivotArea>
    </chartFormat>
    <chartFormat chart="8" format="257">
      <pivotArea type="data" outline="0" fieldPosition="0">
        <references count="2">
          <reference field="4294967294" count="1" selected="0">
            <x v="0"/>
          </reference>
          <reference field="3" count="1" selected="0">
            <x v="19"/>
          </reference>
        </references>
      </pivotArea>
    </chartFormat>
    <chartFormat chart="8" format="258">
      <pivotArea type="data" outline="0" fieldPosition="0">
        <references count="2">
          <reference field="4294967294" count="1" selected="0">
            <x v="0"/>
          </reference>
          <reference field="3" count="1" selected="0">
            <x v="58"/>
          </reference>
        </references>
      </pivotArea>
    </chartFormat>
    <chartFormat chart="8" format="259">
      <pivotArea type="data" outline="0" fieldPosition="0">
        <references count="2">
          <reference field="4294967294" count="1" selected="0">
            <x v="0"/>
          </reference>
          <reference field="3" count="1" selected="0">
            <x v="2"/>
          </reference>
        </references>
      </pivotArea>
    </chartFormat>
    <chartFormat chart="8" format="260">
      <pivotArea type="data" outline="0" fieldPosition="0">
        <references count="2">
          <reference field="4294967294" count="1" selected="0">
            <x v="0"/>
          </reference>
          <reference field="3" count="1" selected="0">
            <x v="7"/>
          </reference>
        </references>
      </pivotArea>
    </chartFormat>
    <chartFormat chart="8" format="261">
      <pivotArea type="data" outline="0" fieldPosition="0">
        <references count="2">
          <reference field="4294967294" count="1" selected="0">
            <x v="0"/>
          </reference>
          <reference field="3" count="1" selected="0">
            <x v="40"/>
          </reference>
        </references>
      </pivotArea>
    </chartFormat>
    <chartFormat chart="8" format="262">
      <pivotArea type="data" outline="0" fieldPosition="0">
        <references count="2">
          <reference field="4294967294" count="1" selected="0">
            <x v="0"/>
          </reference>
          <reference field="3" count="1" selected="0">
            <x v="60"/>
          </reference>
        </references>
      </pivotArea>
    </chartFormat>
    <chartFormat chart="8" format="263">
      <pivotArea type="data" outline="0" fieldPosition="0">
        <references count="2">
          <reference field="4294967294" count="1" selected="0">
            <x v="0"/>
          </reference>
          <reference field="3" count="1" selected="0">
            <x v="26"/>
          </reference>
        </references>
      </pivotArea>
    </chartFormat>
    <chartFormat chart="8" format="264">
      <pivotArea type="data" outline="0" fieldPosition="0">
        <references count="2">
          <reference field="4294967294" count="1" selected="0">
            <x v="0"/>
          </reference>
          <reference field="3" count="1" selected="0">
            <x v="37"/>
          </reference>
        </references>
      </pivotArea>
    </chartFormat>
    <chartFormat chart="8" format="265">
      <pivotArea type="data" outline="0" fieldPosition="0">
        <references count="2">
          <reference field="4294967294" count="1" selected="0">
            <x v="0"/>
          </reference>
          <reference field="3" count="1" selected="0">
            <x v="22"/>
          </reference>
        </references>
      </pivotArea>
    </chartFormat>
    <chartFormat chart="8" format="266">
      <pivotArea type="data" outline="0" fieldPosition="0">
        <references count="2">
          <reference field="4294967294" count="1" selected="0">
            <x v="0"/>
          </reference>
          <reference field="3" count="1" selected="0">
            <x v="47"/>
          </reference>
        </references>
      </pivotArea>
    </chartFormat>
    <chartFormat chart="8" format="267">
      <pivotArea type="data" outline="0" fieldPosition="0">
        <references count="2">
          <reference field="4294967294" count="1" selected="0">
            <x v="0"/>
          </reference>
          <reference field="3" count="1" selected="0">
            <x v="20"/>
          </reference>
        </references>
      </pivotArea>
    </chartFormat>
    <chartFormat chart="8" format="268">
      <pivotArea type="data" outline="0" fieldPosition="0">
        <references count="2">
          <reference field="4294967294" count="1" selected="0">
            <x v="0"/>
          </reference>
          <reference field="3" count="1" selected="0">
            <x v="21"/>
          </reference>
        </references>
      </pivotArea>
    </chartFormat>
    <chartFormat chart="8" format="269">
      <pivotArea type="data" outline="0" fieldPosition="0">
        <references count="2">
          <reference field="4294967294" count="1" selected="0">
            <x v="0"/>
          </reference>
          <reference field="3" count="1" selected="0">
            <x v="35"/>
          </reference>
        </references>
      </pivotArea>
    </chartFormat>
    <chartFormat chart="8" format="270">
      <pivotArea type="data" outline="0" fieldPosition="0">
        <references count="2">
          <reference field="4294967294" count="1" selected="0">
            <x v="0"/>
          </reference>
          <reference field="3" count="1" selected="0">
            <x v="63"/>
          </reference>
        </references>
      </pivotArea>
    </chartFormat>
    <chartFormat chart="8" format="271">
      <pivotArea type="data" outline="0" fieldPosition="0">
        <references count="2">
          <reference field="4294967294" count="1" selected="0">
            <x v="0"/>
          </reference>
          <reference field="3" count="1" selected="0">
            <x v="27"/>
          </reference>
        </references>
      </pivotArea>
    </chartFormat>
    <chartFormat chart="8" format="272">
      <pivotArea type="data" outline="0" fieldPosition="0">
        <references count="2">
          <reference field="4294967294" count="1" selected="0">
            <x v="0"/>
          </reference>
          <reference field="3" count="1" selected="0">
            <x v="57"/>
          </reference>
        </references>
      </pivotArea>
    </chartFormat>
    <chartFormat chart="8" format="273">
      <pivotArea type="data" outline="0" fieldPosition="0">
        <references count="2">
          <reference field="4294967294" count="1" selected="0">
            <x v="0"/>
          </reference>
          <reference field="3" count="1" selected="0">
            <x v="5"/>
          </reference>
        </references>
      </pivotArea>
    </chartFormat>
    <chartFormat chart="8" format="274">
      <pivotArea type="data" outline="0" fieldPosition="0">
        <references count="2">
          <reference field="4294967294" count="1" selected="0">
            <x v="0"/>
          </reference>
          <reference field="3" count="1" selected="0">
            <x v="24"/>
          </reference>
        </references>
      </pivotArea>
    </chartFormat>
    <chartFormat chart="8" format="275">
      <pivotArea type="data" outline="0" fieldPosition="0">
        <references count="2">
          <reference field="4294967294" count="1" selected="0">
            <x v="0"/>
          </reference>
          <reference field="3" count="1" selected="0">
            <x v="42"/>
          </reference>
        </references>
      </pivotArea>
    </chartFormat>
    <chartFormat chart="8" format="276">
      <pivotArea type="data" outline="0" fieldPosition="0">
        <references count="2">
          <reference field="4294967294" count="1" selected="0">
            <x v="0"/>
          </reference>
          <reference field="3" count="1" selected="0">
            <x v="16"/>
          </reference>
        </references>
      </pivotArea>
    </chartFormat>
    <chartFormat chart="8" format="277">
      <pivotArea type="data" outline="0" fieldPosition="0">
        <references count="2">
          <reference field="4294967294" count="1" selected="0">
            <x v="0"/>
          </reference>
          <reference field="3" count="1" selected="0">
            <x v="33"/>
          </reference>
        </references>
      </pivotArea>
    </chartFormat>
    <chartFormat chart="8" format="278">
      <pivotArea type="data" outline="0" fieldPosition="0">
        <references count="2">
          <reference field="4294967294" count="1" selected="0">
            <x v="0"/>
          </reference>
          <reference field="3" count="1" selected="0">
            <x v="32"/>
          </reference>
        </references>
      </pivotArea>
    </chartFormat>
    <chartFormat chart="8" format="279">
      <pivotArea type="data" outline="0" fieldPosition="0">
        <references count="2">
          <reference field="4294967294" count="1" selected="0">
            <x v="0"/>
          </reference>
          <reference field="3" count="1" selected="0">
            <x v="55"/>
          </reference>
        </references>
      </pivotArea>
    </chartFormat>
    <chartFormat chart="8" format="280">
      <pivotArea type="data" outline="0" fieldPosition="0">
        <references count="2">
          <reference field="4294967294" count="1" selected="0">
            <x v="0"/>
          </reference>
          <reference field="3" count="1" selected="0">
            <x v="56"/>
          </reference>
        </references>
      </pivotArea>
    </chartFormat>
    <chartFormat chart="8" format="281">
      <pivotArea type="data" outline="0" fieldPosition="0">
        <references count="2">
          <reference field="4294967294" count="1" selected="0">
            <x v="0"/>
          </reference>
          <reference field="3" count="1" selected="0">
            <x v="54"/>
          </reference>
        </references>
      </pivotArea>
    </chartFormat>
    <chartFormat chart="8" format="282">
      <pivotArea type="data" outline="0" fieldPosition="0">
        <references count="2">
          <reference field="4294967294" count="1" selected="0">
            <x v="0"/>
          </reference>
          <reference field="3" count="1" selected="0">
            <x v="45"/>
          </reference>
        </references>
      </pivotArea>
    </chartFormat>
    <chartFormat chart="8" format="283">
      <pivotArea type="data" outline="0" fieldPosition="0">
        <references count="2">
          <reference field="4294967294" count="1" selected="0">
            <x v="0"/>
          </reference>
          <reference field="3" count="1" selected="0">
            <x v="3"/>
          </reference>
        </references>
      </pivotArea>
    </chartFormat>
    <chartFormat chart="8" format="284">
      <pivotArea type="data" outline="0" fieldPosition="0">
        <references count="2">
          <reference field="4294967294" count="1" selected="0">
            <x v="0"/>
          </reference>
          <reference field="3" count="1" selected="0">
            <x v="38"/>
          </reference>
        </references>
      </pivotArea>
    </chartFormat>
    <chartFormat chart="8" format="285">
      <pivotArea type="data" outline="0" fieldPosition="0">
        <references count="2">
          <reference field="4294967294" count="1" selected="0">
            <x v="0"/>
          </reference>
          <reference field="3" count="1" selected="0">
            <x v="41"/>
          </reference>
        </references>
      </pivotArea>
    </chartFormat>
    <chartFormat chart="8" format="286">
      <pivotArea type="data" outline="0" fieldPosition="0">
        <references count="2">
          <reference field="4294967294" count="1" selected="0">
            <x v="0"/>
          </reference>
          <reference field="3" count="1" selected="0">
            <x v="52"/>
          </reference>
        </references>
      </pivotArea>
    </chartFormat>
    <chartFormat chart="8" format="287">
      <pivotArea type="data" outline="0" fieldPosition="0">
        <references count="2">
          <reference field="4294967294" count="1" selected="0">
            <x v="0"/>
          </reference>
          <reference field="3" count="1" selected="0">
            <x v="29"/>
          </reference>
        </references>
      </pivotArea>
    </chartFormat>
    <chartFormat chart="8" format="288">
      <pivotArea type="data" outline="0" fieldPosition="0">
        <references count="2">
          <reference field="4294967294" count="1" selected="0">
            <x v="0"/>
          </reference>
          <reference field="3" count="1" selected="0">
            <x v="36"/>
          </reference>
        </references>
      </pivotArea>
    </chartFormat>
    <chartFormat chart="8" format="289">
      <pivotArea type="data" outline="0" fieldPosition="0">
        <references count="2">
          <reference field="4294967294" count="1" selected="0">
            <x v="0"/>
          </reference>
          <reference field="3" count="1" selected="0">
            <x v="69"/>
          </reference>
        </references>
      </pivotArea>
    </chartFormat>
    <chartFormat chart="8" format="290">
      <pivotArea type="data" outline="0" fieldPosition="0">
        <references count="2">
          <reference field="4294967294" count="1" selected="0">
            <x v="0"/>
          </reference>
          <reference field="3" count="1" selected="0">
            <x v="23"/>
          </reference>
        </references>
      </pivotArea>
    </chartFormat>
    <chartFormat chart="8" format="291">
      <pivotArea type="data" outline="0" fieldPosition="0">
        <references count="2">
          <reference field="4294967294" count="1" selected="0">
            <x v="0"/>
          </reference>
          <reference field="3" count="1" selected="0">
            <x v="12"/>
          </reference>
        </references>
      </pivotArea>
    </chartFormat>
    <chartFormat chart="8" format="292">
      <pivotArea type="data" outline="0" fieldPosition="0">
        <references count="2">
          <reference field="4294967294" count="1" selected="0">
            <x v="0"/>
          </reference>
          <reference field="3" count="1" selected="0">
            <x v="59"/>
          </reference>
        </references>
      </pivotArea>
    </chartFormat>
    <chartFormat chart="8" format="293">
      <pivotArea type="data" outline="0" fieldPosition="0">
        <references count="2">
          <reference field="4294967294" count="1" selected="0">
            <x v="0"/>
          </reference>
          <reference field="3" count="1" selected="0">
            <x v="49"/>
          </reference>
        </references>
      </pivotArea>
    </chartFormat>
    <chartFormat chart="8" format="294">
      <pivotArea type="data" outline="0" fieldPosition="0">
        <references count="2">
          <reference field="4294967294" count="1" selected="0">
            <x v="0"/>
          </reference>
          <reference field="3" count="1" selected="0">
            <x v="14"/>
          </reference>
        </references>
      </pivotArea>
    </chartFormat>
    <chartFormat chart="8" format="295">
      <pivotArea type="data" outline="0" fieldPosition="0">
        <references count="2">
          <reference field="4294967294" count="1" selected="0">
            <x v="0"/>
          </reference>
          <reference field="3" count="1" selected="0">
            <x v="9"/>
          </reference>
        </references>
      </pivotArea>
    </chartFormat>
    <chartFormat chart="8" format="296">
      <pivotArea type="data" outline="0" fieldPosition="0">
        <references count="2">
          <reference field="4294967294" count="1" selected="0">
            <x v="0"/>
          </reference>
          <reference field="3" count="1" selected="0">
            <x v="31"/>
          </reference>
        </references>
      </pivotArea>
    </chartFormat>
    <chartFormat chart="8" format="297">
      <pivotArea type="data" outline="0" fieldPosition="0">
        <references count="2">
          <reference field="4294967294" count="1" selected="0">
            <x v="0"/>
          </reference>
          <reference field="3" count="1" selected="0">
            <x v="30"/>
          </reference>
        </references>
      </pivotArea>
    </chartFormat>
    <chartFormat chart="8" format="298">
      <pivotArea type="data" outline="0" fieldPosition="0">
        <references count="2">
          <reference field="4294967294" count="1" selected="0">
            <x v="0"/>
          </reference>
          <reference field="3" count="1" selected="0">
            <x v="72"/>
          </reference>
        </references>
      </pivotArea>
    </chartFormat>
    <chartFormat chart="8" format="299">
      <pivotArea type="data" outline="0" fieldPosition="0">
        <references count="2">
          <reference field="4294967294" count="1" selected="0">
            <x v="0"/>
          </reference>
          <reference field="3" count="1" selected="0">
            <x v="28"/>
          </reference>
        </references>
      </pivotArea>
    </chartFormat>
    <chartFormat chart="8" format="300">
      <pivotArea type="data" outline="0" fieldPosition="0">
        <references count="2">
          <reference field="4294967294" count="1" selected="0">
            <x v="0"/>
          </reference>
          <reference field="3" count="1" selected="0">
            <x v="4"/>
          </reference>
        </references>
      </pivotArea>
    </chartFormat>
    <chartFormat chart="8" format="301">
      <pivotArea type="data" outline="0" fieldPosition="0">
        <references count="2">
          <reference field="4294967294" count="1" selected="0">
            <x v="0"/>
          </reference>
          <reference field="3" count="1" selected="0">
            <x v="65"/>
          </reference>
        </references>
      </pivotArea>
    </chartFormat>
    <chartFormat chart="8" format="302">
      <pivotArea type="data" outline="0" fieldPosition="0">
        <references count="2">
          <reference field="4294967294" count="1" selected="0">
            <x v="0"/>
          </reference>
          <reference field="3" count="1" selected="0">
            <x v="6"/>
          </reference>
        </references>
      </pivotArea>
    </chartFormat>
    <chartFormat chart="8" format="303">
      <pivotArea type="data" outline="0" fieldPosition="0">
        <references count="2">
          <reference field="4294967294" count="1" selected="0">
            <x v="0"/>
          </reference>
          <reference field="3" count="1" selected="0">
            <x v="66"/>
          </reference>
        </references>
      </pivotArea>
    </chartFormat>
    <chartFormat chart="8" format="304">
      <pivotArea type="data" outline="0" fieldPosition="0">
        <references count="2">
          <reference field="4294967294" count="1" selected="0">
            <x v="0"/>
          </reference>
          <reference field="3" count="1" selected="0">
            <x v="70"/>
          </reference>
        </references>
      </pivotArea>
    </chartFormat>
    <chartFormat chart="8" format="305">
      <pivotArea type="data" outline="0" fieldPosition="0">
        <references count="2">
          <reference field="4294967294" count="1" selected="0">
            <x v="0"/>
          </reference>
          <reference field="3" count="1" selected="0">
            <x v="18"/>
          </reference>
        </references>
      </pivotArea>
    </chartFormat>
    <chartFormat chart="8" format="306">
      <pivotArea type="data" outline="0" fieldPosition="0">
        <references count="2">
          <reference field="4294967294" count="1" selected="0">
            <x v="0"/>
          </reference>
          <reference field="3" count="1" selected="0">
            <x v="68"/>
          </reference>
        </references>
      </pivotArea>
    </chartFormat>
    <chartFormat chart="8" format="307">
      <pivotArea type="data" outline="0" fieldPosition="0">
        <references count="2">
          <reference field="4294967294" count="1" selected="0">
            <x v="0"/>
          </reference>
          <reference field="3" count="1" selected="0">
            <x v="0"/>
          </reference>
        </references>
      </pivotArea>
    </chartFormat>
    <chartFormat chart="8" format="308">
      <pivotArea type="data" outline="0" fieldPosition="0">
        <references count="2">
          <reference field="4294967294" count="1" selected="0">
            <x v="0"/>
          </reference>
          <reference field="3" count="1" selected="0">
            <x v="71"/>
          </reference>
        </references>
      </pivotArea>
    </chartFormat>
    <chartFormat chart="8" format="309">
      <pivotArea type="data" outline="0" fieldPosition="0">
        <references count="2">
          <reference field="4294967294" count="1" selected="0">
            <x v="0"/>
          </reference>
          <reference field="3" count="1" selected="0">
            <x v="62"/>
          </reference>
        </references>
      </pivotArea>
    </chartFormat>
    <chartFormat chart="8" format="310">
      <pivotArea type="data" outline="0" fieldPosition="0">
        <references count="2">
          <reference field="4294967294" count="1" selected="0">
            <x v="0"/>
          </reference>
          <reference field="3" count="1" selected="0">
            <x v="64"/>
          </reference>
        </references>
      </pivotArea>
    </chartFormat>
    <chartFormat chart="8" format="311">
      <pivotArea type="data" outline="0" fieldPosition="0">
        <references count="2">
          <reference field="4294967294" count="1" selected="0">
            <x v="0"/>
          </reference>
          <reference field="3" count="1" selected="0">
            <x v="34"/>
          </reference>
        </references>
      </pivotArea>
    </chartFormat>
    <chartFormat chart="8" format="312">
      <pivotArea type="data" outline="0" fieldPosition="0">
        <references count="2">
          <reference field="4294967294" count="1" selected="0">
            <x v="0"/>
          </reference>
          <reference field="3" count="1" selected="0">
            <x v="15"/>
          </reference>
        </references>
      </pivotArea>
    </chartFormat>
    <chartFormat chart="8" format="313">
      <pivotArea type="data" outline="0" fieldPosition="0">
        <references count="2">
          <reference field="4294967294" count="1" selected="0">
            <x v="0"/>
          </reference>
          <reference field="3" count="1" selected="0">
            <x v="25"/>
          </reference>
        </references>
      </pivotArea>
    </chartFormat>
    <chartFormat chart="8" format="314">
      <pivotArea type="data" outline="0" fieldPosition="0">
        <references count="2">
          <reference field="4294967294" count="1" selected="0">
            <x v="0"/>
          </reference>
          <reference field="3" count="1" selected="0">
            <x v="53"/>
          </reference>
        </references>
      </pivotArea>
    </chartFormat>
    <chartFormat chart="8" format="315">
      <pivotArea type="data" outline="0" fieldPosition="0">
        <references count="2">
          <reference field="4294967294" count="1" selected="0">
            <x v="0"/>
          </reference>
          <reference field="3" count="1" selected="0">
            <x v="43"/>
          </reference>
        </references>
      </pivotArea>
    </chartFormat>
    <chartFormat chart="8" format="316">
      <pivotArea type="data" outline="0" fieldPosition="0">
        <references count="2">
          <reference field="4294967294" count="1" selected="0">
            <x v="0"/>
          </reference>
          <reference field="3" count="1" selected="0">
            <x v="48"/>
          </reference>
        </references>
      </pivotArea>
    </chartFormat>
    <chartFormat chart="8" format="317">
      <pivotArea type="data" outline="0" fieldPosition="0">
        <references count="2">
          <reference field="4294967294" count="1" selected="0">
            <x v="0"/>
          </reference>
          <reference field="3" count="1" selected="0">
            <x v="17"/>
          </reference>
        </references>
      </pivotArea>
    </chartFormat>
    <chartFormat chart="8" format="318">
      <pivotArea type="data" outline="0" fieldPosition="0">
        <references count="2">
          <reference field="4294967294" count="1" selected="0">
            <x v="0"/>
          </reference>
          <reference field="3" count="1" selected="0">
            <x v="4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1"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8">
    <pivotField showAll="0"/>
    <pivotField showAll="0"/>
    <pivotField showAll="0"/>
    <pivotField axis="axisRow" showAll="0" sortType="descending">
      <items count="74">
        <item x="56"/>
        <item x="15"/>
        <item x="36"/>
        <item x="40"/>
        <item x="52"/>
        <item x="32"/>
        <item x="71"/>
        <item x="28"/>
        <item x="14"/>
        <item x="46"/>
        <item x="16"/>
        <item x="2"/>
        <item x="30"/>
        <item x="11"/>
        <item x="59"/>
        <item x="72"/>
        <item x="37"/>
        <item x="57"/>
        <item x="55"/>
        <item x="26"/>
        <item x="60"/>
        <item x="6"/>
        <item x="23"/>
        <item x="22"/>
        <item x="45"/>
        <item x="68"/>
        <item x="0"/>
        <item x="5"/>
        <item x="33"/>
        <item x="13"/>
        <item x="65"/>
        <item x="67"/>
        <item x="58"/>
        <item x="18"/>
        <item x="9"/>
        <item x="17"/>
        <item x="31"/>
        <item x="21"/>
        <item x="19"/>
        <item x="3"/>
        <item x="12"/>
        <item x="24"/>
        <item x="53"/>
        <item x="48"/>
        <item x="39"/>
        <item x="42"/>
        <item x="7"/>
        <item x="27"/>
        <item x="47"/>
        <item x="49"/>
        <item x="1"/>
        <item x="20"/>
        <item x="35"/>
        <item x="64"/>
        <item x="50"/>
        <item x="66"/>
        <item x="51"/>
        <item x="63"/>
        <item x="25"/>
        <item x="38"/>
        <item x="10"/>
        <item x="8"/>
        <item x="54"/>
        <item x="44"/>
        <item x="61"/>
        <item x="70"/>
        <item x="69"/>
        <item x="43"/>
        <item x="62"/>
        <item x="41"/>
        <item x="34"/>
        <item x="29"/>
        <item x="4"/>
        <item t="default"/>
      </items>
      <autoSortScope>
        <pivotArea dataOnly="0" outline="0" fieldPosition="0">
          <references count="1">
            <reference field="4294967294" count="1" selected="0">
              <x v="0"/>
            </reference>
          </references>
        </pivotArea>
      </autoSortScope>
    </pivotField>
    <pivotField axis="axisPage" multipleItemSelectionAllowed="1" showAll="0">
      <items count="417">
        <item h="1" x="91"/>
        <item h="1" x="108"/>
        <item h="1" x="160"/>
        <item h="1" x="361"/>
        <item x="197"/>
        <item h="1" x="387"/>
        <item h="1" x="281"/>
        <item x="125"/>
        <item h="1" x="114"/>
        <item h="1" x="27"/>
        <item h="1" x="25"/>
        <item h="1" x="170"/>
        <item h="1" x="168"/>
        <item h="1" x="112"/>
        <item h="1" x="309"/>
        <item h="1" x="272"/>
        <item h="1" x="214"/>
        <item h="1" x="292"/>
        <item h="1" x="121"/>
        <item h="1" x="69"/>
        <item h="1" x="95"/>
        <item h="1" x="301"/>
        <item h="1" x="87"/>
        <item h="1" x="0"/>
        <item h="1" x="279"/>
        <item h="1" x="49"/>
        <item h="1" x="206"/>
        <item h="1" x="194"/>
        <item h="1" x="227"/>
        <item h="1" x="267"/>
        <item h="1" x="288"/>
        <item h="1" x="93"/>
        <item h="1" x="62"/>
        <item h="1" x="30"/>
        <item h="1" x="374"/>
        <item h="1" x="328"/>
        <item h="1" x="116"/>
        <item h="1" x="110"/>
        <item h="1" x="283"/>
        <item h="1" x="58"/>
        <item h="1" x="393"/>
        <item h="1" x="211"/>
        <item h="1" x="331"/>
        <item h="1" x="244"/>
        <item h="1" x="178"/>
        <item h="1" x="251"/>
        <item h="1" x="44"/>
        <item h="1" x="378"/>
        <item h="1" x="175"/>
        <item h="1" x="248"/>
        <item h="1" x="186"/>
        <item h="1" x="396"/>
        <item h="1" x="400"/>
        <item h="1" x="180"/>
        <item h="1" x="146"/>
        <item h="1" x="179"/>
        <item h="1" x="75"/>
        <item h="1" x="320"/>
        <item h="1" x="286"/>
        <item h="1" x="282"/>
        <item h="1" x="293"/>
        <item h="1" x="266"/>
        <item h="1" x="243"/>
        <item h="1" x="81"/>
        <item h="1" x="390"/>
        <item h="1" x="398"/>
        <item h="1" x="24"/>
        <item h="1" x="147"/>
        <item h="1" x="111"/>
        <item h="1" x="11"/>
        <item h="1" x="152"/>
        <item h="1" x="22"/>
        <item h="1" x="16"/>
        <item h="1" x="338"/>
        <item h="1" x="399"/>
        <item h="1" x="76"/>
        <item h="1" x="129"/>
        <item h="1" x="325"/>
        <item h="1" x="88"/>
        <item h="1" x="96"/>
        <item h="1" x="54"/>
        <item h="1" x="280"/>
        <item h="1" x="377"/>
        <item h="1" x="271"/>
        <item h="1" x="193"/>
        <item h="1" x="171"/>
        <item h="1" x="347"/>
        <item h="1" x="395"/>
        <item h="1" x="397"/>
        <item h="1" x="376"/>
        <item h="1" x="379"/>
        <item h="1" x="410"/>
        <item h="1" x="2"/>
        <item h="1" x="9"/>
        <item h="1" x="145"/>
        <item h="1" x="409"/>
        <item h="1" x="362"/>
        <item h="1" x="8"/>
        <item h="1" x="18"/>
        <item h="1" x="294"/>
        <item h="1" x="285"/>
        <item h="1" x="117"/>
        <item h="1" x="134"/>
        <item h="1" x="201"/>
        <item h="1" x="7"/>
        <item h="1" x="172"/>
        <item h="1" x="135"/>
        <item h="1" x="20"/>
        <item h="1" x="268"/>
        <item h="1" x="191"/>
        <item h="1" x="223"/>
        <item h="1" x="105"/>
        <item h="1" x="144"/>
        <item h="1" x="161"/>
        <item h="1" x="224"/>
        <item h="1" x="277"/>
        <item h="1" x="363"/>
        <item h="1" x="382"/>
        <item h="1" x="113"/>
        <item h="1" x="210"/>
        <item h="1" x="150"/>
        <item h="1" x="255"/>
        <item h="1" x="307"/>
        <item h="1" x="10"/>
        <item h="1" x="247"/>
        <item h="1" x="373"/>
        <item h="1" x="67"/>
        <item h="1" x="38"/>
        <item h="1" x="196"/>
        <item h="1" x="35"/>
        <item h="1" x="310"/>
        <item h="1" x="257"/>
        <item h="1" x="405"/>
        <item h="1" x="89"/>
        <item h="1" x="242"/>
        <item h="1" x="353"/>
        <item h="1" x="351"/>
        <item h="1" x="188"/>
        <item h="1" x="53"/>
        <item h="1" x="65"/>
        <item h="1" x="68"/>
        <item h="1" x="154"/>
        <item h="1" x="85"/>
        <item h="1" x="124"/>
        <item h="1" x="326"/>
        <item h="1" x="239"/>
        <item h="1" x="221"/>
        <item h="1" x="123"/>
        <item h="1" x="92"/>
        <item h="1" x="324"/>
        <item h="1" x="167"/>
        <item h="1" x="132"/>
        <item h="1" x="316"/>
        <item h="1" x="187"/>
        <item h="1" x="185"/>
        <item h="1" x="371"/>
        <item h="1" x="39"/>
        <item h="1" x="253"/>
        <item h="1" x="394"/>
        <item h="1" x="408"/>
        <item h="1" x="364"/>
        <item h="1" x="192"/>
        <item h="1" x="287"/>
        <item h="1" x="263"/>
        <item h="1" x="79"/>
        <item h="1" x="358"/>
        <item h="1" x="80"/>
        <item h="1" x="273"/>
        <item h="1" x="26"/>
        <item h="1" x="386"/>
        <item h="1" x="412"/>
        <item h="1" x="29"/>
        <item h="1" x="64"/>
        <item h="1" x="51"/>
        <item h="1" x="1"/>
        <item h="1" x="14"/>
        <item h="1" x="237"/>
        <item h="1" x="207"/>
        <item h="1" x="137"/>
        <item h="1" x="401"/>
        <item h="1" x="269"/>
        <item h="1" x="106"/>
        <item h="1" x="159"/>
        <item h="1" x="322"/>
        <item h="1" x="57"/>
        <item h="1" x="230"/>
        <item h="1" x="296"/>
        <item h="1" x="162"/>
        <item h="1" x="166"/>
        <item h="1" x="357"/>
        <item h="1" x="295"/>
        <item h="1" x="406"/>
        <item h="1" x="158"/>
        <item h="1" x="355"/>
        <item h="1" x="349"/>
        <item h="1" x="66"/>
        <item h="1" x="372"/>
        <item h="1" x="205"/>
        <item h="1" x="139"/>
        <item h="1" x="341"/>
        <item h="1" x="339"/>
        <item h="1" x="298"/>
        <item h="1" x="385"/>
        <item h="1" x="128"/>
        <item h="1" x="155"/>
        <item h="1" x="200"/>
        <item h="1" x="404"/>
        <item h="1" x="118"/>
        <item h="1" x="208"/>
        <item h="1" x="101"/>
        <item h="1" x="199"/>
        <item h="1" x="43"/>
        <item h="1" x="212"/>
        <item h="1" x="189"/>
        <item h="1" x="177"/>
        <item h="1" x="256"/>
        <item h="1" x="381"/>
        <item h="1" x="318"/>
        <item h="1" x="304"/>
        <item h="1" x="190"/>
        <item h="1" x="327"/>
        <item h="1" x="218"/>
        <item h="1" x="90"/>
        <item h="1" x="276"/>
        <item h="1" x="36"/>
        <item h="1" x="290"/>
        <item h="1" x="163"/>
        <item h="1" x="184"/>
        <item h="1" x="258"/>
        <item h="1" x="261"/>
        <item h="1" x="249"/>
        <item h="1" x="149"/>
        <item h="1" x="47"/>
        <item h="1" x="102"/>
        <item h="1" x="94"/>
        <item h="1" x="231"/>
        <item h="1" x="241"/>
        <item h="1" x="359"/>
        <item h="1" x="70"/>
        <item h="1" x="46"/>
        <item h="1" x="403"/>
        <item h="1" x="234"/>
        <item h="1" x="55"/>
        <item h="1" x="33"/>
        <item h="1" x="5"/>
        <item h="1" x="392"/>
        <item h="1" x="72"/>
        <item h="1" x="104"/>
        <item h="1" x="40"/>
        <item h="1" x="59"/>
        <item h="1" x="402"/>
        <item h="1" x="31"/>
        <item h="1" x="306"/>
        <item h="1" x="380"/>
        <item h="1" x="50"/>
        <item h="1" x="275"/>
        <item h="1" x="300"/>
        <item h="1" x="252"/>
        <item h="1" x="143"/>
        <item h="1" x="34"/>
        <item h="1" x="356"/>
        <item h="1" x="141"/>
        <item h="1" x="12"/>
        <item h="1" x="41"/>
        <item h="1" x="176"/>
        <item h="1" x="198"/>
        <item h="1" x="413"/>
        <item h="1" x="151"/>
        <item h="1" x="336"/>
        <item h="1" x="84"/>
        <item h="1" x="265"/>
        <item h="1" x="63"/>
        <item h="1" x="98"/>
        <item h="1" x="313"/>
        <item h="1" x="305"/>
        <item h="1" x="311"/>
        <item h="1" x="77"/>
        <item h="1" x="228"/>
        <item h="1" x="126"/>
        <item h="1" x="3"/>
        <item h="1" x="195"/>
        <item h="1" x="226"/>
        <item h="1" x="216"/>
        <item h="1" x="233"/>
        <item h="1" x="407"/>
        <item h="1" x="19"/>
        <item h="1" x="127"/>
        <item h="1" x="133"/>
        <item h="1" x="264"/>
        <item h="1" x="48"/>
        <item h="1" x="213"/>
        <item h="1" x="32"/>
        <item h="1" x="74"/>
        <item h="1" x="99"/>
        <item h="1" x="130"/>
        <item h="1" x="173"/>
        <item h="1" x="332"/>
        <item h="1" x="156"/>
        <item h="1" x="302"/>
        <item h="1" x="115"/>
        <item h="1" x="122"/>
        <item h="1" x="384"/>
        <item h="1" x="37"/>
        <item h="1" x="120"/>
        <item h="1" x="299"/>
        <item h="1" x="365"/>
        <item h="1" x="389"/>
        <item h="1" x="23"/>
        <item h="1" x="61"/>
        <item h="1" x="323"/>
        <item h="1" x="246"/>
        <item h="1" x="303"/>
        <item h="1" x="56"/>
        <item h="1" x="97"/>
        <item h="1" x="157"/>
        <item h="1" x="165"/>
        <item h="1" x="354"/>
        <item h="1" x="344"/>
        <item h="1" x="350"/>
        <item h="1" x="315"/>
        <item h="1" x="142"/>
        <item h="1" x="140"/>
        <item h="1" x="83"/>
        <item h="1" x="291"/>
        <item h="1" x="388"/>
        <item h="1" x="28"/>
        <item h="1" x="78"/>
        <item h="1" x="4"/>
        <item h="1" x="45"/>
        <item h="1" x="333"/>
        <item h="1" x="352"/>
        <item h="1" x="182"/>
        <item h="1" x="366"/>
        <item h="1" x="13"/>
        <item h="1" x="245"/>
        <item h="1" x="42"/>
        <item h="1" x="217"/>
        <item h="1" x="337"/>
        <item h="1" x="297"/>
        <item h="1" x="225"/>
        <item h="1" x="260"/>
        <item h="1" x="17"/>
        <item h="1" x="308"/>
        <item h="1" x="278"/>
        <item h="1" x="209"/>
        <item h="1" x="174"/>
        <item h="1" x="100"/>
        <item h="1" x="329"/>
        <item h="1" x="270"/>
        <item h="1" x="52"/>
        <item h="1" x="60"/>
        <item h="1" x="181"/>
        <item h="1" x="321"/>
        <item h="1" x="21"/>
        <item h="1" x="71"/>
        <item h="1" x="103"/>
        <item h="1" x="164"/>
        <item h="1" x="334"/>
        <item h="1" x="169"/>
        <item h="1" x="335"/>
        <item h="1" x="215"/>
        <item h="1" x="343"/>
        <item h="1" x="259"/>
        <item h="1" x="254"/>
        <item h="1" x="317"/>
        <item h="1" x="348"/>
        <item h="1" x="119"/>
        <item h="1" x="274"/>
        <item h="1" x="183"/>
        <item h="1" x="131"/>
        <item h="1" x="238"/>
        <item h="1" x="153"/>
        <item h="1" x="289"/>
        <item h="1" x="330"/>
        <item h="1" x="86"/>
        <item h="1" x="240"/>
        <item h="1" x="370"/>
        <item h="1" x="235"/>
        <item h="1" x="411"/>
        <item h="1" x="107"/>
        <item h="1" x="136"/>
        <item h="1" x="236"/>
        <item h="1" x="219"/>
        <item h="1" x="319"/>
        <item h="1" x="345"/>
        <item h="1" x="232"/>
        <item h="1" x="82"/>
        <item h="1" x="369"/>
        <item h="1" x="220"/>
        <item h="1" x="15"/>
        <item h="1" x="262"/>
        <item h="1" x="383"/>
        <item h="1" x="375"/>
        <item h="1" x="415"/>
        <item h="1" x="138"/>
        <item h="1" x="346"/>
        <item h="1" x="202"/>
        <item h="1" x="360"/>
        <item h="1" x="414"/>
        <item h="1" x="229"/>
        <item h="1" x="222"/>
        <item h="1" x="204"/>
        <item h="1" x="367"/>
        <item h="1" x="203"/>
        <item h="1" x="368"/>
        <item h="1" x="312"/>
        <item h="1" x="73"/>
        <item h="1" x="284"/>
        <item h="1" x="148"/>
        <item h="1" x="314"/>
        <item h="1" x="109"/>
        <item h="1" x="6"/>
        <item h="1" x="250"/>
        <item h="1" x="340"/>
        <item h="1" x="342"/>
        <item h="1" x="391"/>
        <item t="default"/>
      </items>
    </pivotField>
    <pivotField numFmtId="165" showAll="0"/>
    <pivotField dataField="1" numFmtId="165" showAll="0"/>
    <pivotField numFmtId="165" showAll="0"/>
  </pivotFields>
  <rowFields count="1">
    <field x="3"/>
  </rowFields>
  <rowItems count="3">
    <i>
      <x v="22"/>
    </i>
    <i>
      <x v="60"/>
    </i>
    <i t="grand">
      <x/>
    </i>
  </rowItems>
  <colItems count="1">
    <i/>
  </colItems>
  <pageFields count="1">
    <pageField fld="4" hier="-1"/>
  </pageFields>
  <dataFields count="1">
    <dataField name="Sum of Profits" fld="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3"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L3:M14" firstHeaderRow="1" firstDataRow="1" firstDataCol="1"/>
  <pivotFields count="8">
    <pivotField showAll="0"/>
    <pivotField axis="axisRow" showAll="0" measureFilter="1" sortType="descending">
      <items count="997">
        <item x="92"/>
        <item x="969"/>
        <item x="861"/>
        <item x="827"/>
        <item x="686"/>
        <item x="137"/>
        <item x="122"/>
        <item x="641"/>
        <item x="482"/>
        <item x="529"/>
        <item x="785"/>
        <item x="979"/>
        <item x="521"/>
        <item x="247"/>
        <item x="632"/>
        <item x="292"/>
        <item x="590"/>
        <item x="155"/>
        <item x="189"/>
        <item x="45"/>
        <item x="844"/>
        <item x="134"/>
        <item x="359"/>
        <item x="586"/>
        <item x="597"/>
        <item x="48"/>
        <item x="287"/>
        <item x="481"/>
        <item x="382"/>
        <item x="915"/>
        <item x="457"/>
        <item x="621"/>
        <item x="125"/>
        <item x="814"/>
        <item x="684"/>
        <item x="811"/>
        <item x="506"/>
        <item x="617"/>
        <item x="403"/>
        <item x="897"/>
        <item x="950"/>
        <item x="676"/>
        <item x="975"/>
        <item x="80"/>
        <item x="297"/>
        <item x="566"/>
        <item x="739"/>
        <item x="35"/>
        <item x="148"/>
        <item x="425"/>
        <item x="17"/>
        <item x="817"/>
        <item x="709"/>
        <item x="424"/>
        <item x="66"/>
        <item x="601"/>
        <item x="640"/>
        <item x="164"/>
        <item x="84"/>
        <item x="331"/>
        <item x="420"/>
        <item x="964"/>
        <item x="719"/>
        <item x="523"/>
        <item x="693"/>
        <item x="231"/>
        <item x="11"/>
        <item x="591"/>
        <item x="129"/>
        <item x="906"/>
        <item x="749"/>
        <item x="460"/>
        <item x="762"/>
        <item x="528"/>
        <item x="323"/>
        <item x="656"/>
        <item x="571"/>
        <item x="390"/>
        <item x="595"/>
        <item x="32"/>
        <item x="387"/>
        <item x="816"/>
        <item x="2"/>
        <item x="776"/>
        <item x="294"/>
        <item x="881"/>
        <item x="198"/>
        <item x="796"/>
        <item x="822"/>
        <item x="40"/>
        <item x="835"/>
        <item x="853"/>
        <item x="118"/>
        <item x="469"/>
        <item x="392"/>
        <item x="520"/>
        <item x="274"/>
        <item x="9"/>
        <item x="576"/>
        <item x="838"/>
        <item x="309"/>
        <item x="135"/>
        <item x="397"/>
        <item x="279"/>
        <item x="581"/>
        <item x="434"/>
        <item x="329"/>
        <item x="101"/>
        <item x="369"/>
        <item x="610"/>
        <item x="781"/>
        <item x="177"/>
        <item x="340"/>
        <item x="25"/>
        <item x="178"/>
        <item x="426"/>
        <item x="419"/>
        <item x="285"/>
        <item x="272"/>
        <item x="833"/>
        <item x="277"/>
        <item x="237"/>
        <item x="883"/>
        <item x="583"/>
        <item x="826"/>
        <item x="3"/>
        <item x="515"/>
        <item x="70"/>
        <item x="706"/>
        <item x="492"/>
        <item x="262"/>
        <item x="961"/>
        <item x="249"/>
        <item x="533"/>
        <item x="554"/>
        <item x="987"/>
        <item x="23"/>
        <item x="624"/>
        <item x="769"/>
        <item x="484"/>
        <item x="338"/>
        <item x="842"/>
        <item x="358"/>
        <item x="914"/>
        <item x="995"/>
        <item x="710"/>
        <item x="727"/>
        <item x="167"/>
        <item x="330"/>
        <item x="788"/>
        <item x="900"/>
        <item x="512"/>
        <item x="699"/>
        <item x="575"/>
        <item x="653"/>
        <item x="634"/>
        <item x="497"/>
        <item x="207"/>
        <item x="658"/>
        <item x="560"/>
        <item x="589"/>
        <item x="398"/>
        <item x="754"/>
        <item x="670"/>
        <item x="531"/>
        <item x="637"/>
        <item x="820"/>
        <item x="858"/>
        <item x="401"/>
        <item x="568"/>
        <item x="318"/>
        <item x="336"/>
        <item x="111"/>
        <item x="20"/>
        <item x="636"/>
        <item x="726"/>
        <item x="190"/>
        <item x="907"/>
        <item x="722"/>
        <item x="373"/>
        <item x="58"/>
        <item x="258"/>
        <item x="202"/>
        <item x="219"/>
        <item x="304"/>
        <item x="123"/>
        <item x="362"/>
        <item x="978"/>
        <item x="158"/>
        <item x="985"/>
        <item x="550"/>
        <item x="563"/>
        <item x="475"/>
        <item x="400"/>
        <item x="291"/>
        <item x="937"/>
        <item x="222"/>
        <item x="13"/>
        <item x="803"/>
        <item x="543"/>
        <item x="83"/>
        <item x="662"/>
        <item x="850"/>
        <item x="78"/>
        <item x="496"/>
        <item x="758"/>
        <item x="542"/>
        <item x="53"/>
        <item x="600"/>
        <item x="28"/>
        <item x="483"/>
        <item x="673"/>
        <item x="674"/>
        <item x="856"/>
        <item x="453"/>
        <item x="668"/>
        <item x="402"/>
        <item x="608"/>
        <item x="572"/>
        <item x="61"/>
        <item x="885"/>
        <item x="396"/>
        <item x="229"/>
        <item x="593"/>
        <item x="173"/>
        <item x="878"/>
        <item x="36"/>
        <item x="761"/>
        <item x="416"/>
        <item x="609"/>
        <item x="124"/>
        <item x="232"/>
        <item x="175"/>
        <item x="89"/>
        <item x="702"/>
        <item x="228"/>
        <item x="428"/>
        <item x="794"/>
        <item x="740"/>
        <item x="735"/>
        <item x="667"/>
        <item x="316"/>
        <item x="312"/>
        <item x="14"/>
        <item x="551"/>
        <item x="643"/>
        <item x="759"/>
        <item x="778"/>
        <item x="806"/>
        <item x="616"/>
        <item x="320"/>
        <item x="298"/>
        <item x="238"/>
        <item x="147"/>
        <item x="698"/>
        <item x="899"/>
        <item x="6"/>
        <item x="259"/>
        <item x="427"/>
        <item x="132"/>
        <item x="370"/>
        <item x="661"/>
        <item x="199"/>
        <item x="335"/>
        <item x="96"/>
        <item x="444"/>
        <item x="67"/>
        <item x="983"/>
        <item x="795"/>
        <item x="215"/>
        <item x="989"/>
        <item x="364"/>
        <item x="774"/>
        <item x="379"/>
        <item x="666"/>
        <item x="282"/>
        <item x="405"/>
        <item x="186"/>
        <item x="52"/>
        <item x="138"/>
        <item x="179"/>
        <item x="242"/>
        <item x="911"/>
        <item x="486"/>
        <item x="869"/>
        <item x="376"/>
        <item x="55"/>
        <item x="412"/>
        <item x="763"/>
        <item x="808"/>
        <item x="273"/>
        <item x="114"/>
        <item x="100"/>
        <item x="959"/>
        <item x="603"/>
        <item x="295"/>
        <item x="299"/>
        <item x="697"/>
        <item x="205"/>
        <item x="852"/>
        <item x="245"/>
        <item x="841"/>
        <item x="540"/>
        <item x="140"/>
        <item x="112"/>
        <item x="380"/>
        <item x="127"/>
        <item x="855"/>
        <item x="472"/>
        <item x="64"/>
        <item x="837"/>
        <item x="942"/>
        <item x="246"/>
        <item x="103"/>
        <item x="467"/>
        <item x="321"/>
        <item x="991"/>
        <item x="875"/>
        <item x="797"/>
        <item x="782"/>
        <item x="777"/>
        <item x="410"/>
        <item x="474"/>
        <item x="260"/>
        <item x="342"/>
        <item x="94"/>
        <item x="384"/>
        <item x="389"/>
        <item x="872"/>
        <item x="21"/>
        <item x="1"/>
        <item x="986"/>
        <item x="156"/>
        <item x="15"/>
        <item x="226"/>
        <item x="604"/>
        <item x="57"/>
        <item x="958"/>
        <item x="310"/>
        <item x="391"/>
        <item x="375"/>
        <item x="494"/>
        <item x="248"/>
        <item x="972"/>
        <item x="630"/>
        <item x="187"/>
        <item x="489"/>
        <item x="612"/>
        <item x="536"/>
        <item x="154"/>
        <item x="558"/>
        <item x="651"/>
        <item x="409"/>
        <item x="360"/>
        <item x="8"/>
        <item x="530"/>
        <item x="680"/>
        <item x="343"/>
        <item x="924"/>
        <item x="42"/>
        <item x="174"/>
        <item x="459"/>
        <item x="301"/>
        <item x="748"/>
        <item x="176"/>
        <item x="923"/>
        <item x="541"/>
        <item x="87"/>
        <item x="10"/>
        <item x="857"/>
        <item x="160"/>
        <item x="7"/>
        <item x="717"/>
        <item x="968"/>
        <item x="904"/>
        <item x="455"/>
        <item x="182"/>
        <item x="305"/>
        <item x="873"/>
        <item x="85"/>
        <item x="275"/>
        <item x="773"/>
        <item x="805"/>
        <item x="73"/>
        <item x="168"/>
        <item x="733"/>
        <item x="870"/>
        <item x="574"/>
        <item x="422"/>
        <item x="839"/>
        <item x="738"/>
        <item x="810"/>
        <item x="625"/>
        <item x="963"/>
        <item x="266"/>
        <item x="685"/>
        <item x="225"/>
        <item x="913"/>
        <item x="708"/>
        <item x="945"/>
        <item x="791"/>
        <item x="116"/>
        <item x="447"/>
        <item x="503"/>
        <item x="431"/>
        <item x="418"/>
        <item x="502"/>
        <item x="151"/>
        <item x="547"/>
        <item x="813"/>
        <item x="880"/>
        <item x="62"/>
        <item x="824"/>
        <item x="319"/>
        <item x="171"/>
        <item x="690"/>
        <item x="792"/>
        <item x="689"/>
        <item x="267"/>
        <item x="928"/>
        <item x="361"/>
        <item x="268"/>
        <item x="393"/>
        <item x="577"/>
        <item x="933"/>
        <item x="973"/>
        <item x="253"/>
        <item x="886"/>
        <item x="213"/>
        <item x="786"/>
        <item x="27"/>
        <item x="74"/>
        <item x="303"/>
        <item x="984"/>
        <item x="470"/>
        <item x="925"/>
        <item x="19"/>
        <item x="440"/>
        <item x="618"/>
        <item x="639"/>
        <item x="663"/>
        <item x="51"/>
        <item x="695"/>
        <item x="377"/>
        <item x="276"/>
        <item x="559"/>
        <item x="819"/>
        <item x="679"/>
        <item x="694"/>
        <item x="30"/>
        <item x="183"/>
        <item x="960"/>
        <item x="413"/>
        <item x="882"/>
        <item x="210"/>
        <item x="908"/>
        <item x="742"/>
        <item x="611"/>
        <item x="63"/>
        <item x="454"/>
        <item x="471"/>
        <item x="812"/>
        <item x="50"/>
        <item x="526"/>
        <item x="716"/>
        <item x="126"/>
        <item x="354"/>
        <item x="82"/>
        <item x="549"/>
        <item x="864"/>
        <item x="879"/>
        <item x="725"/>
        <item x="843"/>
        <item x="415"/>
        <item x="227"/>
        <item x="836"/>
        <item x="451"/>
        <item x="22"/>
        <item x="157"/>
        <item x="234"/>
        <item x="327"/>
        <item x="404"/>
        <item x="38"/>
        <item x="69"/>
        <item x="381"/>
        <item x="435"/>
        <item x="687"/>
        <item x="516"/>
        <item x="854"/>
        <item x="770"/>
        <item x="804"/>
        <item x="715"/>
        <item x="498"/>
        <item x="206"/>
        <item x="465"/>
        <item x="874"/>
        <item x="802"/>
        <item x="539"/>
        <item x="537"/>
        <item x="756"/>
        <item x="150"/>
        <item x="197"/>
        <item x="371"/>
        <item x="926"/>
        <item x="346"/>
        <item x="765"/>
        <item x="921"/>
        <item x="144"/>
        <item x="152"/>
        <item x="16"/>
        <item x="233"/>
        <item x="244"/>
        <item x="324"/>
        <item x="488"/>
        <item x="214"/>
        <item x="669"/>
        <item x="461"/>
        <item x="240"/>
        <item x="153"/>
        <item x="764"/>
        <item x="598"/>
        <item x="501"/>
        <item x="300"/>
        <item x="652"/>
        <item x="241"/>
        <item x="332"/>
        <item x="544"/>
        <item x="635"/>
        <item x="283"/>
        <item x="522"/>
        <item x="72"/>
        <item x="429"/>
        <item x="828"/>
        <item x="204"/>
        <item x="729"/>
        <item x="750"/>
        <item x="345"/>
        <item x="365"/>
        <item x="368"/>
        <item x="59"/>
        <item x="209"/>
        <item x="46"/>
        <item x="565"/>
        <item x="507"/>
        <item x="102"/>
        <item x="534"/>
        <item x="920"/>
        <item x="655"/>
        <item x="143"/>
        <item x="437"/>
        <item x="41"/>
        <item x="473"/>
        <item x="194"/>
        <item x="221"/>
        <item x="638"/>
        <item x="344"/>
        <item x="75"/>
        <item x="569"/>
        <item x="293"/>
        <item x="449"/>
        <item x="823"/>
        <item x="884"/>
        <item x="939"/>
        <item x="564"/>
        <item x="108"/>
        <item x="4"/>
        <item x="990"/>
        <item x="555"/>
        <item x="584"/>
        <item x="848"/>
        <item x="771"/>
        <item x="71"/>
        <item x="724"/>
        <item x="818"/>
        <item x="644"/>
        <item x="714"/>
        <item x="39"/>
        <item x="860"/>
        <item x="308"/>
        <item x="514"/>
        <item x="927"/>
        <item x="172"/>
        <item x="24"/>
        <item x="337"/>
        <item x="200"/>
        <item x="633"/>
        <item x="93"/>
        <item x="188"/>
        <item x="783"/>
        <item x="649"/>
        <item x="832"/>
        <item x="77"/>
        <item x="315"/>
        <item x="450"/>
        <item x="894"/>
        <item x="538"/>
        <item x="743"/>
        <item x="938"/>
        <item x="659"/>
        <item x="257"/>
        <item x="840"/>
        <item x="366"/>
        <item x="660"/>
        <item x="834"/>
        <item x="191"/>
        <item x="876"/>
        <item x="68"/>
        <item x="491"/>
        <item x="280"/>
        <item x="681"/>
        <item x="408"/>
        <item x="499"/>
        <item x="421"/>
        <item x="378"/>
        <item x="780"/>
        <item x="992"/>
        <item x="60"/>
        <item x="433"/>
        <item x="930"/>
        <item x="348"/>
        <item x="326"/>
        <item x="596"/>
        <item x="162"/>
        <item x="166"/>
        <item x="90"/>
        <item x="480"/>
        <item x="700"/>
        <item x="196"/>
        <item x="269"/>
        <item x="831"/>
        <item x="728"/>
        <item x="517"/>
        <item x="117"/>
        <item x="99"/>
        <item x="723"/>
        <item x="192"/>
        <item x="903"/>
        <item x="980"/>
        <item x="169"/>
        <item x="944"/>
        <item x="505"/>
        <item x="495"/>
        <item x="341"/>
        <item x="224"/>
        <item x="711"/>
        <item x="195"/>
        <item x="917"/>
        <item x="736"/>
        <item x="441"/>
        <item x="757"/>
        <item x="185"/>
        <item x="947"/>
        <item x="646"/>
        <item x="919"/>
        <item x="347"/>
        <item x="76"/>
        <item x="557"/>
        <item x="423"/>
        <item x="918"/>
        <item x="290"/>
        <item x="477"/>
        <item x="417"/>
        <item x="146"/>
        <item x="325"/>
        <item x="445"/>
        <item x="793"/>
        <item x="949"/>
        <item x="877"/>
        <item x="223"/>
        <item x="890"/>
        <item x="556"/>
        <item x="779"/>
        <item x="306"/>
        <item x="216"/>
        <item x="821"/>
        <item x="456"/>
        <item x="893"/>
        <item x="760"/>
        <item x="142"/>
        <item x="504"/>
        <item x="43"/>
        <item x="184"/>
        <item x="901"/>
        <item x="313"/>
        <item x="54"/>
        <item x="165"/>
        <item x="956"/>
        <item x="105"/>
        <item x="29"/>
        <item x="891"/>
        <item x="800"/>
        <item x="647"/>
        <item x="519"/>
        <item x="631"/>
        <item x="120"/>
        <item x="825"/>
        <item x="801"/>
        <item x="170"/>
        <item x="525"/>
        <item x="665"/>
        <item x="871"/>
        <item x="934"/>
        <item x="993"/>
        <item x="532"/>
        <item x="181"/>
        <item x="349"/>
        <item x="261"/>
        <item x="281"/>
        <item x="307"/>
        <item x="767"/>
        <item x="981"/>
        <item x="235"/>
        <item x="33"/>
        <item x="136"/>
        <item x="916"/>
        <item x="974"/>
        <item x="49"/>
        <item x="271"/>
        <item x="866"/>
        <item x="86"/>
        <item x="707"/>
        <item x="432"/>
        <item x="339"/>
        <item x="962"/>
        <item x="527"/>
        <item x="109"/>
        <item x="351"/>
        <item x="357"/>
        <item x="446"/>
        <item x="254"/>
        <item x="966"/>
        <item x="353"/>
        <item x="479"/>
        <item x="119"/>
        <item x="448"/>
        <item x="642"/>
        <item x="701"/>
        <item x="580"/>
        <item x="452"/>
        <item x="270"/>
        <item x="302"/>
        <item x="672"/>
        <item x="311"/>
        <item x="622"/>
        <item x="936"/>
        <item x="988"/>
        <item x="943"/>
        <item x="265"/>
        <item x="106"/>
        <item x="970"/>
        <item x="500"/>
        <item x="411"/>
        <item x="487"/>
        <item x="629"/>
        <item x="236"/>
        <item x="535"/>
        <item x="508"/>
        <item x="394"/>
        <item x="688"/>
        <item x="478"/>
        <item x="732"/>
        <item x="385"/>
        <item x="607"/>
        <item x="766"/>
        <item x="462"/>
        <item x="407"/>
        <item x="553"/>
        <item x="682"/>
        <item x="982"/>
        <item x="562"/>
        <item x="775"/>
        <item x="720"/>
        <item x="718"/>
        <item x="458"/>
        <item x="374"/>
        <item x="110"/>
        <item x="895"/>
        <item x="548"/>
        <item x="615"/>
        <item x="932"/>
        <item x="278"/>
        <item x="751"/>
        <item x="730"/>
        <item x="815"/>
        <item x="252"/>
        <item x="614"/>
        <item x="485"/>
        <item x="909"/>
        <item x="692"/>
        <item x="705"/>
        <item x="675"/>
        <item x="592"/>
        <item x="627"/>
        <item x="296"/>
        <item x="511"/>
        <item x="161"/>
        <item x="141"/>
        <item x="847"/>
        <item x="350"/>
        <item x="490"/>
        <item x="976"/>
        <item x="388"/>
        <item x="929"/>
        <item x="650"/>
        <item x="628"/>
        <item x="863"/>
        <item x="463"/>
        <item x="746"/>
        <item x="255"/>
        <item x="131"/>
        <item x="145"/>
        <item x="443"/>
        <item x="34"/>
        <item x="263"/>
        <item x="355"/>
        <item x="712"/>
        <item x="731"/>
        <item x="955"/>
        <item x="868"/>
        <item x="286"/>
        <item x="328"/>
        <item x="971"/>
        <item x="768"/>
        <item x="159"/>
        <item x="567"/>
        <item x="399"/>
        <item x="922"/>
        <item x="211"/>
        <item x="905"/>
        <item x="56"/>
        <item x="744"/>
        <item x="570"/>
        <item x="645"/>
        <item x="545"/>
        <item x="386"/>
        <item x="37"/>
        <item x="734"/>
        <item x="677"/>
        <item x="626"/>
        <item x="107"/>
        <item x="741"/>
        <item x="678"/>
        <item x="889"/>
        <item x="493"/>
        <item x="696"/>
        <item x="139"/>
        <item x="333"/>
        <item x="830"/>
        <item x="395"/>
        <item x="585"/>
        <item x="97"/>
        <item x="888"/>
        <item x="218"/>
        <item x="208"/>
        <item x="163"/>
        <item x="588"/>
        <item x="317"/>
        <item x="81"/>
        <item x="579"/>
        <item x="703"/>
        <item x="98"/>
        <item x="115"/>
        <item x="753"/>
        <item x="88"/>
        <item x="573"/>
        <item x="845"/>
        <item x="587"/>
        <item x="862"/>
        <item x="772"/>
        <item x="953"/>
        <item x="623"/>
        <item x="239"/>
        <item x="414"/>
        <item x="784"/>
        <item x="438"/>
        <item x="104"/>
        <item x="683"/>
        <item x="859"/>
        <item x="965"/>
        <item x="892"/>
        <item x="799"/>
        <item x="406"/>
        <item x="745"/>
        <item x="602"/>
        <item x="787"/>
        <item x="940"/>
        <item x="896"/>
        <item x="513"/>
        <item x="95"/>
        <item x="910"/>
        <item x="65"/>
        <item x="130"/>
        <item x="383"/>
        <item x="599"/>
        <item x="594"/>
        <item x="128"/>
        <item x="721"/>
        <item x="79"/>
        <item x="334"/>
        <item x="846"/>
        <item x="439"/>
        <item x="243"/>
        <item x="44"/>
        <item x="5"/>
        <item x="314"/>
        <item x="898"/>
        <item x="747"/>
        <item x="289"/>
        <item x="755"/>
        <item x="264"/>
        <item x="47"/>
        <item x="654"/>
        <item x="121"/>
        <item x="113"/>
        <item x="613"/>
        <item x="31"/>
        <item x="809"/>
        <item x="552"/>
        <item x="691"/>
        <item x="704"/>
        <item x="931"/>
        <item x="851"/>
        <item x="648"/>
        <item x="967"/>
        <item x="948"/>
        <item x="322"/>
        <item x="12"/>
        <item x="789"/>
        <item x="230"/>
        <item x="212"/>
        <item x="203"/>
        <item x="887"/>
        <item x="946"/>
        <item x="468"/>
        <item x="829"/>
        <item x="251"/>
        <item x="657"/>
        <item x="561"/>
        <item x="367"/>
        <item x="713"/>
        <item x="284"/>
        <item x="957"/>
        <item x="807"/>
        <item x="18"/>
        <item x="0"/>
        <item x="737"/>
        <item x="935"/>
        <item x="220"/>
        <item x="952"/>
        <item x="578"/>
        <item x="902"/>
        <item x="436"/>
        <item x="752"/>
        <item x="201"/>
        <item x="26"/>
        <item x="606"/>
        <item x="994"/>
        <item x="941"/>
        <item x="356"/>
        <item x="865"/>
        <item x="849"/>
        <item x="476"/>
        <item x="193"/>
        <item x="288"/>
        <item x="466"/>
        <item x="671"/>
        <item x="546"/>
        <item x="250"/>
        <item x="372"/>
        <item x="798"/>
        <item x="133"/>
        <item x="605"/>
        <item x="951"/>
        <item x="180"/>
        <item x="363"/>
        <item x="509"/>
        <item x="442"/>
        <item x="790"/>
        <item x="954"/>
        <item x="91"/>
        <item x="664"/>
        <item x="977"/>
        <item x="464"/>
        <item x="582"/>
        <item x="256"/>
        <item x="149"/>
        <item x="867"/>
        <item x="352"/>
        <item x="619"/>
        <item x="510"/>
        <item x="518"/>
        <item x="217"/>
        <item x="620"/>
        <item x="430"/>
        <item x="912"/>
        <item x="524"/>
        <item t="default"/>
      </items>
      <autoSortScope>
        <pivotArea dataOnly="0" outline="0" fieldPosition="0">
          <references count="1">
            <reference field="4294967294" count="1" selected="0">
              <x v="0"/>
            </reference>
          </references>
        </pivotArea>
      </autoSortScope>
    </pivotField>
    <pivotField showAll="0"/>
    <pivotField showAll="0">
      <items count="74">
        <item x="56"/>
        <item x="15"/>
        <item x="36"/>
        <item x="40"/>
        <item x="52"/>
        <item x="32"/>
        <item x="71"/>
        <item x="28"/>
        <item x="14"/>
        <item x="46"/>
        <item x="16"/>
        <item x="2"/>
        <item x="30"/>
        <item x="11"/>
        <item x="59"/>
        <item x="72"/>
        <item x="37"/>
        <item x="57"/>
        <item x="55"/>
        <item x="26"/>
        <item x="60"/>
        <item x="6"/>
        <item x="23"/>
        <item x="22"/>
        <item x="45"/>
        <item x="68"/>
        <item x="0"/>
        <item x="5"/>
        <item x="33"/>
        <item x="13"/>
        <item x="65"/>
        <item x="67"/>
        <item x="58"/>
        <item x="18"/>
        <item x="9"/>
        <item x="17"/>
        <item x="31"/>
        <item x="21"/>
        <item x="19"/>
        <item x="3"/>
        <item x="12"/>
        <item x="24"/>
        <item x="53"/>
        <item x="48"/>
        <item x="39"/>
        <item x="42"/>
        <item x="7"/>
        <item x="27"/>
        <item x="47"/>
        <item x="49"/>
        <item x="1"/>
        <item x="20"/>
        <item x="35"/>
        <item x="64"/>
        <item x="50"/>
        <item x="66"/>
        <item x="51"/>
        <item x="63"/>
        <item x="25"/>
        <item x="38"/>
        <item x="10"/>
        <item x="8"/>
        <item x="54"/>
        <item x="44"/>
        <item x="61"/>
        <item x="70"/>
        <item x="69"/>
        <item x="43"/>
        <item x="62"/>
        <item x="41"/>
        <item x="34"/>
        <item x="29"/>
        <item x="4"/>
        <item t="default"/>
      </items>
    </pivotField>
    <pivotField showAll="0"/>
    <pivotField numFmtId="165" showAll="0"/>
    <pivotField dataField="1" numFmtId="165" showAll="0"/>
    <pivotField numFmtId="165" showAll="0"/>
  </pivotFields>
  <rowFields count="1">
    <field x="1"/>
  </rowFields>
  <rowItems count="11">
    <i>
      <x v="82"/>
    </i>
    <i>
      <x v="477"/>
    </i>
    <i>
      <x v="125"/>
    </i>
    <i>
      <x v="954"/>
    </i>
    <i>
      <x v="379"/>
    </i>
    <i>
      <x v="926"/>
    </i>
    <i>
      <x v="209"/>
    </i>
    <i>
      <x v="47"/>
    </i>
    <i>
      <x v="330"/>
    </i>
    <i>
      <x v="113"/>
    </i>
    <i t="grand">
      <x/>
    </i>
  </rowItems>
  <colItems count="1">
    <i/>
  </colItems>
  <dataFields count="1">
    <dataField name="Sum of Profits" fld="6" baseField="1" baseItem="0" numFmtId="3"/>
  </dataFields>
  <chartFormats count="12">
    <chartFormat chart="2" format="3"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1" count="1" selected="0">
            <x v="82"/>
          </reference>
        </references>
      </pivotArea>
    </chartFormat>
    <chartFormat chart="5" format="14">
      <pivotArea type="data" outline="0" fieldPosition="0">
        <references count="2">
          <reference field="4294967294" count="1" selected="0">
            <x v="0"/>
          </reference>
          <reference field="1" count="1" selected="0">
            <x v="477"/>
          </reference>
        </references>
      </pivotArea>
    </chartFormat>
    <chartFormat chart="5" format="15">
      <pivotArea type="data" outline="0" fieldPosition="0">
        <references count="2">
          <reference field="4294967294" count="1" selected="0">
            <x v="0"/>
          </reference>
          <reference field="1" count="1" selected="0">
            <x v="125"/>
          </reference>
        </references>
      </pivotArea>
    </chartFormat>
    <chartFormat chart="5" format="16">
      <pivotArea type="data" outline="0" fieldPosition="0">
        <references count="2">
          <reference field="4294967294" count="1" selected="0">
            <x v="0"/>
          </reference>
          <reference field="1" count="1" selected="0">
            <x v="954"/>
          </reference>
        </references>
      </pivotArea>
    </chartFormat>
    <chartFormat chart="5" format="17">
      <pivotArea type="data" outline="0" fieldPosition="0">
        <references count="2">
          <reference field="4294967294" count="1" selected="0">
            <x v="0"/>
          </reference>
          <reference field="1" count="1" selected="0">
            <x v="379"/>
          </reference>
        </references>
      </pivotArea>
    </chartFormat>
    <chartFormat chart="5" format="18">
      <pivotArea type="data" outline="0" fieldPosition="0">
        <references count="2">
          <reference field="4294967294" count="1" selected="0">
            <x v="0"/>
          </reference>
          <reference field="1" count="1" selected="0">
            <x v="926"/>
          </reference>
        </references>
      </pivotArea>
    </chartFormat>
    <chartFormat chart="5" format="19">
      <pivotArea type="data" outline="0" fieldPosition="0">
        <references count="2">
          <reference field="4294967294" count="1" selected="0">
            <x v="0"/>
          </reference>
          <reference field="1" count="1" selected="0">
            <x v="209"/>
          </reference>
        </references>
      </pivotArea>
    </chartFormat>
    <chartFormat chart="5" format="20">
      <pivotArea type="data" outline="0" fieldPosition="0">
        <references count="2">
          <reference field="4294967294" count="1" selected="0">
            <x v="0"/>
          </reference>
          <reference field="1" count="1" selected="0">
            <x v="47"/>
          </reference>
        </references>
      </pivotArea>
    </chartFormat>
    <chartFormat chart="5" format="21">
      <pivotArea type="data" outline="0" fieldPosition="0">
        <references count="2">
          <reference field="4294967294" count="1" selected="0">
            <x v="0"/>
          </reference>
          <reference field="1" count="1" selected="0">
            <x v="330"/>
          </reference>
        </references>
      </pivotArea>
    </chartFormat>
    <chartFormat chart="5" format="22">
      <pivotArea type="data" outline="0" fieldPosition="0">
        <references count="2">
          <reference field="4294967294" count="1" selected="0">
            <x v="0"/>
          </reference>
          <reference field="1" count="1" selected="0">
            <x v="113"/>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0"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Q3:S14" firstHeaderRow="0" firstDataRow="1" firstDataCol="1"/>
  <pivotFields count="8">
    <pivotField showAll="0"/>
    <pivotField axis="axisRow" showAll="0" measureFilter="1" sortType="ascending">
      <items count="997">
        <item x="92"/>
        <item x="969"/>
        <item x="861"/>
        <item x="827"/>
        <item x="686"/>
        <item x="137"/>
        <item x="122"/>
        <item x="641"/>
        <item x="482"/>
        <item x="529"/>
        <item x="785"/>
        <item x="979"/>
        <item x="521"/>
        <item x="247"/>
        <item x="632"/>
        <item x="292"/>
        <item x="590"/>
        <item x="155"/>
        <item x="189"/>
        <item x="45"/>
        <item x="844"/>
        <item x="134"/>
        <item x="359"/>
        <item x="586"/>
        <item x="597"/>
        <item x="48"/>
        <item x="287"/>
        <item x="481"/>
        <item x="382"/>
        <item x="915"/>
        <item x="457"/>
        <item x="621"/>
        <item x="125"/>
        <item x="814"/>
        <item x="684"/>
        <item x="811"/>
        <item x="506"/>
        <item x="617"/>
        <item x="403"/>
        <item x="897"/>
        <item x="950"/>
        <item x="676"/>
        <item x="975"/>
        <item x="80"/>
        <item x="297"/>
        <item x="566"/>
        <item x="739"/>
        <item x="35"/>
        <item x="148"/>
        <item x="425"/>
        <item x="17"/>
        <item x="817"/>
        <item x="709"/>
        <item x="424"/>
        <item x="66"/>
        <item x="601"/>
        <item x="640"/>
        <item x="164"/>
        <item x="84"/>
        <item x="331"/>
        <item x="420"/>
        <item x="964"/>
        <item x="719"/>
        <item x="523"/>
        <item x="693"/>
        <item x="231"/>
        <item x="11"/>
        <item x="591"/>
        <item x="129"/>
        <item x="906"/>
        <item x="749"/>
        <item x="460"/>
        <item x="762"/>
        <item x="528"/>
        <item x="323"/>
        <item x="656"/>
        <item x="571"/>
        <item x="390"/>
        <item x="595"/>
        <item x="32"/>
        <item x="387"/>
        <item x="816"/>
        <item x="2"/>
        <item x="776"/>
        <item x="294"/>
        <item x="881"/>
        <item x="198"/>
        <item x="796"/>
        <item x="822"/>
        <item x="40"/>
        <item x="835"/>
        <item x="853"/>
        <item x="118"/>
        <item x="469"/>
        <item x="392"/>
        <item x="520"/>
        <item x="274"/>
        <item x="9"/>
        <item x="576"/>
        <item x="838"/>
        <item x="309"/>
        <item x="135"/>
        <item x="397"/>
        <item x="279"/>
        <item x="581"/>
        <item x="434"/>
        <item x="329"/>
        <item x="101"/>
        <item x="369"/>
        <item x="610"/>
        <item x="781"/>
        <item x="177"/>
        <item x="340"/>
        <item x="25"/>
        <item x="178"/>
        <item x="426"/>
        <item x="419"/>
        <item x="285"/>
        <item x="272"/>
        <item x="833"/>
        <item x="277"/>
        <item x="237"/>
        <item x="883"/>
        <item x="583"/>
        <item x="826"/>
        <item x="3"/>
        <item x="515"/>
        <item x="70"/>
        <item x="706"/>
        <item x="492"/>
        <item x="262"/>
        <item x="961"/>
        <item x="249"/>
        <item x="533"/>
        <item x="554"/>
        <item x="987"/>
        <item x="23"/>
        <item x="624"/>
        <item x="769"/>
        <item x="484"/>
        <item x="338"/>
        <item x="842"/>
        <item x="358"/>
        <item x="914"/>
        <item x="995"/>
        <item x="710"/>
        <item x="727"/>
        <item x="167"/>
        <item x="330"/>
        <item x="788"/>
        <item x="900"/>
        <item x="512"/>
        <item x="699"/>
        <item x="575"/>
        <item x="653"/>
        <item x="634"/>
        <item x="497"/>
        <item x="207"/>
        <item x="658"/>
        <item x="560"/>
        <item x="589"/>
        <item x="398"/>
        <item x="754"/>
        <item x="670"/>
        <item x="531"/>
        <item x="637"/>
        <item x="820"/>
        <item x="858"/>
        <item x="401"/>
        <item x="568"/>
        <item x="318"/>
        <item x="336"/>
        <item x="111"/>
        <item x="20"/>
        <item x="636"/>
        <item x="726"/>
        <item x="190"/>
        <item x="907"/>
        <item x="722"/>
        <item x="373"/>
        <item x="58"/>
        <item x="258"/>
        <item x="202"/>
        <item x="219"/>
        <item x="304"/>
        <item x="123"/>
        <item x="362"/>
        <item x="978"/>
        <item x="158"/>
        <item x="985"/>
        <item x="550"/>
        <item x="563"/>
        <item x="475"/>
        <item x="400"/>
        <item x="291"/>
        <item x="937"/>
        <item x="222"/>
        <item x="13"/>
        <item x="803"/>
        <item x="543"/>
        <item x="83"/>
        <item x="662"/>
        <item x="850"/>
        <item x="78"/>
        <item x="496"/>
        <item x="758"/>
        <item x="542"/>
        <item x="53"/>
        <item x="600"/>
        <item x="28"/>
        <item x="483"/>
        <item x="673"/>
        <item x="674"/>
        <item x="856"/>
        <item x="453"/>
        <item x="668"/>
        <item x="402"/>
        <item x="608"/>
        <item x="572"/>
        <item x="61"/>
        <item x="885"/>
        <item x="396"/>
        <item x="229"/>
        <item x="593"/>
        <item x="173"/>
        <item x="878"/>
        <item x="36"/>
        <item x="761"/>
        <item x="416"/>
        <item x="609"/>
        <item x="124"/>
        <item x="232"/>
        <item x="175"/>
        <item x="89"/>
        <item x="702"/>
        <item x="228"/>
        <item x="428"/>
        <item x="794"/>
        <item x="740"/>
        <item x="735"/>
        <item x="667"/>
        <item x="316"/>
        <item x="312"/>
        <item x="14"/>
        <item x="551"/>
        <item x="643"/>
        <item x="759"/>
        <item x="778"/>
        <item x="806"/>
        <item x="616"/>
        <item x="320"/>
        <item x="298"/>
        <item x="238"/>
        <item x="147"/>
        <item x="698"/>
        <item x="899"/>
        <item x="6"/>
        <item x="259"/>
        <item x="427"/>
        <item x="132"/>
        <item x="370"/>
        <item x="661"/>
        <item x="199"/>
        <item x="335"/>
        <item x="96"/>
        <item x="444"/>
        <item x="67"/>
        <item x="983"/>
        <item x="795"/>
        <item x="215"/>
        <item x="989"/>
        <item x="364"/>
        <item x="774"/>
        <item x="379"/>
        <item x="666"/>
        <item x="282"/>
        <item x="405"/>
        <item x="186"/>
        <item x="52"/>
        <item x="138"/>
        <item x="179"/>
        <item x="242"/>
        <item x="911"/>
        <item x="486"/>
        <item x="869"/>
        <item x="376"/>
        <item x="55"/>
        <item x="412"/>
        <item x="763"/>
        <item x="808"/>
        <item x="273"/>
        <item x="114"/>
        <item x="100"/>
        <item x="959"/>
        <item x="603"/>
        <item x="295"/>
        <item x="299"/>
        <item x="697"/>
        <item x="205"/>
        <item x="852"/>
        <item x="245"/>
        <item x="841"/>
        <item x="540"/>
        <item x="140"/>
        <item x="112"/>
        <item x="380"/>
        <item x="127"/>
        <item x="855"/>
        <item x="472"/>
        <item x="64"/>
        <item x="837"/>
        <item x="942"/>
        <item x="246"/>
        <item x="103"/>
        <item x="467"/>
        <item x="321"/>
        <item x="991"/>
        <item x="875"/>
        <item x="797"/>
        <item x="782"/>
        <item x="777"/>
        <item x="410"/>
        <item x="474"/>
        <item x="260"/>
        <item x="342"/>
        <item x="94"/>
        <item x="384"/>
        <item x="389"/>
        <item x="872"/>
        <item x="21"/>
        <item x="1"/>
        <item x="986"/>
        <item x="156"/>
        <item x="15"/>
        <item x="226"/>
        <item x="604"/>
        <item x="57"/>
        <item x="958"/>
        <item x="310"/>
        <item x="391"/>
        <item x="375"/>
        <item x="494"/>
        <item x="248"/>
        <item x="972"/>
        <item x="630"/>
        <item x="187"/>
        <item x="489"/>
        <item x="612"/>
        <item x="536"/>
        <item x="154"/>
        <item x="558"/>
        <item x="651"/>
        <item x="409"/>
        <item x="360"/>
        <item x="8"/>
        <item x="530"/>
        <item x="680"/>
        <item x="343"/>
        <item x="924"/>
        <item x="42"/>
        <item x="174"/>
        <item x="459"/>
        <item x="301"/>
        <item x="748"/>
        <item x="176"/>
        <item x="923"/>
        <item x="541"/>
        <item x="87"/>
        <item x="10"/>
        <item x="857"/>
        <item x="160"/>
        <item x="7"/>
        <item x="717"/>
        <item x="968"/>
        <item x="904"/>
        <item x="455"/>
        <item x="182"/>
        <item x="305"/>
        <item x="873"/>
        <item x="85"/>
        <item x="275"/>
        <item x="773"/>
        <item x="805"/>
        <item x="73"/>
        <item x="168"/>
        <item x="733"/>
        <item x="870"/>
        <item x="574"/>
        <item x="422"/>
        <item x="839"/>
        <item x="738"/>
        <item x="810"/>
        <item x="625"/>
        <item x="963"/>
        <item x="266"/>
        <item x="685"/>
        <item x="225"/>
        <item x="913"/>
        <item x="708"/>
        <item x="945"/>
        <item x="791"/>
        <item x="116"/>
        <item x="447"/>
        <item x="503"/>
        <item x="431"/>
        <item x="418"/>
        <item x="502"/>
        <item x="151"/>
        <item x="547"/>
        <item x="813"/>
        <item x="880"/>
        <item x="62"/>
        <item x="824"/>
        <item x="319"/>
        <item x="171"/>
        <item x="690"/>
        <item x="792"/>
        <item x="689"/>
        <item x="267"/>
        <item x="928"/>
        <item x="361"/>
        <item x="268"/>
        <item x="393"/>
        <item x="577"/>
        <item x="933"/>
        <item x="973"/>
        <item x="253"/>
        <item x="886"/>
        <item x="213"/>
        <item x="786"/>
        <item x="27"/>
        <item x="74"/>
        <item x="303"/>
        <item x="984"/>
        <item x="470"/>
        <item x="925"/>
        <item x="19"/>
        <item x="440"/>
        <item x="618"/>
        <item x="639"/>
        <item x="663"/>
        <item x="51"/>
        <item x="695"/>
        <item x="377"/>
        <item x="276"/>
        <item x="559"/>
        <item x="819"/>
        <item x="679"/>
        <item x="694"/>
        <item x="30"/>
        <item x="183"/>
        <item x="960"/>
        <item x="413"/>
        <item x="882"/>
        <item x="210"/>
        <item x="908"/>
        <item x="742"/>
        <item x="611"/>
        <item x="63"/>
        <item x="454"/>
        <item x="471"/>
        <item x="812"/>
        <item x="50"/>
        <item x="526"/>
        <item x="716"/>
        <item x="126"/>
        <item x="354"/>
        <item x="82"/>
        <item x="549"/>
        <item x="864"/>
        <item x="879"/>
        <item x="725"/>
        <item x="843"/>
        <item x="415"/>
        <item x="227"/>
        <item x="836"/>
        <item x="451"/>
        <item x="22"/>
        <item x="157"/>
        <item x="234"/>
        <item x="327"/>
        <item x="404"/>
        <item x="38"/>
        <item x="69"/>
        <item x="381"/>
        <item x="435"/>
        <item x="687"/>
        <item x="516"/>
        <item x="854"/>
        <item x="770"/>
        <item x="804"/>
        <item x="715"/>
        <item x="498"/>
        <item x="206"/>
        <item x="465"/>
        <item x="874"/>
        <item x="802"/>
        <item x="539"/>
        <item x="537"/>
        <item x="756"/>
        <item x="150"/>
        <item x="197"/>
        <item x="371"/>
        <item x="926"/>
        <item x="346"/>
        <item x="765"/>
        <item x="921"/>
        <item x="144"/>
        <item x="152"/>
        <item x="16"/>
        <item x="233"/>
        <item x="244"/>
        <item x="324"/>
        <item x="488"/>
        <item x="214"/>
        <item x="669"/>
        <item x="461"/>
        <item x="240"/>
        <item x="153"/>
        <item x="764"/>
        <item x="598"/>
        <item x="501"/>
        <item x="300"/>
        <item x="652"/>
        <item x="241"/>
        <item x="332"/>
        <item x="544"/>
        <item x="635"/>
        <item x="283"/>
        <item x="522"/>
        <item x="72"/>
        <item x="429"/>
        <item x="828"/>
        <item x="204"/>
        <item x="729"/>
        <item x="750"/>
        <item x="345"/>
        <item x="365"/>
        <item x="368"/>
        <item x="59"/>
        <item x="209"/>
        <item x="46"/>
        <item x="565"/>
        <item x="507"/>
        <item x="102"/>
        <item x="534"/>
        <item x="920"/>
        <item x="655"/>
        <item x="143"/>
        <item x="437"/>
        <item x="41"/>
        <item x="473"/>
        <item x="194"/>
        <item x="221"/>
        <item x="638"/>
        <item x="344"/>
        <item x="75"/>
        <item x="569"/>
        <item x="293"/>
        <item x="449"/>
        <item x="823"/>
        <item x="884"/>
        <item x="939"/>
        <item x="564"/>
        <item x="108"/>
        <item x="4"/>
        <item x="990"/>
        <item x="555"/>
        <item x="584"/>
        <item x="848"/>
        <item x="771"/>
        <item x="71"/>
        <item x="724"/>
        <item x="818"/>
        <item x="644"/>
        <item x="714"/>
        <item x="39"/>
        <item x="860"/>
        <item x="308"/>
        <item x="514"/>
        <item x="927"/>
        <item x="172"/>
        <item x="24"/>
        <item x="337"/>
        <item x="200"/>
        <item x="633"/>
        <item x="93"/>
        <item x="188"/>
        <item x="783"/>
        <item x="649"/>
        <item x="832"/>
        <item x="77"/>
        <item x="315"/>
        <item x="450"/>
        <item x="894"/>
        <item x="538"/>
        <item x="743"/>
        <item x="938"/>
        <item x="659"/>
        <item x="257"/>
        <item x="840"/>
        <item x="366"/>
        <item x="660"/>
        <item x="834"/>
        <item x="191"/>
        <item x="876"/>
        <item x="68"/>
        <item x="491"/>
        <item x="280"/>
        <item x="681"/>
        <item x="408"/>
        <item x="499"/>
        <item x="421"/>
        <item x="378"/>
        <item x="780"/>
        <item x="992"/>
        <item x="60"/>
        <item x="433"/>
        <item x="930"/>
        <item x="348"/>
        <item x="326"/>
        <item x="596"/>
        <item x="162"/>
        <item x="166"/>
        <item x="90"/>
        <item x="480"/>
        <item x="700"/>
        <item x="196"/>
        <item x="269"/>
        <item x="831"/>
        <item x="728"/>
        <item x="517"/>
        <item x="117"/>
        <item x="99"/>
        <item x="723"/>
        <item x="192"/>
        <item x="903"/>
        <item x="980"/>
        <item x="169"/>
        <item x="944"/>
        <item x="505"/>
        <item x="495"/>
        <item x="341"/>
        <item x="224"/>
        <item x="711"/>
        <item x="195"/>
        <item x="917"/>
        <item x="736"/>
        <item x="441"/>
        <item x="757"/>
        <item x="185"/>
        <item x="947"/>
        <item x="646"/>
        <item x="919"/>
        <item x="347"/>
        <item x="76"/>
        <item x="557"/>
        <item x="423"/>
        <item x="918"/>
        <item x="290"/>
        <item x="477"/>
        <item x="417"/>
        <item x="146"/>
        <item x="325"/>
        <item x="445"/>
        <item x="793"/>
        <item x="949"/>
        <item x="877"/>
        <item x="223"/>
        <item x="890"/>
        <item x="556"/>
        <item x="779"/>
        <item x="306"/>
        <item x="216"/>
        <item x="821"/>
        <item x="456"/>
        <item x="893"/>
        <item x="760"/>
        <item x="142"/>
        <item x="504"/>
        <item x="43"/>
        <item x="184"/>
        <item x="901"/>
        <item x="313"/>
        <item x="54"/>
        <item x="165"/>
        <item x="956"/>
        <item x="105"/>
        <item x="29"/>
        <item x="891"/>
        <item x="800"/>
        <item x="647"/>
        <item x="519"/>
        <item x="631"/>
        <item x="120"/>
        <item x="825"/>
        <item x="801"/>
        <item x="170"/>
        <item x="525"/>
        <item x="665"/>
        <item x="871"/>
        <item x="934"/>
        <item x="993"/>
        <item x="532"/>
        <item x="181"/>
        <item x="349"/>
        <item x="261"/>
        <item x="281"/>
        <item x="307"/>
        <item x="767"/>
        <item x="981"/>
        <item x="235"/>
        <item x="33"/>
        <item x="136"/>
        <item x="916"/>
        <item x="974"/>
        <item x="49"/>
        <item x="271"/>
        <item x="866"/>
        <item x="86"/>
        <item x="707"/>
        <item x="432"/>
        <item x="339"/>
        <item x="962"/>
        <item x="527"/>
        <item x="109"/>
        <item x="351"/>
        <item x="357"/>
        <item x="446"/>
        <item x="254"/>
        <item x="966"/>
        <item x="353"/>
        <item x="479"/>
        <item x="119"/>
        <item x="448"/>
        <item x="642"/>
        <item x="701"/>
        <item x="580"/>
        <item x="452"/>
        <item x="270"/>
        <item x="302"/>
        <item x="672"/>
        <item x="311"/>
        <item x="622"/>
        <item x="936"/>
        <item x="988"/>
        <item x="943"/>
        <item x="265"/>
        <item x="106"/>
        <item x="970"/>
        <item x="500"/>
        <item x="411"/>
        <item x="487"/>
        <item x="629"/>
        <item x="236"/>
        <item x="535"/>
        <item x="508"/>
        <item x="394"/>
        <item x="688"/>
        <item x="478"/>
        <item x="732"/>
        <item x="385"/>
        <item x="607"/>
        <item x="766"/>
        <item x="462"/>
        <item x="407"/>
        <item x="553"/>
        <item x="682"/>
        <item x="982"/>
        <item x="562"/>
        <item x="775"/>
        <item x="720"/>
        <item x="718"/>
        <item x="458"/>
        <item x="374"/>
        <item x="110"/>
        <item x="895"/>
        <item x="548"/>
        <item x="615"/>
        <item x="932"/>
        <item x="278"/>
        <item x="751"/>
        <item x="730"/>
        <item x="815"/>
        <item x="252"/>
        <item x="614"/>
        <item x="485"/>
        <item x="909"/>
        <item x="692"/>
        <item x="705"/>
        <item x="675"/>
        <item x="592"/>
        <item x="627"/>
        <item x="296"/>
        <item x="511"/>
        <item x="161"/>
        <item x="141"/>
        <item x="847"/>
        <item x="350"/>
        <item x="490"/>
        <item x="976"/>
        <item x="388"/>
        <item x="929"/>
        <item x="650"/>
        <item x="628"/>
        <item x="863"/>
        <item x="463"/>
        <item x="746"/>
        <item x="255"/>
        <item x="131"/>
        <item x="145"/>
        <item x="443"/>
        <item x="34"/>
        <item x="263"/>
        <item x="355"/>
        <item x="712"/>
        <item x="731"/>
        <item x="955"/>
        <item x="868"/>
        <item x="286"/>
        <item x="328"/>
        <item x="971"/>
        <item x="768"/>
        <item x="159"/>
        <item x="567"/>
        <item x="399"/>
        <item x="922"/>
        <item x="211"/>
        <item x="905"/>
        <item x="56"/>
        <item x="744"/>
        <item x="570"/>
        <item x="645"/>
        <item x="545"/>
        <item x="386"/>
        <item x="37"/>
        <item x="734"/>
        <item x="677"/>
        <item x="626"/>
        <item x="107"/>
        <item x="741"/>
        <item x="678"/>
        <item x="889"/>
        <item x="493"/>
        <item x="696"/>
        <item x="139"/>
        <item x="333"/>
        <item x="830"/>
        <item x="395"/>
        <item x="585"/>
        <item x="97"/>
        <item x="888"/>
        <item x="218"/>
        <item x="208"/>
        <item x="163"/>
        <item x="588"/>
        <item x="317"/>
        <item x="81"/>
        <item x="579"/>
        <item x="703"/>
        <item x="98"/>
        <item x="115"/>
        <item x="753"/>
        <item x="88"/>
        <item x="573"/>
        <item x="845"/>
        <item x="587"/>
        <item x="862"/>
        <item x="772"/>
        <item x="953"/>
        <item x="623"/>
        <item x="239"/>
        <item x="414"/>
        <item x="784"/>
        <item x="438"/>
        <item x="104"/>
        <item x="683"/>
        <item x="859"/>
        <item x="965"/>
        <item x="892"/>
        <item x="799"/>
        <item x="406"/>
        <item x="745"/>
        <item x="602"/>
        <item x="787"/>
        <item x="940"/>
        <item x="896"/>
        <item x="513"/>
        <item x="95"/>
        <item x="910"/>
        <item x="65"/>
        <item x="130"/>
        <item x="383"/>
        <item x="599"/>
        <item x="594"/>
        <item x="128"/>
        <item x="721"/>
        <item x="79"/>
        <item x="334"/>
        <item x="846"/>
        <item x="439"/>
        <item x="243"/>
        <item x="44"/>
        <item x="5"/>
        <item x="314"/>
        <item x="898"/>
        <item x="747"/>
        <item x="289"/>
        <item x="755"/>
        <item x="264"/>
        <item x="47"/>
        <item x="654"/>
        <item x="121"/>
        <item x="113"/>
        <item x="613"/>
        <item x="31"/>
        <item x="809"/>
        <item x="552"/>
        <item x="691"/>
        <item x="704"/>
        <item x="931"/>
        <item x="851"/>
        <item x="648"/>
        <item x="967"/>
        <item x="948"/>
        <item x="322"/>
        <item x="12"/>
        <item x="789"/>
        <item x="230"/>
        <item x="212"/>
        <item x="203"/>
        <item x="887"/>
        <item x="946"/>
        <item x="468"/>
        <item x="829"/>
        <item x="251"/>
        <item x="657"/>
        <item x="561"/>
        <item x="367"/>
        <item x="713"/>
        <item x="284"/>
        <item x="957"/>
        <item x="807"/>
        <item x="18"/>
        <item x="0"/>
        <item x="737"/>
        <item x="935"/>
        <item x="220"/>
        <item x="952"/>
        <item x="578"/>
        <item x="902"/>
        <item x="436"/>
        <item x="752"/>
        <item x="201"/>
        <item x="26"/>
        <item x="606"/>
        <item x="994"/>
        <item x="941"/>
        <item x="356"/>
        <item x="865"/>
        <item x="849"/>
        <item x="476"/>
        <item x="193"/>
        <item x="288"/>
        <item x="466"/>
        <item x="671"/>
        <item x="546"/>
        <item x="250"/>
        <item x="372"/>
        <item x="798"/>
        <item x="133"/>
        <item x="605"/>
        <item x="951"/>
        <item x="180"/>
        <item x="363"/>
        <item x="509"/>
        <item x="442"/>
        <item x="790"/>
        <item x="954"/>
        <item x="91"/>
        <item x="664"/>
        <item x="977"/>
        <item x="464"/>
        <item x="582"/>
        <item x="256"/>
        <item x="149"/>
        <item x="867"/>
        <item x="352"/>
        <item x="619"/>
        <item x="510"/>
        <item x="518"/>
        <item x="217"/>
        <item x="620"/>
        <item x="430"/>
        <item x="912"/>
        <item x="524"/>
        <item t="default"/>
      </items>
      <autoSortScope>
        <pivotArea dataOnly="0" outline="0" fieldPosition="0">
          <references count="1">
            <reference field="4294967294" count="1" selected="0">
              <x v="0"/>
            </reference>
          </references>
        </pivotArea>
      </autoSortScope>
    </pivotField>
    <pivotField showAll="0"/>
    <pivotField showAll="0">
      <items count="74">
        <item x="56"/>
        <item x="15"/>
        <item x="36"/>
        <item x="40"/>
        <item x="52"/>
        <item x="32"/>
        <item x="71"/>
        <item x="28"/>
        <item x="14"/>
        <item x="46"/>
        <item x="16"/>
        <item x="2"/>
        <item x="30"/>
        <item x="11"/>
        <item x="59"/>
        <item x="72"/>
        <item x="37"/>
        <item x="57"/>
        <item x="55"/>
        <item x="26"/>
        <item x="60"/>
        <item x="6"/>
        <item x="23"/>
        <item x="22"/>
        <item x="45"/>
        <item x="68"/>
        <item x="0"/>
        <item x="5"/>
        <item x="33"/>
        <item x="13"/>
        <item x="65"/>
        <item x="67"/>
        <item x="58"/>
        <item x="18"/>
        <item x="9"/>
        <item x="17"/>
        <item x="31"/>
        <item x="21"/>
        <item x="19"/>
        <item x="3"/>
        <item x="12"/>
        <item x="24"/>
        <item x="53"/>
        <item x="48"/>
        <item x="39"/>
        <item x="42"/>
        <item x="7"/>
        <item x="27"/>
        <item x="47"/>
        <item x="49"/>
        <item x="1"/>
        <item x="20"/>
        <item x="35"/>
        <item x="64"/>
        <item x="50"/>
        <item x="66"/>
        <item x="51"/>
        <item x="63"/>
        <item x="25"/>
        <item x="38"/>
        <item x="10"/>
        <item x="8"/>
        <item x="54"/>
        <item x="44"/>
        <item x="61"/>
        <item x="70"/>
        <item x="69"/>
        <item x="43"/>
        <item x="62"/>
        <item x="41"/>
        <item x="34"/>
        <item x="29"/>
        <item x="4"/>
        <item t="default"/>
      </items>
    </pivotField>
    <pivotField showAll="0"/>
    <pivotField dataField="1" numFmtId="165" showAll="0"/>
    <pivotField dataField="1" numFmtId="165" showAll="0"/>
    <pivotField numFmtId="165" showAll="0"/>
  </pivotFields>
  <rowFields count="1">
    <field x="1"/>
  </rowFields>
  <rowItems count="11">
    <i>
      <x v="97"/>
    </i>
    <i>
      <x v="354"/>
    </i>
    <i>
      <x v="371"/>
    </i>
    <i>
      <x v="256"/>
    </i>
    <i>
      <x v="903"/>
    </i>
    <i>
      <x v="565"/>
    </i>
    <i>
      <x v="125"/>
    </i>
    <i>
      <x v="82"/>
    </i>
    <i>
      <x v="330"/>
    </i>
    <i>
      <x v="944"/>
    </i>
    <i t="grand">
      <x/>
    </i>
  </rowItems>
  <colFields count="1">
    <field x="-2"/>
  </colFields>
  <colItems count="2">
    <i>
      <x/>
    </i>
    <i i="1">
      <x v="1"/>
    </i>
  </colItems>
  <dataFields count="2">
    <dataField name="Sum of Revenue" fld="5" baseField="1" baseItem="0" numFmtId="3"/>
    <dataField name="Sum of Profits" fld="6" baseField="1" baseItem="0" numFmtId="3"/>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2"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I3:J14" firstHeaderRow="1" firstDataRow="1" firstDataCol="1"/>
  <pivotFields count="8">
    <pivotField showAll="0"/>
    <pivotField axis="axisRow" showAll="0" measureFilter="1" sortType="descending">
      <items count="997">
        <item x="92"/>
        <item x="969"/>
        <item x="861"/>
        <item x="827"/>
        <item x="686"/>
        <item x="137"/>
        <item x="122"/>
        <item x="641"/>
        <item x="482"/>
        <item x="529"/>
        <item x="785"/>
        <item x="979"/>
        <item x="521"/>
        <item x="247"/>
        <item x="632"/>
        <item x="292"/>
        <item x="590"/>
        <item x="155"/>
        <item x="189"/>
        <item x="45"/>
        <item x="844"/>
        <item x="134"/>
        <item x="359"/>
        <item x="586"/>
        <item x="597"/>
        <item x="48"/>
        <item x="287"/>
        <item x="481"/>
        <item x="382"/>
        <item x="915"/>
        <item x="457"/>
        <item x="621"/>
        <item x="125"/>
        <item x="814"/>
        <item x="684"/>
        <item x="811"/>
        <item x="506"/>
        <item x="617"/>
        <item x="403"/>
        <item x="897"/>
        <item x="950"/>
        <item x="676"/>
        <item x="975"/>
        <item x="80"/>
        <item x="297"/>
        <item x="566"/>
        <item x="739"/>
        <item x="35"/>
        <item x="148"/>
        <item x="425"/>
        <item x="17"/>
        <item x="817"/>
        <item x="709"/>
        <item x="424"/>
        <item x="66"/>
        <item x="601"/>
        <item x="640"/>
        <item x="164"/>
        <item x="84"/>
        <item x="331"/>
        <item x="420"/>
        <item x="964"/>
        <item x="719"/>
        <item x="523"/>
        <item x="693"/>
        <item x="231"/>
        <item x="11"/>
        <item x="591"/>
        <item x="129"/>
        <item x="906"/>
        <item x="749"/>
        <item x="460"/>
        <item x="762"/>
        <item x="528"/>
        <item x="323"/>
        <item x="656"/>
        <item x="571"/>
        <item x="390"/>
        <item x="595"/>
        <item x="32"/>
        <item x="387"/>
        <item x="816"/>
        <item x="2"/>
        <item x="776"/>
        <item x="294"/>
        <item x="881"/>
        <item x="198"/>
        <item x="796"/>
        <item x="822"/>
        <item x="40"/>
        <item x="835"/>
        <item x="853"/>
        <item x="118"/>
        <item x="469"/>
        <item x="392"/>
        <item x="520"/>
        <item x="274"/>
        <item x="9"/>
        <item x="576"/>
        <item x="838"/>
        <item x="309"/>
        <item x="135"/>
        <item x="397"/>
        <item x="279"/>
        <item x="581"/>
        <item x="434"/>
        <item x="329"/>
        <item x="101"/>
        <item x="369"/>
        <item x="610"/>
        <item x="781"/>
        <item x="177"/>
        <item x="340"/>
        <item x="25"/>
        <item x="178"/>
        <item x="426"/>
        <item x="419"/>
        <item x="285"/>
        <item x="272"/>
        <item x="833"/>
        <item x="277"/>
        <item x="237"/>
        <item x="883"/>
        <item x="583"/>
        <item x="826"/>
        <item x="3"/>
        <item x="515"/>
        <item x="70"/>
        <item x="706"/>
        <item x="492"/>
        <item x="262"/>
        <item x="961"/>
        <item x="249"/>
        <item x="533"/>
        <item x="554"/>
        <item x="987"/>
        <item x="23"/>
        <item x="624"/>
        <item x="769"/>
        <item x="484"/>
        <item x="338"/>
        <item x="842"/>
        <item x="358"/>
        <item x="914"/>
        <item x="995"/>
        <item x="710"/>
        <item x="727"/>
        <item x="167"/>
        <item x="330"/>
        <item x="788"/>
        <item x="900"/>
        <item x="512"/>
        <item x="699"/>
        <item x="575"/>
        <item x="653"/>
        <item x="634"/>
        <item x="497"/>
        <item x="207"/>
        <item x="658"/>
        <item x="560"/>
        <item x="589"/>
        <item x="398"/>
        <item x="754"/>
        <item x="670"/>
        <item x="531"/>
        <item x="637"/>
        <item x="820"/>
        <item x="858"/>
        <item x="401"/>
        <item x="568"/>
        <item x="318"/>
        <item x="336"/>
        <item x="111"/>
        <item x="20"/>
        <item x="636"/>
        <item x="726"/>
        <item x="190"/>
        <item x="907"/>
        <item x="722"/>
        <item x="373"/>
        <item x="58"/>
        <item x="258"/>
        <item x="202"/>
        <item x="219"/>
        <item x="304"/>
        <item x="123"/>
        <item x="362"/>
        <item x="978"/>
        <item x="158"/>
        <item x="985"/>
        <item x="550"/>
        <item x="563"/>
        <item x="475"/>
        <item x="400"/>
        <item x="291"/>
        <item x="937"/>
        <item x="222"/>
        <item x="13"/>
        <item x="803"/>
        <item x="543"/>
        <item x="83"/>
        <item x="662"/>
        <item x="850"/>
        <item x="78"/>
        <item x="496"/>
        <item x="758"/>
        <item x="542"/>
        <item x="53"/>
        <item x="600"/>
        <item x="28"/>
        <item x="483"/>
        <item x="673"/>
        <item x="674"/>
        <item x="856"/>
        <item x="453"/>
        <item x="668"/>
        <item x="402"/>
        <item x="608"/>
        <item x="572"/>
        <item x="61"/>
        <item x="885"/>
        <item x="396"/>
        <item x="229"/>
        <item x="593"/>
        <item x="173"/>
        <item x="878"/>
        <item x="36"/>
        <item x="761"/>
        <item x="416"/>
        <item x="609"/>
        <item x="124"/>
        <item x="232"/>
        <item x="175"/>
        <item x="89"/>
        <item x="702"/>
        <item x="228"/>
        <item x="428"/>
        <item x="794"/>
        <item x="740"/>
        <item x="735"/>
        <item x="667"/>
        <item x="316"/>
        <item x="312"/>
        <item x="14"/>
        <item x="551"/>
        <item x="643"/>
        <item x="759"/>
        <item x="778"/>
        <item x="806"/>
        <item x="616"/>
        <item x="320"/>
        <item x="298"/>
        <item x="238"/>
        <item x="147"/>
        <item x="698"/>
        <item x="899"/>
        <item x="6"/>
        <item x="259"/>
        <item x="427"/>
        <item x="132"/>
        <item x="370"/>
        <item x="661"/>
        <item x="199"/>
        <item x="335"/>
        <item x="96"/>
        <item x="444"/>
        <item x="67"/>
        <item x="983"/>
        <item x="795"/>
        <item x="215"/>
        <item x="989"/>
        <item x="364"/>
        <item x="774"/>
        <item x="379"/>
        <item x="666"/>
        <item x="282"/>
        <item x="405"/>
        <item x="186"/>
        <item x="52"/>
        <item x="138"/>
        <item x="179"/>
        <item x="242"/>
        <item x="911"/>
        <item x="486"/>
        <item x="869"/>
        <item x="376"/>
        <item x="55"/>
        <item x="412"/>
        <item x="763"/>
        <item x="808"/>
        <item x="273"/>
        <item x="114"/>
        <item x="100"/>
        <item x="959"/>
        <item x="603"/>
        <item x="295"/>
        <item x="299"/>
        <item x="697"/>
        <item x="205"/>
        <item x="852"/>
        <item x="245"/>
        <item x="841"/>
        <item x="540"/>
        <item x="140"/>
        <item x="112"/>
        <item x="380"/>
        <item x="127"/>
        <item x="855"/>
        <item x="472"/>
        <item x="64"/>
        <item x="837"/>
        <item x="942"/>
        <item x="246"/>
        <item x="103"/>
        <item x="467"/>
        <item x="321"/>
        <item x="991"/>
        <item x="875"/>
        <item x="797"/>
        <item x="782"/>
        <item x="777"/>
        <item x="410"/>
        <item x="474"/>
        <item x="260"/>
        <item x="342"/>
        <item x="94"/>
        <item x="384"/>
        <item x="389"/>
        <item x="872"/>
        <item x="21"/>
        <item x="1"/>
        <item x="986"/>
        <item x="156"/>
        <item x="15"/>
        <item x="226"/>
        <item x="604"/>
        <item x="57"/>
        <item x="958"/>
        <item x="310"/>
        <item x="391"/>
        <item x="375"/>
        <item x="494"/>
        <item x="248"/>
        <item x="972"/>
        <item x="630"/>
        <item x="187"/>
        <item x="489"/>
        <item x="612"/>
        <item x="536"/>
        <item x="154"/>
        <item x="558"/>
        <item x="651"/>
        <item x="409"/>
        <item x="360"/>
        <item x="8"/>
        <item x="530"/>
        <item x="680"/>
        <item x="343"/>
        <item x="924"/>
        <item x="42"/>
        <item x="174"/>
        <item x="459"/>
        <item x="301"/>
        <item x="748"/>
        <item x="176"/>
        <item x="923"/>
        <item x="541"/>
        <item x="87"/>
        <item x="10"/>
        <item x="857"/>
        <item x="160"/>
        <item x="7"/>
        <item x="717"/>
        <item x="968"/>
        <item x="904"/>
        <item x="455"/>
        <item x="182"/>
        <item x="305"/>
        <item x="873"/>
        <item x="85"/>
        <item x="275"/>
        <item x="773"/>
        <item x="805"/>
        <item x="73"/>
        <item x="168"/>
        <item x="733"/>
        <item x="870"/>
        <item x="574"/>
        <item x="422"/>
        <item x="839"/>
        <item x="738"/>
        <item x="810"/>
        <item x="625"/>
        <item x="963"/>
        <item x="266"/>
        <item x="685"/>
        <item x="225"/>
        <item x="913"/>
        <item x="708"/>
        <item x="945"/>
        <item x="791"/>
        <item x="116"/>
        <item x="447"/>
        <item x="503"/>
        <item x="431"/>
        <item x="418"/>
        <item x="502"/>
        <item x="151"/>
        <item x="547"/>
        <item x="813"/>
        <item x="880"/>
        <item x="62"/>
        <item x="824"/>
        <item x="319"/>
        <item x="171"/>
        <item x="690"/>
        <item x="792"/>
        <item x="689"/>
        <item x="267"/>
        <item x="928"/>
        <item x="361"/>
        <item x="268"/>
        <item x="393"/>
        <item x="577"/>
        <item x="933"/>
        <item x="973"/>
        <item x="253"/>
        <item x="886"/>
        <item x="213"/>
        <item x="786"/>
        <item x="27"/>
        <item x="74"/>
        <item x="303"/>
        <item x="984"/>
        <item x="470"/>
        <item x="925"/>
        <item x="19"/>
        <item x="440"/>
        <item x="618"/>
        <item x="639"/>
        <item x="663"/>
        <item x="51"/>
        <item x="695"/>
        <item x="377"/>
        <item x="276"/>
        <item x="559"/>
        <item x="819"/>
        <item x="679"/>
        <item x="694"/>
        <item x="30"/>
        <item x="183"/>
        <item x="960"/>
        <item x="413"/>
        <item x="882"/>
        <item x="210"/>
        <item x="908"/>
        <item x="742"/>
        <item x="611"/>
        <item x="63"/>
        <item x="454"/>
        <item x="471"/>
        <item x="812"/>
        <item x="50"/>
        <item x="526"/>
        <item x="716"/>
        <item x="126"/>
        <item x="354"/>
        <item x="82"/>
        <item x="549"/>
        <item x="864"/>
        <item x="879"/>
        <item x="725"/>
        <item x="843"/>
        <item x="415"/>
        <item x="227"/>
        <item x="836"/>
        <item x="451"/>
        <item x="22"/>
        <item x="157"/>
        <item x="234"/>
        <item x="327"/>
        <item x="404"/>
        <item x="38"/>
        <item x="69"/>
        <item x="381"/>
        <item x="435"/>
        <item x="687"/>
        <item x="516"/>
        <item x="854"/>
        <item x="770"/>
        <item x="804"/>
        <item x="715"/>
        <item x="498"/>
        <item x="206"/>
        <item x="465"/>
        <item x="874"/>
        <item x="802"/>
        <item x="539"/>
        <item x="537"/>
        <item x="756"/>
        <item x="150"/>
        <item x="197"/>
        <item x="371"/>
        <item x="926"/>
        <item x="346"/>
        <item x="765"/>
        <item x="921"/>
        <item x="144"/>
        <item x="152"/>
        <item x="16"/>
        <item x="233"/>
        <item x="244"/>
        <item x="324"/>
        <item x="488"/>
        <item x="214"/>
        <item x="669"/>
        <item x="461"/>
        <item x="240"/>
        <item x="153"/>
        <item x="764"/>
        <item x="598"/>
        <item x="501"/>
        <item x="300"/>
        <item x="652"/>
        <item x="241"/>
        <item x="332"/>
        <item x="544"/>
        <item x="635"/>
        <item x="283"/>
        <item x="522"/>
        <item x="72"/>
        <item x="429"/>
        <item x="828"/>
        <item x="204"/>
        <item x="729"/>
        <item x="750"/>
        <item x="345"/>
        <item x="365"/>
        <item x="368"/>
        <item x="59"/>
        <item x="209"/>
        <item x="46"/>
        <item x="565"/>
        <item x="507"/>
        <item x="102"/>
        <item x="534"/>
        <item x="920"/>
        <item x="655"/>
        <item x="143"/>
        <item x="437"/>
        <item x="41"/>
        <item x="473"/>
        <item x="194"/>
        <item x="221"/>
        <item x="638"/>
        <item x="344"/>
        <item x="75"/>
        <item x="569"/>
        <item x="293"/>
        <item x="449"/>
        <item x="823"/>
        <item x="884"/>
        <item x="939"/>
        <item x="564"/>
        <item x="108"/>
        <item x="4"/>
        <item x="990"/>
        <item x="555"/>
        <item x="584"/>
        <item x="848"/>
        <item x="771"/>
        <item x="71"/>
        <item x="724"/>
        <item x="818"/>
        <item x="644"/>
        <item x="714"/>
        <item x="39"/>
        <item x="860"/>
        <item x="308"/>
        <item x="514"/>
        <item x="927"/>
        <item x="172"/>
        <item x="24"/>
        <item x="337"/>
        <item x="200"/>
        <item x="633"/>
        <item x="93"/>
        <item x="188"/>
        <item x="783"/>
        <item x="649"/>
        <item x="832"/>
        <item x="77"/>
        <item x="315"/>
        <item x="450"/>
        <item x="894"/>
        <item x="538"/>
        <item x="743"/>
        <item x="938"/>
        <item x="659"/>
        <item x="257"/>
        <item x="840"/>
        <item x="366"/>
        <item x="660"/>
        <item x="834"/>
        <item x="191"/>
        <item x="876"/>
        <item x="68"/>
        <item x="491"/>
        <item x="280"/>
        <item x="681"/>
        <item x="408"/>
        <item x="499"/>
        <item x="421"/>
        <item x="378"/>
        <item x="780"/>
        <item x="992"/>
        <item x="60"/>
        <item x="433"/>
        <item x="930"/>
        <item x="348"/>
        <item x="326"/>
        <item x="596"/>
        <item x="162"/>
        <item x="166"/>
        <item x="90"/>
        <item x="480"/>
        <item x="700"/>
        <item x="196"/>
        <item x="269"/>
        <item x="831"/>
        <item x="728"/>
        <item x="517"/>
        <item x="117"/>
        <item x="99"/>
        <item x="723"/>
        <item x="192"/>
        <item x="903"/>
        <item x="980"/>
        <item x="169"/>
        <item x="944"/>
        <item x="505"/>
        <item x="495"/>
        <item x="341"/>
        <item x="224"/>
        <item x="711"/>
        <item x="195"/>
        <item x="917"/>
        <item x="736"/>
        <item x="441"/>
        <item x="757"/>
        <item x="185"/>
        <item x="947"/>
        <item x="646"/>
        <item x="919"/>
        <item x="347"/>
        <item x="76"/>
        <item x="557"/>
        <item x="423"/>
        <item x="918"/>
        <item x="290"/>
        <item x="477"/>
        <item x="417"/>
        <item x="146"/>
        <item x="325"/>
        <item x="445"/>
        <item x="793"/>
        <item x="949"/>
        <item x="877"/>
        <item x="223"/>
        <item x="890"/>
        <item x="556"/>
        <item x="779"/>
        <item x="306"/>
        <item x="216"/>
        <item x="821"/>
        <item x="456"/>
        <item x="893"/>
        <item x="760"/>
        <item x="142"/>
        <item x="504"/>
        <item x="43"/>
        <item x="184"/>
        <item x="901"/>
        <item x="313"/>
        <item x="54"/>
        <item x="165"/>
        <item x="956"/>
        <item x="105"/>
        <item x="29"/>
        <item x="891"/>
        <item x="800"/>
        <item x="647"/>
        <item x="519"/>
        <item x="631"/>
        <item x="120"/>
        <item x="825"/>
        <item x="801"/>
        <item x="170"/>
        <item x="525"/>
        <item x="665"/>
        <item x="871"/>
        <item x="934"/>
        <item x="993"/>
        <item x="532"/>
        <item x="181"/>
        <item x="349"/>
        <item x="261"/>
        <item x="281"/>
        <item x="307"/>
        <item x="767"/>
        <item x="981"/>
        <item x="235"/>
        <item x="33"/>
        <item x="136"/>
        <item x="916"/>
        <item x="974"/>
        <item x="49"/>
        <item x="271"/>
        <item x="866"/>
        <item x="86"/>
        <item x="707"/>
        <item x="432"/>
        <item x="339"/>
        <item x="962"/>
        <item x="527"/>
        <item x="109"/>
        <item x="351"/>
        <item x="357"/>
        <item x="446"/>
        <item x="254"/>
        <item x="966"/>
        <item x="353"/>
        <item x="479"/>
        <item x="119"/>
        <item x="448"/>
        <item x="642"/>
        <item x="701"/>
        <item x="580"/>
        <item x="452"/>
        <item x="270"/>
        <item x="302"/>
        <item x="672"/>
        <item x="311"/>
        <item x="622"/>
        <item x="936"/>
        <item x="988"/>
        <item x="943"/>
        <item x="265"/>
        <item x="106"/>
        <item x="970"/>
        <item x="500"/>
        <item x="411"/>
        <item x="487"/>
        <item x="629"/>
        <item x="236"/>
        <item x="535"/>
        <item x="508"/>
        <item x="394"/>
        <item x="688"/>
        <item x="478"/>
        <item x="732"/>
        <item x="385"/>
        <item x="607"/>
        <item x="766"/>
        <item x="462"/>
        <item x="407"/>
        <item x="553"/>
        <item x="682"/>
        <item x="982"/>
        <item x="562"/>
        <item x="775"/>
        <item x="720"/>
        <item x="718"/>
        <item x="458"/>
        <item x="374"/>
        <item x="110"/>
        <item x="895"/>
        <item x="548"/>
        <item x="615"/>
        <item x="932"/>
        <item x="278"/>
        <item x="751"/>
        <item x="730"/>
        <item x="815"/>
        <item x="252"/>
        <item x="614"/>
        <item x="485"/>
        <item x="909"/>
        <item x="692"/>
        <item x="705"/>
        <item x="675"/>
        <item x="592"/>
        <item x="627"/>
        <item x="296"/>
        <item x="511"/>
        <item x="161"/>
        <item x="141"/>
        <item x="847"/>
        <item x="350"/>
        <item x="490"/>
        <item x="976"/>
        <item x="388"/>
        <item x="929"/>
        <item x="650"/>
        <item x="628"/>
        <item x="863"/>
        <item x="463"/>
        <item x="746"/>
        <item x="255"/>
        <item x="131"/>
        <item x="145"/>
        <item x="443"/>
        <item x="34"/>
        <item x="263"/>
        <item x="355"/>
        <item x="712"/>
        <item x="731"/>
        <item x="955"/>
        <item x="868"/>
        <item x="286"/>
        <item x="328"/>
        <item x="971"/>
        <item x="768"/>
        <item x="159"/>
        <item x="567"/>
        <item x="399"/>
        <item x="922"/>
        <item x="211"/>
        <item x="905"/>
        <item x="56"/>
        <item x="744"/>
        <item x="570"/>
        <item x="645"/>
        <item x="545"/>
        <item x="386"/>
        <item x="37"/>
        <item x="734"/>
        <item x="677"/>
        <item x="626"/>
        <item x="107"/>
        <item x="741"/>
        <item x="678"/>
        <item x="889"/>
        <item x="493"/>
        <item x="696"/>
        <item x="139"/>
        <item x="333"/>
        <item x="830"/>
        <item x="395"/>
        <item x="585"/>
        <item x="97"/>
        <item x="888"/>
        <item x="218"/>
        <item x="208"/>
        <item x="163"/>
        <item x="588"/>
        <item x="317"/>
        <item x="81"/>
        <item x="579"/>
        <item x="703"/>
        <item x="98"/>
        <item x="115"/>
        <item x="753"/>
        <item x="88"/>
        <item x="573"/>
        <item x="845"/>
        <item x="587"/>
        <item x="862"/>
        <item x="772"/>
        <item x="953"/>
        <item x="623"/>
        <item x="239"/>
        <item x="414"/>
        <item x="784"/>
        <item x="438"/>
        <item x="104"/>
        <item x="683"/>
        <item x="859"/>
        <item x="965"/>
        <item x="892"/>
        <item x="799"/>
        <item x="406"/>
        <item x="745"/>
        <item x="602"/>
        <item x="787"/>
        <item x="940"/>
        <item x="896"/>
        <item x="513"/>
        <item x="95"/>
        <item x="910"/>
        <item x="65"/>
        <item x="130"/>
        <item x="383"/>
        <item x="599"/>
        <item x="594"/>
        <item x="128"/>
        <item x="721"/>
        <item x="79"/>
        <item x="334"/>
        <item x="846"/>
        <item x="439"/>
        <item x="243"/>
        <item x="44"/>
        <item x="5"/>
        <item x="314"/>
        <item x="898"/>
        <item x="747"/>
        <item x="289"/>
        <item x="755"/>
        <item x="264"/>
        <item x="47"/>
        <item x="654"/>
        <item x="121"/>
        <item x="113"/>
        <item x="613"/>
        <item x="31"/>
        <item x="809"/>
        <item x="552"/>
        <item x="691"/>
        <item x="704"/>
        <item x="931"/>
        <item x="851"/>
        <item x="648"/>
        <item x="967"/>
        <item x="948"/>
        <item x="322"/>
        <item x="12"/>
        <item x="789"/>
        <item x="230"/>
        <item x="212"/>
        <item x="203"/>
        <item x="887"/>
        <item x="946"/>
        <item x="468"/>
        <item x="829"/>
        <item x="251"/>
        <item x="657"/>
        <item x="561"/>
        <item x="367"/>
        <item x="713"/>
        <item x="284"/>
        <item x="957"/>
        <item x="807"/>
        <item x="18"/>
        <item x="0"/>
        <item x="737"/>
        <item x="935"/>
        <item x="220"/>
        <item x="952"/>
        <item x="578"/>
        <item x="902"/>
        <item x="436"/>
        <item x="752"/>
        <item x="201"/>
        <item x="26"/>
        <item x="606"/>
        <item x="994"/>
        <item x="941"/>
        <item x="356"/>
        <item x="865"/>
        <item x="849"/>
        <item x="476"/>
        <item x="193"/>
        <item x="288"/>
        <item x="466"/>
        <item x="671"/>
        <item x="546"/>
        <item x="250"/>
        <item x="372"/>
        <item x="798"/>
        <item x="133"/>
        <item x="605"/>
        <item x="951"/>
        <item x="180"/>
        <item x="363"/>
        <item x="509"/>
        <item x="442"/>
        <item x="790"/>
        <item x="954"/>
        <item x="91"/>
        <item x="664"/>
        <item x="977"/>
        <item x="464"/>
        <item x="582"/>
        <item x="256"/>
        <item x="149"/>
        <item x="867"/>
        <item x="352"/>
        <item x="619"/>
        <item x="510"/>
        <item x="518"/>
        <item x="217"/>
        <item x="620"/>
        <item x="430"/>
        <item x="912"/>
        <item x="524"/>
        <item t="default"/>
      </items>
      <autoSortScope>
        <pivotArea dataOnly="0" outline="0" fieldPosition="0">
          <references count="1">
            <reference field="4294967294" count="1" selected="0">
              <x v="0"/>
            </reference>
          </references>
        </pivotArea>
      </autoSortScope>
    </pivotField>
    <pivotField showAll="0"/>
    <pivotField showAll="0">
      <items count="74">
        <item x="56"/>
        <item x="15"/>
        <item x="36"/>
        <item x="40"/>
        <item x="52"/>
        <item x="32"/>
        <item x="71"/>
        <item x="28"/>
        <item x="14"/>
        <item x="46"/>
        <item x="16"/>
        <item x="2"/>
        <item x="30"/>
        <item x="11"/>
        <item x="59"/>
        <item x="72"/>
        <item x="37"/>
        <item x="57"/>
        <item x="55"/>
        <item x="26"/>
        <item x="60"/>
        <item x="6"/>
        <item x="23"/>
        <item x="22"/>
        <item x="45"/>
        <item x="68"/>
        <item x="0"/>
        <item x="5"/>
        <item x="33"/>
        <item x="13"/>
        <item x="65"/>
        <item x="67"/>
        <item x="58"/>
        <item x="18"/>
        <item x="9"/>
        <item x="17"/>
        <item x="31"/>
        <item x="21"/>
        <item x="19"/>
        <item x="3"/>
        <item x="12"/>
        <item x="24"/>
        <item x="53"/>
        <item x="48"/>
        <item x="39"/>
        <item x="42"/>
        <item x="7"/>
        <item x="27"/>
        <item x="47"/>
        <item x="49"/>
        <item x="1"/>
        <item x="20"/>
        <item x="35"/>
        <item x="64"/>
        <item x="50"/>
        <item x="66"/>
        <item x="51"/>
        <item x="63"/>
        <item x="25"/>
        <item x="38"/>
        <item x="10"/>
        <item x="8"/>
        <item x="54"/>
        <item x="44"/>
        <item x="61"/>
        <item x="70"/>
        <item x="69"/>
        <item x="43"/>
        <item x="62"/>
        <item x="41"/>
        <item x="34"/>
        <item x="29"/>
        <item x="4"/>
        <item t="default"/>
      </items>
    </pivotField>
    <pivotField showAll="0"/>
    <pivotField numFmtId="165" showAll="0"/>
    <pivotField dataField="1" numFmtId="165" showAll="0"/>
    <pivotField numFmtId="165" showAll="0"/>
  </pivotFields>
  <rowFields count="1">
    <field x="1"/>
  </rowFields>
  <rowItems count="11">
    <i>
      <x v="82"/>
    </i>
    <i>
      <x v="477"/>
    </i>
    <i>
      <x v="125"/>
    </i>
    <i>
      <x v="954"/>
    </i>
    <i>
      <x v="379"/>
    </i>
    <i>
      <x v="926"/>
    </i>
    <i>
      <x v="209"/>
    </i>
    <i>
      <x v="47"/>
    </i>
    <i>
      <x v="330"/>
    </i>
    <i>
      <x v="113"/>
    </i>
    <i t="grand">
      <x/>
    </i>
  </rowItems>
  <colItems count="1">
    <i/>
  </colItems>
  <dataFields count="1">
    <dataField name="Sum of Profits" fld="6" baseField="1" baseItem="0" numFmtId="3"/>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3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A3:D999" firstHeaderRow="0" firstDataRow="1" firstDataCol="1"/>
  <pivotFields count="8">
    <pivotField showAll="0"/>
    <pivotField axis="axisRow" showAll="0" sortType="descending">
      <items count="997">
        <item x="92"/>
        <item x="969"/>
        <item x="861"/>
        <item x="827"/>
        <item x="686"/>
        <item x="137"/>
        <item x="122"/>
        <item x="641"/>
        <item x="482"/>
        <item x="529"/>
        <item x="785"/>
        <item x="979"/>
        <item x="521"/>
        <item x="247"/>
        <item x="632"/>
        <item x="292"/>
        <item x="590"/>
        <item x="155"/>
        <item x="189"/>
        <item x="45"/>
        <item x="844"/>
        <item x="134"/>
        <item x="359"/>
        <item x="586"/>
        <item x="597"/>
        <item x="48"/>
        <item x="287"/>
        <item x="481"/>
        <item x="382"/>
        <item x="915"/>
        <item x="457"/>
        <item x="621"/>
        <item x="125"/>
        <item x="814"/>
        <item x="684"/>
        <item x="811"/>
        <item x="506"/>
        <item x="617"/>
        <item x="403"/>
        <item x="897"/>
        <item x="950"/>
        <item x="676"/>
        <item x="975"/>
        <item x="80"/>
        <item x="297"/>
        <item x="566"/>
        <item x="739"/>
        <item x="35"/>
        <item x="148"/>
        <item x="425"/>
        <item x="17"/>
        <item x="817"/>
        <item x="709"/>
        <item x="424"/>
        <item x="66"/>
        <item x="601"/>
        <item x="640"/>
        <item x="164"/>
        <item x="84"/>
        <item x="331"/>
        <item x="420"/>
        <item x="964"/>
        <item x="719"/>
        <item x="523"/>
        <item x="693"/>
        <item x="231"/>
        <item x="11"/>
        <item x="591"/>
        <item x="129"/>
        <item x="906"/>
        <item x="749"/>
        <item x="460"/>
        <item x="762"/>
        <item x="528"/>
        <item x="323"/>
        <item x="656"/>
        <item x="571"/>
        <item x="390"/>
        <item x="595"/>
        <item x="32"/>
        <item x="387"/>
        <item x="816"/>
        <item x="2"/>
        <item x="776"/>
        <item x="294"/>
        <item x="881"/>
        <item x="198"/>
        <item x="796"/>
        <item x="822"/>
        <item x="40"/>
        <item x="835"/>
        <item x="853"/>
        <item x="118"/>
        <item x="469"/>
        <item x="392"/>
        <item x="520"/>
        <item x="274"/>
        <item x="9"/>
        <item x="576"/>
        <item x="838"/>
        <item x="309"/>
        <item x="135"/>
        <item x="397"/>
        <item x="279"/>
        <item x="581"/>
        <item x="434"/>
        <item x="329"/>
        <item x="101"/>
        <item x="369"/>
        <item x="610"/>
        <item x="781"/>
        <item x="177"/>
        <item x="340"/>
        <item x="25"/>
        <item x="178"/>
        <item x="426"/>
        <item x="419"/>
        <item x="285"/>
        <item x="272"/>
        <item x="833"/>
        <item x="277"/>
        <item x="237"/>
        <item x="883"/>
        <item x="583"/>
        <item x="826"/>
        <item x="3"/>
        <item x="515"/>
        <item x="70"/>
        <item x="706"/>
        <item x="492"/>
        <item x="262"/>
        <item x="961"/>
        <item x="249"/>
        <item x="533"/>
        <item x="554"/>
        <item x="987"/>
        <item x="23"/>
        <item x="624"/>
        <item x="769"/>
        <item x="484"/>
        <item x="338"/>
        <item x="842"/>
        <item x="358"/>
        <item x="914"/>
        <item x="995"/>
        <item x="710"/>
        <item x="727"/>
        <item x="167"/>
        <item x="330"/>
        <item x="788"/>
        <item x="900"/>
        <item x="512"/>
        <item x="699"/>
        <item x="575"/>
        <item x="653"/>
        <item x="634"/>
        <item x="497"/>
        <item x="207"/>
        <item x="658"/>
        <item x="560"/>
        <item x="589"/>
        <item x="398"/>
        <item x="754"/>
        <item x="670"/>
        <item x="531"/>
        <item x="637"/>
        <item x="820"/>
        <item x="858"/>
        <item x="401"/>
        <item x="568"/>
        <item x="318"/>
        <item x="336"/>
        <item x="111"/>
        <item x="20"/>
        <item x="636"/>
        <item x="726"/>
        <item x="190"/>
        <item x="907"/>
        <item x="722"/>
        <item x="373"/>
        <item x="58"/>
        <item x="258"/>
        <item x="202"/>
        <item x="219"/>
        <item x="304"/>
        <item x="123"/>
        <item x="362"/>
        <item x="978"/>
        <item x="158"/>
        <item x="985"/>
        <item x="550"/>
        <item x="563"/>
        <item x="475"/>
        <item x="400"/>
        <item x="291"/>
        <item x="937"/>
        <item x="222"/>
        <item x="13"/>
        <item x="803"/>
        <item x="543"/>
        <item x="83"/>
        <item x="662"/>
        <item x="850"/>
        <item x="78"/>
        <item x="496"/>
        <item x="758"/>
        <item x="542"/>
        <item x="53"/>
        <item x="600"/>
        <item x="28"/>
        <item x="483"/>
        <item x="673"/>
        <item x="674"/>
        <item x="856"/>
        <item x="453"/>
        <item x="668"/>
        <item x="402"/>
        <item x="608"/>
        <item x="572"/>
        <item x="61"/>
        <item x="885"/>
        <item x="396"/>
        <item x="229"/>
        <item x="593"/>
        <item x="173"/>
        <item x="878"/>
        <item x="36"/>
        <item x="761"/>
        <item x="416"/>
        <item x="609"/>
        <item x="124"/>
        <item x="232"/>
        <item x="175"/>
        <item x="89"/>
        <item x="702"/>
        <item x="228"/>
        <item x="428"/>
        <item x="794"/>
        <item x="740"/>
        <item x="735"/>
        <item x="667"/>
        <item x="316"/>
        <item x="312"/>
        <item x="14"/>
        <item x="551"/>
        <item x="643"/>
        <item x="759"/>
        <item x="778"/>
        <item x="806"/>
        <item x="616"/>
        <item x="320"/>
        <item x="298"/>
        <item x="238"/>
        <item x="147"/>
        <item x="698"/>
        <item x="899"/>
        <item x="6"/>
        <item x="259"/>
        <item x="427"/>
        <item x="132"/>
        <item x="370"/>
        <item x="661"/>
        <item x="199"/>
        <item x="335"/>
        <item x="96"/>
        <item x="444"/>
        <item x="67"/>
        <item x="983"/>
        <item x="795"/>
        <item x="215"/>
        <item x="989"/>
        <item x="364"/>
        <item x="774"/>
        <item x="379"/>
        <item x="666"/>
        <item x="282"/>
        <item x="405"/>
        <item x="186"/>
        <item x="52"/>
        <item x="138"/>
        <item x="179"/>
        <item x="242"/>
        <item x="911"/>
        <item x="486"/>
        <item x="869"/>
        <item x="376"/>
        <item x="55"/>
        <item x="412"/>
        <item x="763"/>
        <item x="808"/>
        <item x="273"/>
        <item x="114"/>
        <item x="100"/>
        <item x="959"/>
        <item x="603"/>
        <item x="295"/>
        <item x="299"/>
        <item x="697"/>
        <item x="205"/>
        <item x="852"/>
        <item x="245"/>
        <item x="841"/>
        <item x="540"/>
        <item x="140"/>
        <item x="112"/>
        <item x="380"/>
        <item x="127"/>
        <item x="855"/>
        <item x="472"/>
        <item x="64"/>
        <item x="837"/>
        <item x="942"/>
        <item x="246"/>
        <item x="103"/>
        <item x="467"/>
        <item x="321"/>
        <item x="991"/>
        <item x="875"/>
        <item x="797"/>
        <item x="782"/>
        <item x="777"/>
        <item x="410"/>
        <item x="474"/>
        <item x="260"/>
        <item x="342"/>
        <item x="94"/>
        <item x="384"/>
        <item x="389"/>
        <item x="872"/>
        <item x="21"/>
        <item x="1"/>
        <item x="986"/>
        <item x="156"/>
        <item x="15"/>
        <item x="226"/>
        <item x="604"/>
        <item x="57"/>
        <item x="958"/>
        <item x="310"/>
        <item x="391"/>
        <item x="375"/>
        <item x="494"/>
        <item x="248"/>
        <item x="972"/>
        <item x="630"/>
        <item x="187"/>
        <item x="489"/>
        <item x="612"/>
        <item x="536"/>
        <item x="154"/>
        <item x="558"/>
        <item x="651"/>
        <item x="409"/>
        <item x="360"/>
        <item x="8"/>
        <item x="530"/>
        <item x="680"/>
        <item x="343"/>
        <item x="924"/>
        <item x="42"/>
        <item x="174"/>
        <item x="459"/>
        <item x="301"/>
        <item x="748"/>
        <item x="176"/>
        <item x="923"/>
        <item x="541"/>
        <item x="87"/>
        <item x="10"/>
        <item x="857"/>
        <item x="160"/>
        <item x="7"/>
        <item x="717"/>
        <item x="968"/>
        <item x="904"/>
        <item x="455"/>
        <item x="182"/>
        <item x="305"/>
        <item x="873"/>
        <item x="85"/>
        <item x="275"/>
        <item x="773"/>
        <item x="805"/>
        <item x="73"/>
        <item x="168"/>
        <item x="733"/>
        <item x="870"/>
        <item x="574"/>
        <item x="422"/>
        <item x="839"/>
        <item x="738"/>
        <item x="810"/>
        <item x="625"/>
        <item x="963"/>
        <item x="266"/>
        <item x="685"/>
        <item x="225"/>
        <item x="913"/>
        <item x="708"/>
        <item x="945"/>
        <item x="791"/>
        <item x="116"/>
        <item x="447"/>
        <item x="503"/>
        <item x="431"/>
        <item x="418"/>
        <item x="502"/>
        <item x="151"/>
        <item x="547"/>
        <item x="813"/>
        <item x="880"/>
        <item x="62"/>
        <item x="824"/>
        <item x="319"/>
        <item x="171"/>
        <item x="690"/>
        <item x="792"/>
        <item x="689"/>
        <item x="267"/>
        <item x="928"/>
        <item x="361"/>
        <item x="268"/>
        <item x="393"/>
        <item x="577"/>
        <item x="933"/>
        <item x="973"/>
        <item x="253"/>
        <item x="886"/>
        <item x="213"/>
        <item x="786"/>
        <item x="27"/>
        <item x="74"/>
        <item x="303"/>
        <item x="984"/>
        <item x="470"/>
        <item x="925"/>
        <item x="19"/>
        <item x="440"/>
        <item x="618"/>
        <item x="639"/>
        <item x="663"/>
        <item x="51"/>
        <item x="695"/>
        <item x="377"/>
        <item x="276"/>
        <item x="559"/>
        <item x="819"/>
        <item x="679"/>
        <item x="694"/>
        <item x="30"/>
        <item x="183"/>
        <item x="960"/>
        <item x="413"/>
        <item x="882"/>
        <item x="210"/>
        <item x="908"/>
        <item x="742"/>
        <item x="611"/>
        <item x="63"/>
        <item x="454"/>
        <item x="471"/>
        <item x="812"/>
        <item x="50"/>
        <item x="526"/>
        <item x="716"/>
        <item x="126"/>
        <item x="354"/>
        <item x="82"/>
        <item x="549"/>
        <item x="864"/>
        <item x="879"/>
        <item x="725"/>
        <item x="843"/>
        <item x="415"/>
        <item x="227"/>
        <item x="836"/>
        <item x="451"/>
        <item x="22"/>
        <item x="157"/>
        <item x="234"/>
        <item x="327"/>
        <item x="404"/>
        <item x="38"/>
        <item x="69"/>
        <item x="381"/>
        <item x="435"/>
        <item x="687"/>
        <item x="516"/>
        <item x="854"/>
        <item x="770"/>
        <item x="804"/>
        <item x="715"/>
        <item x="498"/>
        <item x="206"/>
        <item x="465"/>
        <item x="874"/>
        <item x="802"/>
        <item x="539"/>
        <item x="537"/>
        <item x="756"/>
        <item x="150"/>
        <item x="197"/>
        <item x="371"/>
        <item x="926"/>
        <item x="346"/>
        <item x="765"/>
        <item x="921"/>
        <item x="144"/>
        <item x="152"/>
        <item x="16"/>
        <item x="233"/>
        <item x="244"/>
        <item x="324"/>
        <item x="488"/>
        <item x="214"/>
        <item x="669"/>
        <item x="461"/>
        <item x="240"/>
        <item x="153"/>
        <item x="764"/>
        <item x="598"/>
        <item x="501"/>
        <item x="300"/>
        <item x="652"/>
        <item x="241"/>
        <item x="332"/>
        <item x="544"/>
        <item x="635"/>
        <item x="283"/>
        <item x="522"/>
        <item x="72"/>
        <item x="429"/>
        <item x="828"/>
        <item x="204"/>
        <item x="729"/>
        <item x="750"/>
        <item x="345"/>
        <item x="365"/>
        <item x="368"/>
        <item x="59"/>
        <item x="209"/>
        <item x="46"/>
        <item x="565"/>
        <item x="507"/>
        <item x="102"/>
        <item x="534"/>
        <item x="920"/>
        <item x="655"/>
        <item x="143"/>
        <item x="437"/>
        <item x="41"/>
        <item x="473"/>
        <item x="194"/>
        <item x="221"/>
        <item x="638"/>
        <item x="344"/>
        <item x="75"/>
        <item x="569"/>
        <item x="293"/>
        <item x="449"/>
        <item x="823"/>
        <item x="884"/>
        <item x="939"/>
        <item x="564"/>
        <item x="108"/>
        <item x="4"/>
        <item x="990"/>
        <item x="555"/>
        <item x="584"/>
        <item x="848"/>
        <item x="771"/>
        <item x="71"/>
        <item x="724"/>
        <item x="818"/>
        <item x="644"/>
        <item x="714"/>
        <item x="39"/>
        <item x="860"/>
        <item x="308"/>
        <item x="514"/>
        <item x="927"/>
        <item x="172"/>
        <item x="24"/>
        <item x="337"/>
        <item x="200"/>
        <item x="633"/>
        <item x="93"/>
        <item x="188"/>
        <item x="783"/>
        <item x="649"/>
        <item x="832"/>
        <item x="77"/>
        <item x="315"/>
        <item x="450"/>
        <item x="894"/>
        <item x="538"/>
        <item x="743"/>
        <item x="938"/>
        <item x="659"/>
        <item x="257"/>
        <item x="840"/>
        <item x="366"/>
        <item x="660"/>
        <item x="834"/>
        <item x="191"/>
        <item x="876"/>
        <item x="68"/>
        <item x="491"/>
        <item x="280"/>
        <item x="681"/>
        <item x="408"/>
        <item x="499"/>
        <item x="421"/>
        <item x="378"/>
        <item x="780"/>
        <item x="992"/>
        <item x="60"/>
        <item x="433"/>
        <item x="930"/>
        <item x="348"/>
        <item x="326"/>
        <item x="596"/>
        <item x="162"/>
        <item x="166"/>
        <item x="90"/>
        <item x="480"/>
        <item x="700"/>
        <item x="196"/>
        <item x="269"/>
        <item x="831"/>
        <item x="728"/>
        <item x="517"/>
        <item x="117"/>
        <item x="99"/>
        <item x="723"/>
        <item x="192"/>
        <item x="903"/>
        <item x="980"/>
        <item x="169"/>
        <item x="944"/>
        <item x="505"/>
        <item x="495"/>
        <item x="341"/>
        <item x="224"/>
        <item x="711"/>
        <item x="195"/>
        <item x="917"/>
        <item x="736"/>
        <item x="441"/>
        <item x="757"/>
        <item x="185"/>
        <item x="947"/>
        <item x="646"/>
        <item x="919"/>
        <item x="347"/>
        <item x="76"/>
        <item x="557"/>
        <item x="423"/>
        <item x="918"/>
        <item x="290"/>
        <item x="477"/>
        <item x="417"/>
        <item x="146"/>
        <item x="325"/>
        <item x="445"/>
        <item x="793"/>
        <item x="949"/>
        <item x="877"/>
        <item x="223"/>
        <item x="890"/>
        <item x="556"/>
        <item x="779"/>
        <item x="306"/>
        <item x="216"/>
        <item x="821"/>
        <item x="456"/>
        <item x="893"/>
        <item x="760"/>
        <item x="142"/>
        <item x="504"/>
        <item x="43"/>
        <item x="184"/>
        <item x="901"/>
        <item x="313"/>
        <item x="54"/>
        <item x="165"/>
        <item x="956"/>
        <item x="105"/>
        <item x="29"/>
        <item x="891"/>
        <item x="800"/>
        <item x="647"/>
        <item x="519"/>
        <item x="631"/>
        <item x="120"/>
        <item x="825"/>
        <item x="801"/>
        <item x="170"/>
        <item x="525"/>
        <item x="665"/>
        <item x="871"/>
        <item x="934"/>
        <item x="993"/>
        <item x="532"/>
        <item x="181"/>
        <item x="349"/>
        <item x="261"/>
        <item x="281"/>
        <item x="307"/>
        <item x="767"/>
        <item x="981"/>
        <item x="235"/>
        <item x="33"/>
        <item x="136"/>
        <item x="916"/>
        <item x="974"/>
        <item x="49"/>
        <item x="271"/>
        <item x="866"/>
        <item x="86"/>
        <item x="707"/>
        <item x="432"/>
        <item x="339"/>
        <item x="962"/>
        <item x="527"/>
        <item x="109"/>
        <item x="351"/>
        <item x="357"/>
        <item x="446"/>
        <item x="254"/>
        <item x="966"/>
        <item x="353"/>
        <item x="479"/>
        <item x="119"/>
        <item x="448"/>
        <item x="642"/>
        <item x="701"/>
        <item x="580"/>
        <item x="452"/>
        <item x="270"/>
        <item x="302"/>
        <item x="672"/>
        <item x="311"/>
        <item x="622"/>
        <item x="936"/>
        <item x="988"/>
        <item x="943"/>
        <item x="265"/>
        <item x="106"/>
        <item x="970"/>
        <item x="500"/>
        <item x="411"/>
        <item x="487"/>
        <item x="629"/>
        <item x="236"/>
        <item x="535"/>
        <item x="508"/>
        <item x="394"/>
        <item x="688"/>
        <item x="478"/>
        <item x="732"/>
        <item x="385"/>
        <item x="607"/>
        <item x="766"/>
        <item x="462"/>
        <item x="407"/>
        <item x="553"/>
        <item x="682"/>
        <item x="982"/>
        <item x="562"/>
        <item x="775"/>
        <item x="720"/>
        <item x="718"/>
        <item x="458"/>
        <item x="374"/>
        <item x="110"/>
        <item x="895"/>
        <item x="548"/>
        <item x="615"/>
        <item x="932"/>
        <item x="278"/>
        <item x="751"/>
        <item x="730"/>
        <item x="815"/>
        <item x="252"/>
        <item x="614"/>
        <item x="485"/>
        <item x="909"/>
        <item x="692"/>
        <item x="705"/>
        <item x="675"/>
        <item x="592"/>
        <item x="627"/>
        <item x="296"/>
        <item x="511"/>
        <item x="161"/>
        <item x="141"/>
        <item x="847"/>
        <item x="350"/>
        <item x="490"/>
        <item x="976"/>
        <item x="388"/>
        <item x="929"/>
        <item x="650"/>
        <item x="628"/>
        <item x="863"/>
        <item x="463"/>
        <item x="746"/>
        <item x="255"/>
        <item x="131"/>
        <item x="145"/>
        <item x="443"/>
        <item x="34"/>
        <item x="263"/>
        <item x="355"/>
        <item x="712"/>
        <item x="731"/>
        <item x="955"/>
        <item x="868"/>
        <item x="286"/>
        <item x="328"/>
        <item x="971"/>
        <item x="768"/>
        <item x="159"/>
        <item x="567"/>
        <item x="399"/>
        <item x="922"/>
        <item x="211"/>
        <item x="905"/>
        <item x="56"/>
        <item x="744"/>
        <item x="570"/>
        <item x="645"/>
        <item x="545"/>
        <item x="386"/>
        <item x="37"/>
        <item x="734"/>
        <item x="677"/>
        <item x="626"/>
        <item x="107"/>
        <item x="741"/>
        <item x="678"/>
        <item x="889"/>
        <item x="493"/>
        <item x="696"/>
        <item x="139"/>
        <item x="333"/>
        <item x="830"/>
        <item x="395"/>
        <item x="585"/>
        <item x="97"/>
        <item x="888"/>
        <item x="218"/>
        <item x="208"/>
        <item x="163"/>
        <item x="588"/>
        <item x="317"/>
        <item x="81"/>
        <item x="579"/>
        <item x="703"/>
        <item x="98"/>
        <item x="115"/>
        <item x="753"/>
        <item x="88"/>
        <item x="573"/>
        <item x="845"/>
        <item x="587"/>
        <item x="862"/>
        <item x="772"/>
        <item x="953"/>
        <item x="623"/>
        <item x="239"/>
        <item x="414"/>
        <item x="784"/>
        <item x="438"/>
        <item x="104"/>
        <item x="683"/>
        <item x="859"/>
        <item x="965"/>
        <item x="892"/>
        <item x="799"/>
        <item x="406"/>
        <item x="745"/>
        <item x="602"/>
        <item x="787"/>
        <item x="940"/>
        <item x="896"/>
        <item x="513"/>
        <item x="95"/>
        <item x="910"/>
        <item x="65"/>
        <item x="130"/>
        <item x="383"/>
        <item x="599"/>
        <item x="594"/>
        <item x="128"/>
        <item x="721"/>
        <item x="79"/>
        <item x="334"/>
        <item x="846"/>
        <item x="439"/>
        <item x="243"/>
        <item x="44"/>
        <item x="5"/>
        <item x="314"/>
        <item x="898"/>
        <item x="747"/>
        <item x="289"/>
        <item x="755"/>
        <item x="264"/>
        <item x="47"/>
        <item x="654"/>
        <item x="121"/>
        <item x="113"/>
        <item x="613"/>
        <item x="31"/>
        <item x="809"/>
        <item x="552"/>
        <item x="691"/>
        <item x="704"/>
        <item x="931"/>
        <item x="851"/>
        <item x="648"/>
        <item x="967"/>
        <item x="948"/>
        <item x="322"/>
        <item x="12"/>
        <item x="789"/>
        <item x="230"/>
        <item x="212"/>
        <item x="203"/>
        <item x="887"/>
        <item x="946"/>
        <item x="468"/>
        <item x="829"/>
        <item x="251"/>
        <item x="657"/>
        <item x="561"/>
        <item x="367"/>
        <item x="713"/>
        <item x="284"/>
        <item x="957"/>
        <item x="807"/>
        <item x="18"/>
        <item x="0"/>
        <item x="737"/>
        <item x="935"/>
        <item x="220"/>
        <item x="952"/>
        <item x="578"/>
        <item x="902"/>
        <item x="436"/>
        <item x="752"/>
        <item x="201"/>
        <item x="26"/>
        <item x="606"/>
        <item x="994"/>
        <item x="941"/>
        <item x="356"/>
        <item x="865"/>
        <item x="849"/>
        <item x="476"/>
        <item x="193"/>
        <item x="288"/>
        <item x="466"/>
        <item x="671"/>
        <item x="546"/>
        <item x="250"/>
        <item x="372"/>
        <item x="798"/>
        <item x="133"/>
        <item x="605"/>
        <item x="951"/>
        <item x="180"/>
        <item x="363"/>
        <item x="509"/>
        <item x="442"/>
        <item x="790"/>
        <item x="954"/>
        <item x="91"/>
        <item x="664"/>
        <item x="977"/>
        <item x="464"/>
        <item x="582"/>
        <item x="256"/>
        <item x="149"/>
        <item x="867"/>
        <item x="352"/>
        <item x="619"/>
        <item x="510"/>
        <item x="518"/>
        <item x="217"/>
        <item x="620"/>
        <item x="430"/>
        <item x="912"/>
        <item x="524"/>
        <item t="default"/>
      </items>
      <autoSortScope>
        <pivotArea dataOnly="0" outline="0" fieldPosition="0">
          <references count="1">
            <reference field="4294967294" count="1" selected="0">
              <x v="0"/>
            </reference>
          </references>
        </pivotArea>
      </autoSortScope>
    </pivotField>
    <pivotField showAll="0"/>
    <pivotField showAll="0">
      <items count="74">
        <item x="56"/>
        <item x="15"/>
        <item x="36"/>
        <item x="40"/>
        <item x="52"/>
        <item x="32"/>
        <item x="71"/>
        <item x="28"/>
        <item x="14"/>
        <item x="46"/>
        <item x="16"/>
        <item x="2"/>
        <item x="30"/>
        <item x="11"/>
        <item x="59"/>
        <item x="72"/>
        <item x="37"/>
        <item x="57"/>
        <item x="55"/>
        <item x="26"/>
        <item x="60"/>
        <item x="6"/>
        <item x="23"/>
        <item x="22"/>
        <item x="45"/>
        <item x="68"/>
        <item x="0"/>
        <item x="5"/>
        <item x="33"/>
        <item x="13"/>
        <item x="65"/>
        <item x="67"/>
        <item x="58"/>
        <item x="18"/>
        <item x="9"/>
        <item x="17"/>
        <item x="31"/>
        <item x="21"/>
        <item x="19"/>
        <item x="3"/>
        <item x="12"/>
        <item x="24"/>
        <item x="53"/>
        <item x="48"/>
        <item x="39"/>
        <item x="42"/>
        <item x="7"/>
        <item x="27"/>
        <item x="47"/>
        <item x="49"/>
        <item x="1"/>
        <item x="20"/>
        <item x="35"/>
        <item x="64"/>
        <item x="50"/>
        <item x="66"/>
        <item x="51"/>
        <item x="63"/>
        <item x="25"/>
        <item x="38"/>
        <item x="10"/>
        <item x="8"/>
        <item x="54"/>
        <item x="44"/>
        <item x="61"/>
        <item x="70"/>
        <item x="69"/>
        <item x="43"/>
        <item x="62"/>
        <item x="41"/>
        <item x="34"/>
        <item x="29"/>
        <item x="4"/>
        <item t="default"/>
      </items>
    </pivotField>
    <pivotField showAll="0"/>
    <pivotField dataField="1" numFmtId="165" showAll="0"/>
    <pivotField dataField="1" numFmtId="165" showAll="0"/>
    <pivotField dataField="1" numFmtId="165" showAll="0"/>
  </pivotFields>
  <rowFields count="1">
    <field x="1"/>
  </rowFields>
  <rowItems count="996">
    <i>
      <x v="944"/>
    </i>
    <i>
      <x v="330"/>
    </i>
    <i>
      <x v="82"/>
    </i>
    <i>
      <x v="125"/>
    </i>
    <i>
      <x v="565"/>
    </i>
    <i>
      <x v="903"/>
    </i>
    <i>
      <x v="256"/>
    </i>
    <i>
      <x v="371"/>
    </i>
    <i>
      <x v="354"/>
    </i>
    <i>
      <x v="97"/>
    </i>
    <i>
      <x v="368"/>
    </i>
    <i>
      <x v="66"/>
    </i>
    <i>
      <x v="926"/>
    </i>
    <i>
      <x v="197"/>
    </i>
    <i>
      <x v="243"/>
    </i>
    <i>
      <x v="333"/>
    </i>
    <i>
      <x v="509"/>
    </i>
    <i>
      <x v="50"/>
    </i>
    <i>
      <x v="943"/>
    </i>
    <i>
      <x v="436"/>
    </i>
    <i>
      <x v="173"/>
    </i>
    <i>
      <x v="329"/>
    </i>
    <i>
      <x v="477"/>
    </i>
    <i>
      <x v="136"/>
    </i>
    <i>
      <x v="582"/>
    </i>
    <i>
      <x v="113"/>
    </i>
    <i>
      <x v="954"/>
    </i>
    <i>
      <x v="430"/>
    </i>
    <i>
      <x v="209"/>
    </i>
    <i>
      <x v="688"/>
    </i>
    <i>
      <x v="449"/>
    </i>
    <i>
      <x v="915"/>
    </i>
    <i>
      <x v="79"/>
    </i>
    <i>
      <x v="712"/>
    </i>
    <i>
      <x v="812"/>
    </i>
    <i>
      <x v="47"/>
    </i>
    <i>
      <x v="226"/>
    </i>
    <i>
      <x v="835"/>
    </i>
    <i>
      <x v="482"/>
    </i>
    <i>
      <x v="576"/>
    </i>
    <i>
      <x v="89"/>
    </i>
    <i>
      <x v="550"/>
    </i>
    <i>
      <x v="359"/>
    </i>
    <i>
      <x v="680"/>
    </i>
    <i>
      <x v="902"/>
    </i>
    <i>
      <x v="19"/>
    </i>
    <i>
      <x v="541"/>
    </i>
    <i>
      <x v="910"/>
    </i>
    <i>
      <x v="25"/>
    </i>
    <i>
      <x v="716"/>
    </i>
    <i>
      <x v="462"/>
    </i>
    <i>
      <x v="441"/>
    </i>
    <i>
      <x v="278"/>
    </i>
    <i>
      <x v="207"/>
    </i>
    <i>
      <x v="684"/>
    </i>
    <i>
      <x v="286"/>
    </i>
    <i>
      <x v="829"/>
    </i>
    <i>
      <x v="336"/>
    </i>
    <i>
      <x v="180"/>
    </i>
    <i>
      <x v="539"/>
    </i>
    <i>
      <x v="616"/>
    </i>
    <i>
      <x v="219"/>
    </i>
    <i>
      <x v="411"/>
    </i>
    <i>
      <x v="458"/>
    </i>
    <i>
      <x v="309"/>
    </i>
    <i>
      <x v="890"/>
    </i>
    <i>
      <x v="54"/>
    </i>
    <i>
      <x v="266"/>
    </i>
    <i>
      <x v="606"/>
    </i>
    <i>
      <x v="483"/>
    </i>
    <i>
      <x v="127"/>
    </i>
    <i>
      <x v="571"/>
    </i>
    <i>
      <x v="530"/>
    </i>
    <i>
      <x v="383"/>
    </i>
    <i>
      <x v="431"/>
    </i>
    <i>
      <x v="556"/>
    </i>
    <i>
      <x v="655"/>
    </i>
    <i>
      <x v="591"/>
    </i>
    <i>
      <x v="203"/>
    </i>
    <i>
      <x v="897"/>
    </i>
    <i>
      <x v="43"/>
    </i>
    <i>
      <x v="857"/>
    </i>
    <i>
      <x v="467"/>
    </i>
    <i>
      <x v="200"/>
    </i>
    <i>
      <x v="58"/>
    </i>
    <i>
      <x v="379"/>
    </i>
    <i>
      <x v="719"/>
    </i>
    <i>
      <x v="367"/>
    </i>
    <i>
      <x v="863"/>
    </i>
    <i>
      <x v="233"/>
    </i>
    <i>
      <x v="624"/>
    </i>
    <i>
      <x v="979"/>
    </i>
    <i>
      <x/>
    </i>
    <i>
      <x v="586"/>
    </i>
    <i>
      <x v="325"/>
    </i>
    <i>
      <x v="888"/>
    </i>
    <i>
      <x v="264"/>
    </i>
    <i>
      <x v="850"/>
    </i>
    <i>
      <x v="860"/>
    </i>
    <i>
      <x v="633"/>
    </i>
    <i>
      <x v="292"/>
    </i>
    <i>
      <x v="107"/>
    </i>
    <i>
      <x v="544"/>
    </i>
    <i>
      <x v="313"/>
    </i>
    <i>
      <x v="875"/>
    </i>
    <i>
      <x v="687"/>
    </i>
    <i>
      <x v="748"/>
    </i>
    <i>
      <x v="839"/>
    </i>
    <i>
      <x v="564"/>
    </i>
    <i>
      <x v="725"/>
    </i>
    <i>
      <x v="775"/>
    </i>
    <i>
      <x v="172"/>
    </i>
    <i>
      <x v="304"/>
    </i>
    <i>
      <x v="913"/>
    </i>
    <i>
      <x v="291"/>
    </i>
    <i>
      <x v="861"/>
    </i>
    <i>
      <x v="401"/>
    </i>
    <i>
      <x v="632"/>
    </i>
    <i>
      <x v="92"/>
    </i>
    <i>
      <x v="733"/>
    </i>
    <i>
      <x v="694"/>
    </i>
    <i>
      <x v="912"/>
    </i>
    <i>
      <x v="6"/>
    </i>
    <i>
      <x v="185"/>
    </i>
    <i>
      <x v="230"/>
    </i>
    <i>
      <x v="32"/>
    </i>
    <i>
      <x v="465"/>
    </i>
    <i>
      <x v="306"/>
    </i>
    <i>
      <x v="895"/>
    </i>
    <i>
      <x v="68"/>
    </i>
    <i>
      <x v="891"/>
    </i>
    <i>
      <x v="809"/>
    </i>
    <i>
      <x v="259"/>
    </i>
    <i>
      <x v="970"/>
    </i>
    <i>
      <x v="21"/>
    </i>
    <i>
      <x v="101"/>
    </i>
    <i>
      <x v="713"/>
    </i>
    <i>
      <x v="5"/>
    </i>
    <i>
      <x v="279"/>
    </i>
    <i>
      <x v="845"/>
    </i>
    <i>
      <x v="303"/>
    </i>
    <i>
      <x v="796"/>
    </i>
    <i>
      <x v="678"/>
    </i>
    <i>
      <x v="548"/>
    </i>
    <i>
      <x v="507"/>
    </i>
    <i>
      <x v="810"/>
    </i>
    <i>
      <x v="662"/>
    </i>
    <i>
      <x v="253"/>
    </i>
    <i>
      <x v="48"/>
    </i>
    <i>
      <x v="985"/>
    </i>
    <i>
      <x v="500"/>
    </i>
    <i>
      <x v="407"/>
    </i>
    <i>
      <x v="508"/>
    </i>
    <i>
      <x v="518"/>
    </i>
    <i>
      <x v="349"/>
    </i>
    <i>
      <x v="17"/>
    </i>
    <i>
      <x v="332"/>
    </i>
    <i>
      <x v="478"/>
    </i>
    <i>
      <x v="188"/>
    </i>
    <i>
      <x v="823"/>
    </i>
    <i>
      <x v="370"/>
    </i>
    <i>
      <x v="795"/>
    </i>
    <i>
      <x v="622"/>
    </i>
    <i>
      <x v="854"/>
    </i>
    <i>
      <x v="57"/>
    </i>
    <i>
      <x v="685"/>
    </i>
    <i>
      <x v="623"/>
    </i>
    <i>
      <x v="147"/>
    </i>
    <i>
      <x v="384"/>
    </i>
    <i>
      <x v="638"/>
    </i>
    <i>
      <x v="697"/>
    </i>
    <i>
      <x v="414"/>
    </i>
    <i>
      <x v="581"/>
    </i>
    <i>
      <x v="224"/>
    </i>
    <i>
      <x v="360"/>
    </i>
    <i>
      <x v="232"/>
    </i>
    <i>
      <x v="364"/>
    </i>
    <i>
      <x v="111"/>
    </i>
    <i>
      <x v="114"/>
    </i>
    <i>
      <x v="280"/>
    </i>
    <i>
      <x v="973"/>
    </i>
    <i>
      <x v="704"/>
    </i>
    <i>
      <x v="376"/>
    </i>
    <i>
      <x v="450"/>
    </i>
    <i>
      <x v="681"/>
    </i>
    <i>
      <x v="650"/>
    </i>
    <i>
      <x v="277"/>
    </i>
    <i>
      <x v="345"/>
    </i>
    <i>
      <x v="587"/>
    </i>
    <i>
      <x v="18"/>
    </i>
    <i>
      <x v="176"/>
    </i>
    <i>
      <x v="604"/>
    </i>
    <i>
      <x v="635"/>
    </i>
    <i>
      <x v="962"/>
    </i>
    <i>
      <x v="552"/>
    </i>
    <i>
      <x v="645"/>
    </i>
    <i>
      <x v="627"/>
    </i>
    <i>
      <x v="501"/>
    </i>
    <i>
      <x v="86"/>
    </i>
    <i>
      <x v="262"/>
    </i>
    <i>
      <x v="584"/>
    </i>
    <i>
      <x v="953"/>
    </i>
    <i>
      <x v="182"/>
    </i>
    <i>
      <x v="930"/>
    </i>
    <i>
      <x v="533"/>
    </i>
    <i>
      <x v="298"/>
    </i>
    <i>
      <x v="493"/>
    </i>
    <i>
      <x v="157"/>
    </i>
    <i>
      <x v="853"/>
    </i>
    <i>
      <x v="540"/>
    </i>
    <i>
      <x v="454"/>
    </i>
    <i>
      <x v="827"/>
    </i>
    <i>
      <x v="929"/>
    </i>
    <i>
      <x v="428"/>
    </i>
    <i>
      <x v="514"/>
    </i>
    <i>
      <x v="269"/>
    </i>
    <i>
      <x v="673"/>
    </i>
    <i>
      <x v="991"/>
    </i>
    <i>
      <x v="852"/>
    </i>
    <i>
      <x v="183"/>
    </i>
    <i>
      <x v="947"/>
    </i>
    <i>
      <x v="553"/>
    </i>
    <i>
      <x v="196"/>
    </i>
    <i>
      <x v="668"/>
    </i>
    <i>
      <x v="643"/>
    </i>
    <i>
      <x v="396"/>
    </i>
    <i>
      <x v="334"/>
    </i>
    <i>
      <x v="474"/>
    </i>
    <i>
      <x v="235"/>
    </i>
    <i>
      <x v="222"/>
    </i>
    <i>
      <x v="928"/>
    </i>
    <i>
      <x v="65"/>
    </i>
    <i>
      <x v="231"/>
    </i>
    <i>
      <x v="510"/>
    </i>
    <i>
      <x v="479"/>
    </i>
    <i>
      <x v="711"/>
    </i>
    <i>
      <x v="754"/>
    </i>
    <i>
      <x v="121"/>
    </i>
    <i>
      <x v="252"/>
    </i>
    <i>
      <x v="871"/>
    </i>
    <i>
      <x v="517"/>
    </i>
    <i>
      <x v="524"/>
    </i>
    <i>
      <x v="281"/>
    </i>
    <i>
      <x v="901"/>
    </i>
    <i>
      <x v="511"/>
    </i>
    <i>
      <x v="300"/>
    </i>
    <i>
      <x v="312"/>
    </i>
    <i>
      <x v="13"/>
    </i>
    <i>
      <x v="342"/>
    </i>
    <i>
      <x v="132"/>
    </i>
    <i>
      <x v="967"/>
    </i>
    <i>
      <x v="738"/>
    </i>
    <i>
      <x v="935"/>
    </i>
    <i>
      <x v="784"/>
    </i>
    <i>
      <x v="426"/>
    </i>
    <i>
      <x v="729"/>
    </i>
    <i>
      <x v="808"/>
    </i>
    <i>
      <x v="984"/>
    </i>
    <i>
      <x v="599"/>
    </i>
    <i>
      <x v="181"/>
    </i>
    <i>
      <x v="257"/>
    </i>
    <i>
      <x v="323"/>
    </i>
    <i>
      <x v="706"/>
    </i>
    <i>
      <x v="434"/>
    </i>
    <i>
      <x v="130"/>
    </i>
    <i>
      <x v="813"/>
    </i>
    <i>
      <x v="909"/>
    </i>
    <i>
      <x v="747"/>
    </i>
    <i>
      <x v="394"/>
    </i>
    <i>
      <x v="418"/>
    </i>
    <i>
      <x v="421"/>
    </i>
    <i>
      <x v="628"/>
    </i>
    <i>
      <x v="739"/>
    </i>
    <i>
      <x v="717"/>
    </i>
    <i>
      <x v="118"/>
    </i>
    <i>
      <x v="290"/>
    </i>
    <i>
      <x v="96"/>
    </i>
    <i>
      <x v="380"/>
    </i>
    <i>
      <x v="444"/>
    </i>
    <i>
      <x v="120"/>
    </i>
    <i>
      <x v="780"/>
    </i>
    <i>
      <x v="103"/>
    </i>
    <i>
      <x v="608"/>
    </i>
    <i>
      <x v="707"/>
    </i>
    <i>
      <x v="275"/>
    </i>
    <i>
      <x v="528"/>
    </i>
    <i>
      <x v="940"/>
    </i>
    <i>
      <x v="117"/>
    </i>
    <i>
      <x v="819"/>
    </i>
    <i>
      <x v="26"/>
    </i>
    <i>
      <x v="963"/>
    </i>
    <i>
      <x v="907"/>
    </i>
    <i>
      <x v="659"/>
    </i>
    <i>
      <x v="194"/>
    </i>
    <i>
      <x v="15"/>
    </i>
    <i>
      <x v="558"/>
    </i>
    <i>
      <x v="84"/>
    </i>
    <i>
      <x v="295"/>
    </i>
    <i>
      <x v="793"/>
    </i>
    <i>
      <x v="44"/>
    </i>
    <i>
      <x v="251"/>
    </i>
    <i>
      <x v="296"/>
    </i>
    <i>
      <x v="522"/>
    </i>
    <i>
      <x v="362"/>
    </i>
    <i>
      <x v="740"/>
    </i>
    <i>
      <x v="432"/>
    </i>
    <i>
      <x v="184"/>
    </i>
    <i>
      <x v="377"/>
    </i>
    <i>
      <x v="672"/>
    </i>
    <i>
      <x v="708"/>
    </i>
    <i>
      <x v="578"/>
    </i>
    <i>
      <x v="100"/>
    </i>
    <i>
      <x v="338"/>
    </i>
    <i>
      <x v="742"/>
    </i>
    <i>
      <x v="242"/>
    </i>
    <i>
      <x v="683"/>
    </i>
    <i>
      <x v="904"/>
    </i>
    <i>
      <x v="592"/>
    </i>
    <i>
      <x v="241"/>
    </i>
    <i>
      <x v="856"/>
    </i>
    <i>
      <x v="170"/>
    </i>
    <i>
      <x v="413"/>
    </i>
    <i>
      <x v="250"/>
    </i>
    <i>
      <x v="315"/>
    </i>
    <i>
      <x v="925"/>
    </i>
    <i>
      <x v="74"/>
    </i>
    <i>
      <x v="512"/>
    </i>
    <i>
      <x v="663"/>
    </i>
    <i>
      <x v="620"/>
    </i>
    <i>
      <x v="480"/>
    </i>
    <i>
      <x v="820"/>
    </i>
    <i>
      <x v="106"/>
    </i>
    <i>
      <x v="148"/>
    </i>
    <i>
      <x v="59"/>
    </i>
    <i>
      <x v="525"/>
    </i>
    <i>
      <x v="846"/>
    </i>
    <i>
      <x v="898"/>
    </i>
    <i>
      <x v="263"/>
    </i>
    <i>
      <x v="171"/>
    </i>
    <i>
      <x v="583"/>
    </i>
    <i>
      <x v="140"/>
    </i>
    <i>
      <x v="722"/>
    </i>
    <i>
      <x v="112"/>
    </i>
    <i>
      <x v="642"/>
    </i>
    <i>
      <x v="324"/>
    </i>
    <i>
      <x v="357"/>
    </i>
    <i>
      <x v="555"/>
    </i>
    <i>
      <x v="536"/>
    </i>
    <i>
      <x v="504"/>
    </i>
    <i>
      <x v="654"/>
    </i>
    <i>
      <x v="619"/>
    </i>
    <i>
      <x v="705"/>
    </i>
    <i>
      <x v="798"/>
    </i>
    <i>
      <x v="726"/>
    </i>
    <i>
      <x v="987"/>
    </i>
    <i>
      <x v="731"/>
    </i>
    <i>
      <x v="466"/>
    </i>
    <i>
      <x v="814"/>
    </i>
    <i>
      <x v="958"/>
    </i>
    <i>
      <x v="727"/>
    </i>
    <i>
      <x v="142"/>
    </i>
    <i>
      <x v="22"/>
    </i>
    <i>
      <x v="353"/>
    </i>
    <i>
      <x v="420"/>
    </i>
    <i>
      <x v="186"/>
    </i>
    <i>
      <x v="974"/>
    </i>
    <i>
      <x v="271"/>
    </i>
    <i>
      <x v="537"/>
    </i>
    <i>
      <x v="601"/>
    </i>
    <i>
      <x v="938"/>
    </i>
    <i>
      <x v="538"/>
    </i>
    <i>
      <x v="108"/>
    </i>
    <i>
      <x v="260"/>
    </i>
    <i>
      <x v="502"/>
    </i>
    <i>
      <x v="968"/>
    </i>
    <i>
      <x v="179"/>
    </i>
    <i>
      <x v="774"/>
    </i>
    <i>
      <x v="340"/>
    </i>
    <i>
      <x v="285"/>
    </i>
    <i>
      <x v="443"/>
    </i>
    <i>
      <x v="613"/>
    </i>
    <i>
      <x v="273"/>
    </i>
    <i>
      <x v="305"/>
    </i>
    <i>
      <x v="484"/>
    </i>
    <i>
      <x v="28"/>
    </i>
    <i>
      <x v="892"/>
    </i>
    <i>
      <x v="326"/>
    </i>
    <i>
      <x v="761"/>
    </i>
    <i>
      <x v="834"/>
    </i>
    <i>
      <x v="80"/>
    </i>
    <i>
      <x v="801"/>
    </i>
    <i>
      <x v="327"/>
    </i>
    <i>
      <x v="77"/>
    </i>
    <i>
      <x v="339"/>
    </i>
    <i>
      <x v="94"/>
    </i>
    <i>
      <x v="422"/>
    </i>
    <i>
      <x v="757"/>
    </i>
    <i>
      <x v="848"/>
    </i>
    <i>
      <x v="221"/>
    </i>
    <i>
      <x v="102"/>
    </i>
    <i>
      <x v="161"/>
    </i>
    <i>
      <x v="825"/>
    </i>
    <i>
      <x v="193"/>
    </i>
    <i>
      <x v="168"/>
    </i>
    <i>
      <x v="216"/>
    </i>
    <i>
      <x v="38"/>
    </i>
    <i>
      <x v="481"/>
    </i>
    <i>
      <x v="276"/>
    </i>
    <i>
      <x v="881"/>
    </i>
    <i>
      <x v="765"/>
    </i>
    <i>
      <x v="610"/>
    </i>
    <i>
      <x v="352"/>
    </i>
    <i>
      <x v="321"/>
    </i>
    <i>
      <x v="751"/>
    </i>
    <i>
      <x v="287"/>
    </i>
    <i>
      <x v="626"/>
    </i>
    <i>
      <x v="452"/>
    </i>
    <i>
      <x v="872"/>
    </i>
    <i>
      <x v="473"/>
    </i>
    <i>
      <x v="228"/>
    </i>
    <i>
      <x v="661"/>
    </i>
    <i>
      <x v="405"/>
    </i>
    <i>
      <x v="116"/>
    </i>
    <i>
      <x v="60"/>
    </i>
    <i>
      <x v="612"/>
    </i>
    <i>
      <x v="388"/>
    </i>
    <i>
      <x v="657"/>
    </i>
    <i>
      <x v="53"/>
    </i>
    <i>
      <x v="115"/>
    </i>
    <i>
      <x v="49"/>
    </i>
    <i>
      <x v="258"/>
    </i>
    <i>
      <x v="236"/>
    </i>
    <i>
      <x v="531"/>
    </i>
    <i>
      <x v="993"/>
    </i>
    <i>
      <x v="404"/>
    </i>
    <i>
      <x v="721"/>
    </i>
    <i>
      <x v="617"/>
    </i>
    <i>
      <x v="105"/>
    </i>
    <i>
      <x v="485"/>
    </i>
    <i>
      <x v="951"/>
    </i>
    <i>
      <x v="549"/>
    </i>
    <i>
      <x v="874"/>
    </i>
    <i>
      <x v="900"/>
    </i>
    <i>
      <x v="437"/>
    </i>
    <i>
      <x v="648"/>
    </i>
    <i>
      <x v="976"/>
    </i>
    <i>
      <x v="811"/>
    </i>
    <i>
      <x v="265"/>
    </i>
    <i>
      <x v="664"/>
    </i>
    <i>
      <x v="728"/>
    </i>
    <i>
      <x v="402"/>
    </i>
    <i>
      <x v="734"/>
    </i>
    <i>
      <x v="559"/>
    </i>
    <i>
      <x v="593"/>
    </i>
    <i>
      <x v="476"/>
    </i>
    <i>
      <x v="214"/>
    </i>
    <i>
      <x v="459"/>
    </i>
    <i>
      <x v="375"/>
    </i>
    <i>
      <x v="675"/>
    </i>
    <i>
      <x v="30"/>
    </i>
    <i>
      <x v="773"/>
    </i>
    <i>
      <x v="361"/>
    </i>
    <i>
      <x v="71"/>
    </i>
    <i>
      <x v="764"/>
    </i>
    <i>
      <x v="516"/>
    </i>
    <i>
      <x v="806"/>
    </i>
    <i>
      <x v="982"/>
    </i>
    <i>
      <x v="494"/>
    </i>
    <i>
      <x v="964"/>
    </i>
    <i>
      <x v="314"/>
    </i>
    <i>
      <x v="933"/>
    </i>
    <i>
      <x v="93"/>
    </i>
    <i>
      <x v="460"/>
    </i>
    <i>
      <x v="551"/>
    </i>
    <i>
      <x v="308"/>
    </i>
    <i>
      <x v="322"/>
    </i>
    <i>
      <x v="192"/>
    </i>
    <i>
      <x v="961"/>
    </i>
    <i>
      <x v="660"/>
    </i>
    <i>
      <x v="759"/>
    </i>
    <i>
      <x v="732"/>
    </i>
    <i>
      <x v="625"/>
    </i>
    <i>
      <x v="27"/>
    </i>
    <i>
      <x v="8"/>
    </i>
    <i>
      <x v="210"/>
    </i>
    <i>
      <x v="139"/>
    </i>
    <i>
      <x v="786"/>
    </i>
    <i>
      <x v="283"/>
    </i>
    <i>
      <x v="752"/>
    </i>
    <i>
      <x v="513"/>
    </i>
    <i>
      <x v="346"/>
    </i>
    <i>
      <x v="799"/>
    </i>
    <i>
      <x v="607"/>
    </i>
    <i>
      <x v="129"/>
    </i>
    <i>
      <x v="843"/>
    </i>
    <i>
      <x v="341"/>
    </i>
    <i>
      <x v="641"/>
    </i>
    <i>
      <x v="204"/>
    </i>
    <i>
      <x v="156"/>
    </i>
    <i>
      <x v="492"/>
    </i>
    <i>
      <x v="750"/>
    </i>
    <i>
      <x v="611"/>
    </i>
    <i>
      <x v="521"/>
    </i>
    <i>
      <x v="406"/>
    </i>
    <i>
      <x v="403"/>
    </i>
    <i>
      <x v="679"/>
    </i>
    <i>
      <x v="640"/>
    </i>
    <i>
      <x v="36"/>
    </i>
    <i>
      <x v="543"/>
    </i>
    <i>
      <x v="756"/>
    </i>
    <i>
      <x v="975"/>
    </i>
    <i>
      <x v="989"/>
    </i>
    <i>
      <x v="794"/>
    </i>
    <i>
      <x v="151"/>
    </i>
    <i>
      <x v="887"/>
    </i>
    <i>
      <x v="579"/>
    </i>
    <i>
      <x v="126"/>
    </i>
    <i>
      <x v="487"/>
    </i>
    <i>
      <x v="631"/>
    </i>
    <i>
      <x v="990"/>
    </i>
    <i>
      <x v="692"/>
    </i>
    <i>
      <x v="95"/>
    </i>
    <i>
      <x v="12"/>
    </i>
    <i>
      <x v="529"/>
    </i>
    <i>
      <x v="63"/>
    </i>
    <i>
      <x v="995"/>
    </i>
    <i>
      <x v="698"/>
    </i>
    <i>
      <x v="463"/>
    </i>
    <i>
      <x v="724"/>
    </i>
    <i>
      <x v="73"/>
    </i>
    <i>
      <x v="9"/>
    </i>
    <i>
      <x v="355"/>
    </i>
    <i>
      <x v="164"/>
    </i>
    <i>
      <x v="703"/>
    </i>
    <i>
      <x v="133"/>
    </i>
    <i>
      <x v="545"/>
    </i>
    <i>
      <x v="755"/>
    </i>
    <i>
      <x v="348"/>
    </i>
    <i>
      <x v="498"/>
    </i>
    <i>
      <x v="595"/>
    </i>
    <i>
      <x v="497"/>
    </i>
    <i>
      <x v="366"/>
    </i>
    <i>
      <x v="302"/>
    </i>
    <i>
      <x v="206"/>
    </i>
    <i>
      <x v="199"/>
    </i>
    <i>
      <x v="526"/>
    </i>
    <i>
      <x v="833"/>
    </i>
    <i>
      <x v="966"/>
    </i>
    <i>
      <x v="408"/>
    </i>
    <i>
      <x v="777"/>
    </i>
    <i>
      <x v="468"/>
    </i>
    <i>
      <x v="190"/>
    </i>
    <i>
      <x v="244"/>
    </i>
    <i>
      <x v="917"/>
    </i>
    <i>
      <x v="766"/>
    </i>
    <i>
      <x v="134"/>
    </i>
    <i>
      <x v="567"/>
    </i>
    <i>
      <x v="670"/>
    </i>
    <i>
      <x v="656"/>
    </i>
    <i>
      <x v="350"/>
    </i>
    <i>
      <x v="445"/>
    </i>
    <i>
      <x v="159"/>
    </i>
    <i>
      <x v="937"/>
    </i>
    <i>
      <x v="769"/>
    </i>
    <i>
      <x v="191"/>
    </i>
    <i>
      <x v="563"/>
    </i>
    <i>
      <x v="542"/>
    </i>
    <i>
      <x v="45"/>
    </i>
    <i>
      <x v="824"/>
    </i>
    <i>
      <x v="169"/>
    </i>
    <i>
      <x v="557"/>
    </i>
    <i>
      <x v="831"/>
    </i>
    <i>
      <x v="76"/>
    </i>
    <i>
      <x v="218"/>
    </i>
    <i>
      <x v="864"/>
    </i>
    <i>
      <x v="387"/>
    </i>
    <i>
      <x v="153"/>
    </i>
    <i>
      <x v="98"/>
    </i>
    <i>
      <x v="423"/>
    </i>
    <i>
      <x v="949"/>
    </i>
    <i>
      <x v="858"/>
    </i>
    <i>
      <x v="737"/>
    </i>
    <i>
      <x v="104"/>
    </i>
    <i>
      <x v="983"/>
    </i>
    <i>
      <x v="568"/>
    </i>
    <i>
      <x v="123"/>
    </i>
    <i>
      <x v="849"/>
    </i>
    <i>
      <x v="23"/>
    </i>
    <i>
      <x v="866"/>
    </i>
    <i>
      <x v="855"/>
    </i>
    <i>
      <x v="160"/>
    </i>
    <i>
      <x v="16"/>
    </i>
    <i>
      <x v="67"/>
    </i>
    <i>
      <x v="791"/>
    </i>
    <i>
      <x v="223"/>
    </i>
    <i>
      <x v="894"/>
    </i>
    <i>
      <x v="78"/>
    </i>
    <i>
      <x v="621"/>
    </i>
    <i>
      <x v="24"/>
    </i>
    <i>
      <x v="520"/>
    </i>
    <i>
      <x v="893"/>
    </i>
    <i>
      <x v="208"/>
    </i>
    <i>
      <x v="55"/>
    </i>
    <i>
      <x v="883"/>
    </i>
    <i>
      <x v="294"/>
    </i>
    <i>
      <x v="335"/>
    </i>
    <i>
      <x v="971"/>
    </i>
    <i>
      <x v="955"/>
    </i>
    <i>
      <x v="762"/>
    </i>
    <i>
      <x v="217"/>
    </i>
    <i>
      <x v="229"/>
    </i>
    <i>
      <x v="702"/>
    </i>
    <i>
      <x v="109"/>
    </i>
    <i>
      <x v="457"/>
    </i>
    <i>
      <x v="347"/>
    </i>
    <i>
      <x v="914"/>
    </i>
    <i>
      <x v="785"/>
    </i>
    <i>
      <x v="778"/>
    </i>
    <i>
      <x v="249"/>
    </i>
    <i>
      <x v="37"/>
    </i>
    <i>
      <x v="438"/>
    </i>
    <i>
      <x v="988"/>
    </i>
    <i>
      <x v="992"/>
    </i>
    <i>
      <x v="31"/>
    </i>
    <i>
      <x v="870"/>
    </i>
    <i>
      <x v="743"/>
    </i>
    <i>
      <x v="137"/>
    </i>
    <i>
      <x v="392"/>
    </i>
    <i>
      <x v="838"/>
    </i>
    <i>
      <x v="792"/>
    </i>
    <i>
      <x v="804"/>
    </i>
    <i>
      <x v="753"/>
    </i>
    <i>
      <x v="344"/>
    </i>
    <i>
      <x v="693"/>
    </i>
    <i>
      <x v="14"/>
    </i>
    <i>
      <x v="585"/>
    </i>
    <i>
      <x v="155"/>
    </i>
    <i>
      <x v="527"/>
    </i>
    <i>
      <x v="174"/>
    </i>
    <i>
      <x v="554"/>
    </i>
    <i>
      <x v="165"/>
    </i>
    <i>
      <x v="439"/>
    </i>
    <i>
      <x v="56"/>
    </i>
    <i>
      <x v="7"/>
    </i>
    <i>
      <x v="735"/>
    </i>
    <i>
      <x v="574"/>
    </i>
    <i>
      <x v="245"/>
    </i>
    <i>
      <x v="832"/>
    </i>
    <i>
      <x v="652"/>
    </i>
    <i>
      <x v="691"/>
    </i>
    <i>
      <x v="922"/>
    </i>
    <i>
      <x v="589"/>
    </i>
    <i>
      <x v="803"/>
    </i>
    <i>
      <x v="351"/>
    </i>
    <i>
      <x v="523"/>
    </i>
    <i>
      <x v="154"/>
    </i>
    <i>
      <x v="911"/>
    </i>
    <i>
      <x v="547"/>
    </i>
    <i>
      <x v="75"/>
    </i>
    <i>
      <x v="936"/>
    </i>
    <i>
      <x v="158"/>
    </i>
    <i>
      <x v="598"/>
    </i>
    <i>
      <x v="602"/>
    </i>
    <i>
      <x v="261"/>
    </i>
    <i>
      <x v="201"/>
    </i>
    <i>
      <x v="440"/>
    </i>
    <i>
      <x v="980"/>
    </i>
    <i>
      <x v="699"/>
    </i>
    <i>
      <x v="274"/>
    </i>
    <i>
      <x v="240"/>
    </i>
    <i>
      <x v="215"/>
    </i>
    <i>
      <x v="515"/>
    </i>
    <i>
      <x v="163"/>
    </i>
    <i>
      <x v="965"/>
    </i>
    <i>
      <x v="741"/>
    </i>
    <i>
      <x v="211"/>
    </i>
    <i>
      <x v="212"/>
    </i>
    <i>
      <x v="790"/>
    </i>
    <i>
      <x v="41"/>
    </i>
    <i>
      <x v="837"/>
    </i>
    <i>
      <x v="841"/>
    </i>
    <i>
      <x v="447"/>
    </i>
    <i>
      <x v="356"/>
    </i>
    <i>
      <x v="609"/>
    </i>
    <i>
      <x v="767"/>
    </i>
    <i>
      <x v="876"/>
    </i>
    <i>
      <x v="34"/>
    </i>
    <i>
      <x v="395"/>
    </i>
    <i>
      <x v="4"/>
    </i>
    <i>
      <x v="486"/>
    </i>
    <i>
      <x v="758"/>
    </i>
    <i>
      <x v="417"/>
    </i>
    <i>
      <x v="415"/>
    </i>
    <i>
      <x v="918"/>
    </i>
    <i>
      <x v="788"/>
    </i>
    <i>
      <x v="64"/>
    </i>
    <i>
      <x v="448"/>
    </i>
    <i>
      <x v="442"/>
    </i>
    <i>
      <x v="844"/>
    </i>
    <i>
      <x v="297"/>
    </i>
    <i>
      <x v="254"/>
    </i>
    <i>
      <x v="152"/>
    </i>
    <i>
      <x v="736"/>
    </i>
    <i>
      <x v="234"/>
    </i>
    <i>
      <x v="859"/>
    </i>
    <i>
      <x v="919"/>
    </i>
    <i>
      <x v="789"/>
    </i>
    <i>
      <x v="128"/>
    </i>
    <i>
      <x v="720"/>
    </i>
    <i>
      <x v="398"/>
    </i>
    <i>
      <x v="52"/>
    </i>
    <i>
      <x v="145"/>
    </i>
    <i>
      <x v="644"/>
    </i>
    <i>
      <x v="815"/>
    </i>
    <i>
      <x v="939"/>
    </i>
    <i>
      <x v="575"/>
    </i>
    <i>
      <x v="491"/>
    </i>
    <i>
      <x v="464"/>
    </i>
    <i>
      <x v="372"/>
    </i>
    <i>
      <x v="772"/>
    </i>
    <i>
      <x v="62"/>
    </i>
    <i>
      <x v="771"/>
    </i>
    <i>
      <x v="896"/>
    </i>
    <i>
      <x v="178"/>
    </i>
    <i>
      <x v="634"/>
    </i>
    <i>
      <x v="572"/>
    </i>
    <i>
      <x v="471"/>
    </i>
    <i>
      <x v="175"/>
    </i>
    <i>
      <x v="630"/>
    </i>
    <i>
      <x v="146"/>
    </i>
    <i>
      <x v="534"/>
    </i>
    <i>
      <x v="782"/>
    </i>
    <i>
      <x v="816"/>
    </i>
    <i>
      <x v="760"/>
    </i>
    <i>
      <x v="385"/>
    </i>
    <i>
      <x v="836"/>
    </i>
    <i>
      <x v="239"/>
    </i>
    <i>
      <x v="647"/>
    </i>
    <i>
      <x v="945"/>
    </i>
    <i>
      <x v="390"/>
    </i>
    <i>
      <x v="46"/>
    </i>
    <i>
      <x v="238"/>
    </i>
    <i>
      <x v="840"/>
    </i>
    <i>
      <x v="456"/>
    </i>
    <i>
      <x v="596"/>
    </i>
    <i>
      <x v="830"/>
    </i>
    <i>
      <x v="882"/>
    </i>
    <i>
      <x v="807"/>
    </i>
    <i>
      <x v="906"/>
    </i>
    <i>
      <x v="363"/>
    </i>
    <i>
      <x v="70"/>
    </i>
    <i>
      <x v="781"/>
    </i>
    <i>
      <x v="535"/>
    </i>
    <i>
      <x v="952"/>
    </i>
    <i>
      <x v="862"/>
    </i>
    <i>
      <x v="162"/>
    </i>
    <i>
      <x v="908"/>
    </i>
    <i>
      <x v="499"/>
    </i>
    <i>
      <x v="649"/>
    </i>
    <i>
      <x v="205"/>
    </i>
    <i>
      <x v="246"/>
    </i>
    <i>
      <x v="677"/>
    </i>
    <i>
      <x v="227"/>
    </i>
    <i>
      <x v="72"/>
    </i>
    <i>
      <x v="288"/>
    </i>
    <i>
      <x v="519"/>
    </i>
    <i>
      <x v="505"/>
    </i>
    <i>
      <x v="763"/>
    </i>
    <i>
      <x v="709"/>
    </i>
    <i>
      <x v="822"/>
    </i>
    <i>
      <x v="138"/>
    </i>
    <i>
      <x v="489"/>
    </i>
    <i>
      <x v="868"/>
    </i>
    <i>
      <x v="570"/>
    </i>
    <i>
      <x v="381"/>
    </i>
    <i>
      <x v="272"/>
    </i>
    <i>
      <x v="770"/>
    </i>
    <i>
      <x v="83"/>
    </i>
    <i>
      <x v="320"/>
    </i>
    <i>
      <x v="247"/>
    </i>
    <i>
      <x v="671"/>
    </i>
    <i>
      <x v="614"/>
    </i>
    <i>
      <x v="110"/>
    </i>
    <i>
      <x v="319"/>
    </i>
    <i>
      <x v="588"/>
    </i>
    <i>
      <x v="873"/>
    </i>
    <i>
      <x v="10"/>
    </i>
    <i>
      <x v="429"/>
    </i>
    <i>
      <x v="884"/>
    </i>
    <i>
      <x v="149"/>
    </i>
    <i>
      <x v="977"/>
    </i>
    <i>
      <x v="927"/>
    </i>
    <i>
      <x v="400"/>
    </i>
    <i>
      <x v="665"/>
    </i>
    <i>
      <x v="416"/>
    </i>
    <i>
      <x v="237"/>
    </i>
    <i>
      <x v="268"/>
    </i>
    <i>
      <x v="87"/>
    </i>
    <i>
      <x v="318"/>
    </i>
    <i>
      <x v="969"/>
    </i>
    <i>
      <x v="880"/>
    </i>
    <i>
      <x v="690"/>
    </i>
    <i>
      <x v="696"/>
    </i>
    <i>
      <x v="496"/>
    </i>
    <i>
      <x v="198"/>
    </i>
    <i>
      <x v="490"/>
    </i>
    <i>
      <x v="382"/>
    </i>
    <i>
      <x v="248"/>
    </i>
    <i>
      <x v="942"/>
    </i>
    <i>
      <x v="289"/>
    </i>
    <i>
      <x v="916"/>
    </i>
    <i>
      <x v="391"/>
    </i>
    <i>
      <x v="461"/>
    </i>
    <i>
      <x v="35"/>
    </i>
    <i>
      <x v="409"/>
    </i>
    <i>
      <x v="33"/>
    </i>
    <i>
      <x v="783"/>
    </i>
    <i>
      <x v="81"/>
    </i>
    <i>
      <x v="51"/>
    </i>
    <i>
      <x v="573"/>
    </i>
    <i>
      <x v="446"/>
    </i>
    <i>
      <x v="166"/>
    </i>
    <i>
      <x v="674"/>
    </i>
    <i>
      <x v="88"/>
    </i>
    <i>
      <x v="560"/>
    </i>
    <i>
      <x v="412"/>
    </i>
    <i>
      <x v="695"/>
    </i>
    <i>
      <x v="124"/>
    </i>
    <i>
      <x v="3"/>
    </i>
    <i>
      <x v="532"/>
    </i>
    <i>
      <x v="934"/>
    </i>
    <i>
      <x v="847"/>
    </i>
    <i>
      <x v="590"/>
    </i>
    <i>
      <x v="629"/>
    </i>
    <i>
      <x v="119"/>
    </i>
    <i>
      <x v="603"/>
    </i>
    <i>
      <x v="90"/>
    </i>
    <i>
      <x v="475"/>
    </i>
    <i>
      <x v="310"/>
    </i>
    <i>
      <x v="99"/>
    </i>
    <i>
      <x v="389"/>
    </i>
    <i>
      <x v="600"/>
    </i>
    <i>
      <x v="301"/>
    </i>
    <i>
      <x v="141"/>
    </i>
    <i>
      <x v="472"/>
    </i>
    <i>
      <x v="20"/>
    </i>
    <i>
      <x v="865"/>
    </i>
    <i>
      <x v="899"/>
    </i>
    <i>
      <x v="797"/>
    </i>
    <i>
      <x v="569"/>
    </i>
    <i>
      <x v="960"/>
    </i>
    <i>
      <x v="202"/>
    </i>
    <i>
      <x v="921"/>
    </i>
    <i>
      <x v="299"/>
    </i>
    <i>
      <x v="91"/>
    </i>
    <i>
      <x v="488"/>
    </i>
    <i>
      <x v="213"/>
    </i>
    <i>
      <x v="307"/>
    </i>
    <i>
      <x v="369"/>
    </i>
    <i>
      <x v="167"/>
    </i>
    <i>
      <x v="877"/>
    </i>
    <i>
      <x v="577"/>
    </i>
    <i>
      <x v="2"/>
    </i>
    <i>
      <x v="867"/>
    </i>
    <i>
      <x v="805"/>
    </i>
    <i>
      <x v="469"/>
    </i>
    <i>
      <x v="959"/>
    </i>
    <i>
      <x v="718"/>
    </i>
    <i>
      <x v="986"/>
    </i>
    <i>
      <x v="818"/>
    </i>
    <i>
      <x v="386"/>
    </i>
    <i>
      <x v="284"/>
    </i>
    <i>
      <x v="700"/>
    </i>
    <i>
      <x v="328"/>
    </i>
    <i>
      <x v="378"/>
    </i>
    <i>
      <x v="495"/>
    </i>
    <i>
      <x v="317"/>
    </i>
    <i>
      <x v="605"/>
    </i>
    <i>
      <x v="667"/>
    </i>
    <i>
      <x v="225"/>
    </i>
    <i>
      <x v="470"/>
    </i>
    <i>
      <x v="410"/>
    </i>
    <i>
      <x v="85"/>
    </i>
    <i>
      <x v="453"/>
    </i>
    <i>
      <x v="122"/>
    </i>
    <i>
      <x v="561"/>
    </i>
    <i>
      <x v="220"/>
    </i>
    <i>
      <x v="427"/>
    </i>
    <i>
      <x v="931"/>
    </i>
    <i>
      <x v="851"/>
    </i>
    <i>
      <x v="842"/>
    </i>
    <i>
      <x v="669"/>
    </i>
    <i>
      <x v="689"/>
    </i>
    <i>
      <x v="676"/>
    </i>
    <i>
      <x v="879"/>
    </i>
    <i>
      <x v="594"/>
    </i>
    <i>
      <x v="776"/>
    </i>
    <i>
      <x v="886"/>
    </i>
    <i>
      <x v="39"/>
    </i>
    <i>
      <x v="905"/>
    </i>
    <i>
      <x v="150"/>
    </i>
    <i>
      <x v="255"/>
    </i>
    <i>
      <x v="682"/>
    </i>
    <i>
      <x v="950"/>
    </i>
    <i>
      <x v="374"/>
    </i>
    <i>
      <x v="636"/>
    </i>
    <i>
      <x v="828"/>
    </i>
    <i>
      <x v="69"/>
    </i>
    <i>
      <x v="177"/>
    </i>
    <i>
      <x v="455"/>
    </i>
    <i>
      <x v="787"/>
    </i>
    <i>
      <x v="889"/>
    </i>
    <i>
      <x v="282"/>
    </i>
    <i>
      <x v="994"/>
    </i>
    <i>
      <x v="397"/>
    </i>
    <i>
      <x v="143"/>
    </i>
    <i>
      <x v="714"/>
    </i>
    <i>
      <x v="646"/>
    </i>
    <i>
      <x v="29"/>
    </i>
    <i>
      <x v="658"/>
    </i>
    <i>
      <x v="653"/>
    </i>
    <i>
      <x v="546"/>
    </i>
    <i>
      <x v="506"/>
    </i>
    <i>
      <x v="826"/>
    </i>
    <i>
      <x v="365"/>
    </i>
    <i>
      <x v="358"/>
    </i>
    <i>
      <x v="435"/>
    </i>
    <i>
      <x v="503"/>
    </i>
    <i>
      <x v="580"/>
    </i>
    <i>
      <x v="802"/>
    </i>
    <i>
      <x v="419"/>
    </i>
    <i>
      <x v="618"/>
    </i>
    <i>
      <x v="920"/>
    </i>
    <i>
      <x v="779"/>
    </i>
    <i>
      <x v="424"/>
    </i>
    <i>
      <x v="701"/>
    </i>
    <i>
      <x v="946"/>
    </i>
    <i>
      <x v="744"/>
    </i>
    <i>
      <x v="195"/>
    </i>
    <i>
      <x v="562"/>
    </i>
    <i>
      <x v="597"/>
    </i>
    <i>
      <x v="885"/>
    </i>
    <i>
      <x v="957"/>
    </i>
    <i>
      <x v="311"/>
    </i>
    <i>
      <x v="746"/>
    </i>
    <i>
      <x v="639"/>
    </i>
    <i>
      <x v="399"/>
    </i>
    <i>
      <x v="932"/>
    </i>
    <i>
      <x v="651"/>
    </i>
    <i>
      <x v="924"/>
    </i>
    <i>
      <x v="666"/>
    </i>
    <i>
      <x v="40"/>
    </i>
    <i>
      <x v="972"/>
    </i>
    <i>
      <x v="948"/>
    </i>
    <i>
      <x v="869"/>
    </i>
    <i>
      <x v="978"/>
    </i>
    <i>
      <x v="817"/>
    </i>
    <i>
      <x v="686"/>
    </i>
    <i>
      <x v="941"/>
    </i>
    <i>
      <x v="337"/>
    </i>
    <i>
      <x v="293"/>
    </i>
    <i>
      <x v="451"/>
    </i>
    <i>
      <x v="723"/>
    </i>
    <i>
      <x v="131"/>
    </i>
    <i>
      <x v="393"/>
    </i>
    <i>
      <x v="878"/>
    </i>
    <i>
      <x v="61"/>
    </i>
    <i>
      <x v="730"/>
    </i>
    <i>
      <x v="923"/>
    </i>
    <i>
      <x v="373"/>
    </i>
    <i>
      <x v="1"/>
    </i>
    <i>
      <x v="749"/>
    </i>
    <i>
      <x v="821"/>
    </i>
    <i>
      <x v="343"/>
    </i>
    <i>
      <x v="425"/>
    </i>
    <i>
      <x v="715"/>
    </i>
    <i>
      <x v="42"/>
    </i>
    <i>
      <x v="800"/>
    </i>
    <i>
      <x v="981"/>
    </i>
    <i>
      <x v="187"/>
    </i>
    <i>
      <x v="11"/>
    </i>
    <i>
      <x v="637"/>
    </i>
    <i>
      <x v="710"/>
    </i>
    <i>
      <x v="768"/>
    </i>
    <i>
      <x v="267"/>
    </i>
    <i>
      <x v="433"/>
    </i>
    <i>
      <x v="189"/>
    </i>
    <i>
      <x v="331"/>
    </i>
    <i>
      <x v="135"/>
    </i>
    <i>
      <x v="745"/>
    </i>
    <i>
      <x v="270"/>
    </i>
    <i>
      <x v="566"/>
    </i>
    <i>
      <x v="316"/>
    </i>
    <i>
      <x v="615"/>
    </i>
    <i>
      <x v="956"/>
    </i>
    <i>
      <x v="144"/>
    </i>
  </rowItems>
  <colFields count="1">
    <field x="-2"/>
  </colFields>
  <colItems count="3">
    <i>
      <x/>
    </i>
    <i i="1">
      <x v="1"/>
    </i>
    <i i="2">
      <x v="2"/>
    </i>
  </colItems>
  <dataFields count="3">
    <dataField name="Sum of Revenue" fld="5" baseField="1" baseItem="0" numFmtId="3"/>
    <dataField name="Sum of Profits" fld="6" baseField="1" baseItem="0" numFmtId="3"/>
    <dataField name="Sum of Employees" fld="7"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Industry" sourceName="Industry">
  <pivotTables>
    <pivotTable tabId="2" name="PivotTable1"/>
    <pivotTable tabId="2" name="PivotTable2"/>
    <pivotTable tabId="2" name="PivotTable20"/>
    <pivotTable tabId="4" name="PivotTable21"/>
    <pivotTable tabId="4" name="PivotTable22"/>
    <pivotTable tabId="3" name="PivotTable3"/>
    <pivotTable tabId="2" name="PivotTable23"/>
  </pivotTables>
  <data>
    <tabular pivotCacheId="1897535233">
      <items count="73">
        <i x="56" s="1"/>
        <i x="15" s="1"/>
        <i x="36" s="1"/>
        <i x="40" s="1"/>
        <i x="52" s="1"/>
        <i x="32" s="1"/>
        <i x="71" s="1"/>
        <i x="28" s="1"/>
        <i x="14" s="1"/>
        <i x="46" s="1"/>
        <i x="16" s="1"/>
        <i x="2" s="1"/>
        <i x="30" s="1"/>
        <i x="11" s="1"/>
        <i x="59" s="1"/>
        <i x="72" s="1"/>
        <i x="37" s="1"/>
        <i x="57" s="1"/>
        <i x="55" s="1"/>
        <i x="26" s="1"/>
        <i x="60" s="1"/>
        <i x="6" s="1"/>
        <i x="23" s="1"/>
        <i x="22" s="1"/>
        <i x="45" s="1"/>
        <i x="68" s="1"/>
        <i x="0" s="1"/>
        <i x="5" s="1"/>
        <i x="33" s="1"/>
        <i x="13" s="1"/>
        <i x="65" s="1"/>
        <i x="67" s="1"/>
        <i x="58" s="1"/>
        <i x="18" s="1"/>
        <i x="9" s="1"/>
        <i x="17" s="1"/>
        <i x="31" s="1"/>
        <i x="21" s="1"/>
        <i x="19" s="1"/>
        <i x="3" s="1"/>
        <i x="12" s="1"/>
        <i x="24" s="1"/>
        <i x="53" s="1"/>
        <i x="48" s="1"/>
        <i x="39" s="1"/>
        <i x="42" s="1"/>
        <i x="7" s="1"/>
        <i x="27" s="1"/>
        <i x="47" s="1"/>
        <i x="49" s="1"/>
        <i x="1" s="1"/>
        <i x="20" s="1"/>
        <i x="35" s="1"/>
        <i x="64" s="1"/>
        <i x="50" s="1"/>
        <i x="66" s="1"/>
        <i x="51" s="1"/>
        <i x="63" s="1"/>
        <i x="25" s="1"/>
        <i x="38" s="1"/>
        <i x="10" s="1"/>
        <i x="8" s="1"/>
        <i x="54" s="1"/>
        <i x="44" s="1"/>
        <i x="61" s="1"/>
        <i x="70" s="1"/>
        <i x="69" s="1"/>
        <i x="43" s="1"/>
        <i x="62" s="1"/>
        <i x="41" s="1"/>
        <i x="34" s="1"/>
        <i x="29"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ndustry" cache="Slicer_Industry" caption="Industry" style="SlicerStyleLight6" rowHeight="241300"/>
</slicers>
</file>

<file path=xl/tables/table1.xml><?xml version="1.0" encoding="utf-8"?>
<table xmlns="http://schemas.openxmlformats.org/spreadsheetml/2006/main" id="1" name="Table1" displayName="Table1" ref="B4:E41" totalsRowShown="0" headerRowDxfId="0" dataDxfId="1" dataCellStyle="Comma">
  <autoFilter ref="B4:E41">
    <filterColumn colId="0" hiddenButton="1"/>
    <filterColumn colId="1" hiddenButton="1"/>
    <filterColumn colId="2" hiddenButton="1"/>
    <filterColumn colId="3" hiddenButton="1"/>
  </autoFilter>
  <tableColumns count="4">
    <tableColumn id="1" name="Company" dataDxfId="5">
      <calculatedColumnFormula array="1">INDEX(Company_Pivot!A4:A$1000,Dashboard!$F$3)</calculatedColumnFormula>
    </tableColumn>
    <tableColumn id="2" name="Revenue" dataDxfId="4" dataCellStyle="Comma">
      <calculatedColumnFormula array="1">INDEX(Company_Pivot!B4:B$1000,Dashboard!$F$3)</calculatedColumnFormula>
    </tableColumn>
    <tableColumn id="3" name="Profits" dataDxfId="3" dataCellStyle="Comma">
      <calculatedColumnFormula array="1">INDEX(Company_Pivot!C4:C$1000,Dashboard!$F$3)</calculatedColumnFormula>
    </tableColumn>
    <tableColumn id="4" name="# of Employees" dataDxfId="2" dataCellStyle="Comma">
      <calculatedColumnFormula array="1">INDEX(Company_Pivot!D4:D$1000,Dashboard!$F$3)</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Badg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07/relationships/slicer" Target="../slicers/slicer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1"/>
  <sheetViews>
    <sheetView workbookViewId="0">
      <selection activeCell="D21" sqref="D21"/>
    </sheetView>
  </sheetViews>
  <sheetFormatPr defaultRowHeight="15" x14ac:dyDescent="0.35"/>
  <cols>
    <col min="1" max="1" width="5.25" customWidth="1"/>
    <col min="2" max="2" width="36.5" customWidth="1"/>
    <col min="3" max="3" width="26.375" customWidth="1"/>
    <col min="4" max="4" width="46.5" customWidth="1"/>
    <col min="5" max="5" width="22.875" customWidth="1"/>
    <col min="6" max="6" width="11.5" customWidth="1"/>
    <col min="7" max="7" width="11.25" customWidth="1"/>
    <col min="8" max="8" width="13.25" customWidth="1"/>
  </cols>
  <sheetData>
    <row r="1" spans="1:8" ht="17.25" x14ac:dyDescent="0.35">
      <c r="A1" s="3" t="s">
        <v>0</v>
      </c>
      <c r="B1" s="3" t="s">
        <v>1</v>
      </c>
      <c r="C1" s="3" t="s">
        <v>2</v>
      </c>
      <c r="D1" s="3" t="s">
        <v>3</v>
      </c>
      <c r="E1" s="3" t="s">
        <v>4</v>
      </c>
      <c r="F1" s="3" t="s">
        <v>5</v>
      </c>
      <c r="G1" s="3" t="s">
        <v>6</v>
      </c>
      <c r="H1" s="3" t="s">
        <v>7</v>
      </c>
    </row>
    <row r="2" spans="1:8" ht="17.25" x14ac:dyDescent="0.35">
      <c r="A2">
        <v>1</v>
      </c>
      <c r="B2" t="s">
        <v>8</v>
      </c>
      <c r="C2" t="s">
        <v>9</v>
      </c>
      <c r="D2" t="s">
        <v>10</v>
      </c>
      <c r="E2" t="s">
        <v>11</v>
      </c>
      <c r="F2" s="1">
        <v>482130</v>
      </c>
      <c r="G2" s="1">
        <v>14694</v>
      </c>
      <c r="H2" s="1">
        <v>2300000</v>
      </c>
    </row>
    <row r="3" spans="1:8" ht="17.25" x14ac:dyDescent="0.35">
      <c r="A3">
        <v>2</v>
      </c>
      <c r="B3" t="s">
        <v>12</v>
      </c>
      <c r="C3" t="s">
        <v>13</v>
      </c>
      <c r="D3" t="s">
        <v>14</v>
      </c>
      <c r="E3" t="s">
        <v>15</v>
      </c>
      <c r="F3" s="1">
        <v>246204</v>
      </c>
      <c r="G3" s="1">
        <v>16150</v>
      </c>
      <c r="H3" s="1">
        <v>75600</v>
      </c>
    </row>
    <row r="4" spans="1:8" ht="17.25" x14ac:dyDescent="0.35">
      <c r="A4">
        <v>3</v>
      </c>
      <c r="B4" t="s">
        <v>16</v>
      </c>
      <c r="C4" t="s">
        <v>17</v>
      </c>
      <c r="D4" t="s">
        <v>18</v>
      </c>
      <c r="E4" t="s">
        <v>19</v>
      </c>
      <c r="F4" s="1">
        <v>233715</v>
      </c>
      <c r="G4" s="1">
        <v>53394</v>
      </c>
      <c r="H4" s="1">
        <v>110000</v>
      </c>
    </row>
    <row r="5" spans="1:8" ht="17.25" x14ac:dyDescent="0.35">
      <c r="A5">
        <v>4</v>
      </c>
      <c r="B5" t="s">
        <v>20</v>
      </c>
      <c r="C5" t="s">
        <v>21</v>
      </c>
      <c r="D5" t="s">
        <v>22</v>
      </c>
      <c r="E5" t="s">
        <v>23</v>
      </c>
      <c r="F5" s="1">
        <v>210821</v>
      </c>
      <c r="G5" s="1">
        <v>24083</v>
      </c>
      <c r="H5" s="1">
        <v>331000</v>
      </c>
    </row>
    <row r="6" spans="1:8" ht="17.25" x14ac:dyDescent="0.35">
      <c r="A6">
        <v>5</v>
      </c>
      <c r="B6" t="s">
        <v>24</v>
      </c>
      <c r="C6" t="s">
        <v>25</v>
      </c>
      <c r="D6" t="s">
        <v>26</v>
      </c>
      <c r="E6" t="s">
        <v>27</v>
      </c>
      <c r="F6" s="1">
        <v>181241</v>
      </c>
      <c r="G6" s="1">
        <v>1476</v>
      </c>
      <c r="H6" s="1">
        <v>70400</v>
      </c>
    </row>
    <row r="7" spans="1:8" ht="17.25" x14ac:dyDescent="0.35">
      <c r="A7">
        <v>6</v>
      </c>
      <c r="B7" t="s">
        <v>28</v>
      </c>
      <c r="C7" t="s">
        <v>25</v>
      </c>
      <c r="D7" t="s">
        <v>29</v>
      </c>
      <c r="E7" t="s">
        <v>30</v>
      </c>
      <c r="F7" s="1">
        <v>157107</v>
      </c>
      <c r="G7" s="1">
        <v>5813</v>
      </c>
      <c r="H7" s="1">
        <v>200000</v>
      </c>
    </row>
    <row r="8" spans="1:8" ht="17.25" x14ac:dyDescent="0.35">
      <c r="A8">
        <v>7</v>
      </c>
      <c r="B8" t="s">
        <v>31</v>
      </c>
      <c r="C8" t="s">
        <v>32</v>
      </c>
      <c r="D8" t="s">
        <v>32</v>
      </c>
      <c r="E8" t="s">
        <v>33</v>
      </c>
      <c r="F8" s="1">
        <v>153290</v>
      </c>
      <c r="G8" s="1">
        <v>5237</v>
      </c>
      <c r="H8" s="1">
        <v>199000</v>
      </c>
    </row>
    <row r="9" spans="1:8" ht="17.25" x14ac:dyDescent="0.35">
      <c r="A9">
        <v>8</v>
      </c>
      <c r="B9" t="s">
        <v>34</v>
      </c>
      <c r="C9" t="s">
        <v>35</v>
      </c>
      <c r="D9" t="s">
        <v>36</v>
      </c>
      <c r="E9" t="s">
        <v>37</v>
      </c>
      <c r="F9" s="1">
        <v>152356</v>
      </c>
      <c r="G9" s="1">
        <v>9687</v>
      </c>
      <c r="H9" s="1">
        <v>215000</v>
      </c>
    </row>
    <row r="10" spans="1:8" ht="17.25" x14ac:dyDescent="0.35">
      <c r="A10">
        <v>9</v>
      </c>
      <c r="B10" t="s">
        <v>38</v>
      </c>
      <c r="C10" t="s">
        <v>35</v>
      </c>
      <c r="D10" t="s">
        <v>36</v>
      </c>
      <c r="E10" t="s">
        <v>39</v>
      </c>
      <c r="F10" s="1">
        <v>149558</v>
      </c>
      <c r="G10" s="1">
        <v>7373</v>
      </c>
      <c r="H10" s="1">
        <v>199000</v>
      </c>
    </row>
    <row r="11" spans="1:8" ht="17.25" x14ac:dyDescent="0.35">
      <c r="A11">
        <v>10</v>
      </c>
      <c r="B11" t="s">
        <v>40</v>
      </c>
      <c r="C11" t="s">
        <v>41</v>
      </c>
      <c r="D11" t="s">
        <v>41</v>
      </c>
      <c r="E11" t="s">
        <v>42</v>
      </c>
      <c r="F11" s="1">
        <v>146801</v>
      </c>
      <c r="G11" s="1">
        <v>13345</v>
      </c>
      <c r="H11" s="1">
        <v>281450</v>
      </c>
    </row>
    <row r="12" spans="1:8" ht="17.25" x14ac:dyDescent="0.35">
      <c r="A12">
        <v>11</v>
      </c>
      <c r="B12" t="s">
        <v>43</v>
      </c>
      <c r="C12" t="s">
        <v>44</v>
      </c>
      <c r="D12" t="s">
        <v>45</v>
      </c>
      <c r="E12" t="s">
        <v>46</v>
      </c>
      <c r="F12" s="1">
        <v>140389</v>
      </c>
      <c r="G12" s="1">
        <v>-6126</v>
      </c>
      <c r="H12" s="1">
        <v>333000</v>
      </c>
    </row>
    <row r="13" spans="1:8" ht="17.25" x14ac:dyDescent="0.35">
      <c r="A13">
        <v>12</v>
      </c>
      <c r="B13" t="s">
        <v>47</v>
      </c>
      <c r="C13" t="s">
        <v>25</v>
      </c>
      <c r="D13" t="s">
        <v>26</v>
      </c>
      <c r="E13" t="s">
        <v>48</v>
      </c>
      <c r="F13" s="1">
        <v>135962</v>
      </c>
      <c r="G13" s="1">
        <v>-135</v>
      </c>
      <c r="H13" s="1">
        <v>17000</v>
      </c>
    </row>
    <row r="14" spans="1:8" ht="17.25" x14ac:dyDescent="0.35">
      <c r="A14">
        <v>13</v>
      </c>
      <c r="B14" t="s">
        <v>49</v>
      </c>
      <c r="C14" t="s">
        <v>41</v>
      </c>
      <c r="D14" t="s">
        <v>41</v>
      </c>
      <c r="E14" t="s">
        <v>50</v>
      </c>
      <c r="F14" s="1">
        <v>131620</v>
      </c>
      <c r="G14" s="1">
        <v>17879</v>
      </c>
      <c r="H14" s="1">
        <v>177700</v>
      </c>
    </row>
    <row r="15" spans="1:8" ht="17.25" x14ac:dyDescent="0.35">
      <c r="A15">
        <v>14</v>
      </c>
      <c r="B15" t="s">
        <v>51</v>
      </c>
      <c r="C15" t="s">
        <v>13</v>
      </c>
      <c r="D15" t="s">
        <v>14</v>
      </c>
      <c r="E15" t="s">
        <v>52</v>
      </c>
      <c r="F15" s="1">
        <v>131118</v>
      </c>
      <c r="G15" s="1">
        <v>4587</v>
      </c>
      <c r="H15" s="1">
        <v>61500</v>
      </c>
    </row>
    <row r="16" spans="1:8" ht="17.25" x14ac:dyDescent="0.35">
      <c r="A16">
        <v>15</v>
      </c>
      <c r="B16" t="s">
        <v>53</v>
      </c>
      <c r="C16" t="s">
        <v>9</v>
      </c>
      <c r="D16" t="s">
        <v>54</v>
      </c>
      <c r="E16" t="s">
        <v>55</v>
      </c>
      <c r="F16" s="1">
        <v>116199</v>
      </c>
      <c r="G16" s="1">
        <v>2377</v>
      </c>
      <c r="H16" s="1">
        <v>161000</v>
      </c>
    </row>
    <row r="17" spans="1:8" ht="17.25" x14ac:dyDescent="0.35">
      <c r="A17">
        <v>16</v>
      </c>
      <c r="B17" t="s">
        <v>56</v>
      </c>
      <c r="C17" t="s">
        <v>21</v>
      </c>
      <c r="D17" t="s">
        <v>57</v>
      </c>
      <c r="E17" t="s">
        <v>58</v>
      </c>
      <c r="F17" s="1">
        <v>110359</v>
      </c>
      <c r="G17" s="1">
        <v>10954</v>
      </c>
      <c r="H17" s="1">
        <v>7300</v>
      </c>
    </row>
    <row r="18" spans="1:8" ht="17.25" x14ac:dyDescent="0.35">
      <c r="A18">
        <v>17</v>
      </c>
      <c r="B18" t="s">
        <v>59</v>
      </c>
      <c r="C18" t="s">
        <v>32</v>
      </c>
      <c r="D18" t="s">
        <v>32</v>
      </c>
      <c r="E18" t="s">
        <v>60</v>
      </c>
      <c r="F18" s="1">
        <v>109830</v>
      </c>
      <c r="G18" s="1">
        <v>2039</v>
      </c>
      <c r="H18" s="1">
        <v>431000</v>
      </c>
    </row>
    <row r="19" spans="1:8" ht="17.25" x14ac:dyDescent="0.35">
      <c r="A19">
        <v>18</v>
      </c>
      <c r="B19" t="s">
        <v>61</v>
      </c>
      <c r="C19" t="s">
        <v>17</v>
      </c>
      <c r="D19" t="s">
        <v>62</v>
      </c>
      <c r="E19" t="s">
        <v>63</v>
      </c>
      <c r="F19" s="1">
        <v>107006</v>
      </c>
      <c r="G19" s="1">
        <v>596</v>
      </c>
      <c r="H19" s="1">
        <v>230800</v>
      </c>
    </row>
    <row r="20" spans="1:8" ht="17.25" x14ac:dyDescent="0.35">
      <c r="A20">
        <v>19</v>
      </c>
      <c r="B20" t="s">
        <v>64</v>
      </c>
      <c r="C20" t="s">
        <v>32</v>
      </c>
      <c r="D20" t="s">
        <v>32</v>
      </c>
      <c r="E20" t="s">
        <v>65</v>
      </c>
      <c r="F20" s="1">
        <v>103444</v>
      </c>
      <c r="G20" s="1">
        <v>4220</v>
      </c>
      <c r="H20" s="1">
        <v>302500</v>
      </c>
    </row>
    <row r="21" spans="1:8" ht="17.25" x14ac:dyDescent="0.35">
      <c r="A21">
        <v>20</v>
      </c>
      <c r="B21" t="s">
        <v>66</v>
      </c>
      <c r="C21" t="s">
        <v>17</v>
      </c>
      <c r="D21" t="s">
        <v>18</v>
      </c>
      <c r="E21" t="s">
        <v>67</v>
      </c>
      <c r="F21" s="1">
        <v>103355</v>
      </c>
      <c r="G21" s="1">
        <v>4554</v>
      </c>
      <c r="H21" s="1">
        <v>287000</v>
      </c>
    </row>
    <row r="22" spans="1:8" ht="17.25" x14ac:dyDescent="0.35">
      <c r="A22">
        <v>21</v>
      </c>
      <c r="B22" t="s">
        <v>68</v>
      </c>
      <c r="C22" t="s">
        <v>25</v>
      </c>
      <c r="D22" t="s">
        <v>26</v>
      </c>
      <c r="E22" t="s">
        <v>69</v>
      </c>
      <c r="F22" s="1">
        <v>102531</v>
      </c>
      <c r="G22" s="1">
        <v>1215</v>
      </c>
      <c r="H22" s="1">
        <v>34500</v>
      </c>
    </row>
    <row r="23" spans="1:8" ht="17.25" x14ac:dyDescent="0.35">
      <c r="A23">
        <v>22</v>
      </c>
      <c r="B23" t="s">
        <v>70</v>
      </c>
      <c r="C23" t="s">
        <v>25</v>
      </c>
      <c r="D23" t="s">
        <v>71</v>
      </c>
      <c r="E23" t="s">
        <v>72</v>
      </c>
      <c r="F23" s="1">
        <v>101752</v>
      </c>
      <c r="G23" s="1">
        <v>2476</v>
      </c>
      <c r="H23" s="1">
        <v>25900</v>
      </c>
    </row>
    <row r="24" spans="1:8" ht="17.25" x14ac:dyDescent="0.35">
      <c r="A24">
        <v>23</v>
      </c>
      <c r="B24" t="s">
        <v>73</v>
      </c>
      <c r="C24" t="s">
        <v>21</v>
      </c>
      <c r="D24" t="s">
        <v>74</v>
      </c>
      <c r="E24" t="s">
        <v>50</v>
      </c>
      <c r="F24" s="1">
        <v>101006</v>
      </c>
      <c r="G24" s="1">
        <v>24442</v>
      </c>
      <c r="H24" s="1">
        <v>234598</v>
      </c>
    </row>
    <row r="25" spans="1:8" ht="17.25" x14ac:dyDescent="0.35">
      <c r="A25">
        <v>24</v>
      </c>
      <c r="B25" t="s">
        <v>75</v>
      </c>
      <c r="C25" t="s">
        <v>76</v>
      </c>
      <c r="D25" t="s">
        <v>77</v>
      </c>
      <c r="E25" t="s">
        <v>78</v>
      </c>
      <c r="F25" s="1">
        <v>96114</v>
      </c>
      <c r="G25" s="1">
        <v>5176</v>
      </c>
      <c r="H25" s="1">
        <v>161400</v>
      </c>
    </row>
    <row r="26" spans="1:8" ht="17.25" x14ac:dyDescent="0.35">
      <c r="A26">
        <v>25</v>
      </c>
      <c r="B26" t="s">
        <v>79</v>
      </c>
      <c r="C26" t="s">
        <v>17</v>
      </c>
      <c r="D26" t="s">
        <v>80</v>
      </c>
      <c r="E26" t="s">
        <v>81</v>
      </c>
      <c r="F26" s="1">
        <v>93580</v>
      </c>
      <c r="G26" s="1">
        <v>12193</v>
      </c>
      <c r="H26" s="1">
        <v>118000</v>
      </c>
    </row>
    <row r="27" spans="1:8" ht="17.25" x14ac:dyDescent="0.35">
      <c r="A27">
        <v>26</v>
      </c>
      <c r="B27" t="s">
        <v>82</v>
      </c>
      <c r="C27" t="s">
        <v>21</v>
      </c>
      <c r="D27" t="s">
        <v>74</v>
      </c>
      <c r="E27" t="s">
        <v>83</v>
      </c>
      <c r="F27" s="1">
        <v>93056</v>
      </c>
      <c r="G27" s="1">
        <v>15888</v>
      </c>
      <c r="H27" s="1">
        <v>213280</v>
      </c>
    </row>
    <row r="28" spans="1:8" ht="17.25" x14ac:dyDescent="0.35">
      <c r="A28">
        <v>27</v>
      </c>
      <c r="B28" t="s">
        <v>84</v>
      </c>
      <c r="C28" t="s">
        <v>21</v>
      </c>
      <c r="D28" t="s">
        <v>74</v>
      </c>
      <c r="E28" t="s">
        <v>27</v>
      </c>
      <c r="F28" s="1">
        <v>90033</v>
      </c>
      <c r="G28" s="1">
        <v>22894</v>
      </c>
      <c r="H28" s="1">
        <v>264700</v>
      </c>
    </row>
    <row r="29" spans="1:8" ht="17.25" x14ac:dyDescent="0.35">
      <c r="A29">
        <v>28</v>
      </c>
      <c r="B29" t="s">
        <v>85</v>
      </c>
      <c r="C29" t="s">
        <v>9</v>
      </c>
      <c r="D29" t="s">
        <v>54</v>
      </c>
      <c r="E29" t="s">
        <v>86</v>
      </c>
      <c r="F29" s="1">
        <v>88519</v>
      </c>
      <c r="G29" s="1">
        <v>7009</v>
      </c>
      <c r="H29" s="1">
        <v>385000</v>
      </c>
    </row>
    <row r="30" spans="1:8" ht="17.25" x14ac:dyDescent="0.35">
      <c r="A30">
        <v>29</v>
      </c>
      <c r="B30" t="s">
        <v>87</v>
      </c>
      <c r="C30" t="s">
        <v>21</v>
      </c>
      <c r="D30" t="s">
        <v>74</v>
      </c>
      <c r="E30" t="s">
        <v>50</v>
      </c>
      <c r="F30" s="1">
        <v>88275</v>
      </c>
      <c r="G30" s="1">
        <v>17242</v>
      </c>
      <c r="H30" s="1">
        <v>231000</v>
      </c>
    </row>
    <row r="31" spans="1:8" ht="17.25" x14ac:dyDescent="0.35">
      <c r="A31">
        <v>30</v>
      </c>
      <c r="B31" t="s">
        <v>88</v>
      </c>
      <c r="C31" t="s">
        <v>13</v>
      </c>
      <c r="D31" t="s">
        <v>14</v>
      </c>
      <c r="E31" t="s">
        <v>89</v>
      </c>
      <c r="F31" s="1">
        <v>87169</v>
      </c>
      <c r="G31" s="1">
        <v>4227</v>
      </c>
      <c r="H31" s="1">
        <v>14000</v>
      </c>
    </row>
    <row r="32" spans="1:8" ht="17.25" x14ac:dyDescent="0.35">
      <c r="A32">
        <v>31</v>
      </c>
      <c r="B32" t="s">
        <v>90</v>
      </c>
      <c r="C32" t="s">
        <v>17</v>
      </c>
      <c r="D32" t="s">
        <v>91</v>
      </c>
      <c r="E32" t="s">
        <v>92</v>
      </c>
      <c r="F32" s="1">
        <v>82461</v>
      </c>
      <c r="G32" s="1">
        <v>13190</v>
      </c>
      <c r="H32" s="1">
        <v>411798</v>
      </c>
    </row>
    <row r="33" spans="1:8" ht="17.25" x14ac:dyDescent="0.35">
      <c r="A33">
        <v>32</v>
      </c>
      <c r="B33" t="s">
        <v>93</v>
      </c>
      <c r="C33" t="s">
        <v>13</v>
      </c>
      <c r="D33" t="s">
        <v>14</v>
      </c>
      <c r="E33" t="s">
        <v>94</v>
      </c>
      <c r="F33" s="1">
        <v>81824</v>
      </c>
      <c r="G33" s="1">
        <v>3990</v>
      </c>
      <c r="H33" s="1">
        <v>10103</v>
      </c>
    </row>
    <row r="34" spans="1:8" ht="17.25" x14ac:dyDescent="0.35">
      <c r="A34">
        <v>33</v>
      </c>
      <c r="B34" t="s">
        <v>95</v>
      </c>
      <c r="C34" t="s">
        <v>25</v>
      </c>
      <c r="D34" t="s">
        <v>29</v>
      </c>
      <c r="E34" t="s">
        <v>96</v>
      </c>
      <c r="F34" s="1">
        <v>79157</v>
      </c>
      <c r="G34" s="1">
        <v>2560</v>
      </c>
      <c r="H34" s="1">
        <v>53000</v>
      </c>
    </row>
    <row r="35" spans="1:8" ht="17.25" x14ac:dyDescent="0.35">
      <c r="A35">
        <v>34</v>
      </c>
      <c r="B35" t="s">
        <v>97</v>
      </c>
      <c r="C35" t="s">
        <v>98</v>
      </c>
      <c r="D35" t="s">
        <v>99</v>
      </c>
      <c r="E35" t="s">
        <v>60</v>
      </c>
      <c r="F35" s="1">
        <v>78756</v>
      </c>
      <c r="G35" s="1">
        <v>7036</v>
      </c>
      <c r="H35" s="1">
        <v>110000</v>
      </c>
    </row>
    <row r="36" spans="1:8" ht="17.25" x14ac:dyDescent="0.35">
      <c r="A36">
        <v>35</v>
      </c>
      <c r="B36" t="s">
        <v>100</v>
      </c>
      <c r="C36" t="s">
        <v>21</v>
      </c>
      <c r="D36" t="s">
        <v>101</v>
      </c>
      <c r="E36" t="s">
        <v>102</v>
      </c>
      <c r="F36" s="1">
        <v>75697</v>
      </c>
      <c r="G36" s="1">
        <v>6229</v>
      </c>
      <c r="H36" s="1">
        <v>70425</v>
      </c>
    </row>
    <row r="37" spans="1:8" ht="17.25" x14ac:dyDescent="0.35">
      <c r="A37">
        <v>36</v>
      </c>
      <c r="B37" t="s">
        <v>103</v>
      </c>
      <c r="C37" t="s">
        <v>17</v>
      </c>
      <c r="D37" t="s">
        <v>62</v>
      </c>
      <c r="E37" t="s">
        <v>104</v>
      </c>
      <c r="F37" s="1">
        <v>74989</v>
      </c>
      <c r="G37" s="1">
        <v>16348</v>
      </c>
      <c r="H37" s="1">
        <v>61814</v>
      </c>
    </row>
    <row r="38" spans="1:8" ht="17.25" x14ac:dyDescent="0.35">
      <c r="A38">
        <v>37</v>
      </c>
      <c r="B38" t="s">
        <v>105</v>
      </c>
      <c r="C38" t="s">
        <v>41</v>
      </c>
      <c r="D38" t="s">
        <v>41</v>
      </c>
      <c r="E38" t="s">
        <v>106</v>
      </c>
      <c r="F38" s="1">
        <v>74510</v>
      </c>
      <c r="G38" s="1">
        <v>8163</v>
      </c>
      <c r="H38" s="1">
        <v>153000</v>
      </c>
    </row>
    <row r="39" spans="1:8" ht="17.25" x14ac:dyDescent="0.35">
      <c r="A39">
        <v>38</v>
      </c>
      <c r="B39" t="s">
        <v>107</v>
      </c>
      <c r="C39" t="s">
        <v>9</v>
      </c>
      <c r="D39" t="s">
        <v>10</v>
      </c>
      <c r="E39" t="s">
        <v>108</v>
      </c>
      <c r="F39" s="1">
        <v>73785</v>
      </c>
      <c r="G39" s="1">
        <v>3363</v>
      </c>
      <c r="H39" s="1">
        <v>341000</v>
      </c>
    </row>
    <row r="40" spans="1:8" ht="17.25" x14ac:dyDescent="0.35">
      <c r="A40">
        <v>39</v>
      </c>
      <c r="B40" t="s">
        <v>109</v>
      </c>
      <c r="C40" t="s">
        <v>25</v>
      </c>
      <c r="D40" t="s">
        <v>110</v>
      </c>
      <c r="E40" t="s">
        <v>111</v>
      </c>
      <c r="F40" s="1">
        <v>70074</v>
      </c>
      <c r="G40" s="1">
        <v>15409</v>
      </c>
      <c r="H40" s="1">
        <v>127100</v>
      </c>
    </row>
    <row r="41" spans="1:8" ht="17.25" x14ac:dyDescent="0.35">
      <c r="A41">
        <v>40</v>
      </c>
      <c r="B41" t="s">
        <v>112</v>
      </c>
      <c r="C41" t="s">
        <v>21</v>
      </c>
      <c r="D41" t="s">
        <v>113</v>
      </c>
      <c r="E41" t="s">
        <v>50</v>
      </c>
      <c r="F41" s="1">
        <v>69951</v>
      </c>
      <c r="G41" s="1">
        <v>5310</v>
      </c>
      <c r="H41" s="1">
        <v>69000</v>
      </c>
    </row>
    <row r="42" spans="1:8" ht="17.25" x14ac:dyDescent="0.35">
      <c r="A42">
        <v>41</v>
      </c>
      <c r="B42" t="s">
        <v>114</v>
      </c>
      <c r="C42" t="s">
        <v>115</v>
      </c>
      <c r="D42" t="s">
        <v>116</v>
      </c>
      <c r="E42" t="s">
        <v>78</v>
      </c>
      <c r="F42" s="1">
        <v>67702</v>
      </c>
      <c r="G42" s="1">
        <v>1849</v>
      </c>
      <c r="H42" s="1">
        <v>32300</v>
      </c>
    </row>
    <row r="43" spans="1:8" ht="17.25" x14ac:dyDescent="0.35">
      <c r="A43">
        <v>42</v>
      </c>
      <c r="B43" t="s">
        <v>117</v>
      </c>
      <c r="C43" t="s">
        <v>13</v>
      </c>
      <c r="D43" t="s">
        <v>14</v>
      </c>
      <c r="E43" t="s">
        <v>118</v>
      </c>
      <c r="F43" s="1">
        <v>64566</v>
      </c>
      <c r="G43" s="1">
        <v>2852</v>
      </c>
      <c r="H43" s="1">
        <v>45440</v>
      </c>
    </row>
    <row r="44" spans="1:8" ht="17.25" x14ac:dyDescent="0.35">
      <c r="A44">
        <v>43</v>
      </c>
      <c r="B44" t="s">
        <v>119</v>
      </c>
      <c r="C44" t="s">
        <v>21</v>
      </c>
      <c r="D44" t="s">
        <v>57</v>
      </c>
      <c r="E44" t="s">
        <v>120</v>
      </c>
      <c r="F44" s="1">
        <v>63491</v>
      </c>
      <c r="G44" s="1">
        <v>6376</v>
      </c>
      <c r="H44" s="1">
        <v>5439</v>
      </c>
    </row>
    <row r="45" spans="1:8" ht="17.25" x14ac:dyDescent="0.35">
      <c r="A45">
        <v>44</v>
      </c>
      <c r="B45" t="s">
        <v>121</v>
      </c>
      <c r="C45" t="s">
        <v>115</v>
      </c>
      <c r="D45" t="s">
        <v>122</v>
      </c>
      <c r="E45" t="s">
        <v>123</v>
      </c>
      <c r="F45" s="1">
        <v>63056</v>
      </c>
      <c r="G45" s="1">
        <v>5452</v>
      </c>
      <c r="H45" s="1">
        <v>263000</v>
      </c>
    </row>
    <row r="46" spans="1:8" ht="17.25" x14ac:dyDescent="0.35">
      <c r="A46">
        <v>45</v>
      </c>
      <c r="B46" t="s">
        <v>124</v>
      </c>
      <c r="C46" t="s">
        <v>76</v>
      </c>
      <c r="D46" t="s">
        <v>77</v>
      </c>
      <c r="E46" t="s">
        <v>125</v>
      </c>
      <c r="F46" s="1">
        <v>61047</v>
      </c>
      <c r="G46" s="1">
        <v>7608</v>
      </c>
      <c r="H46" s="1">
        <v>197200</v>
      </c>
    </row>
    <row r="47" spans="1:8" ht="17.25" x14ac:dyDescent="0.35">
      <c r="A47">
        <v>46</v>
      </c>
      <c r="B47" t="s">
        <v>126</v>
      </c>
      <c r="C47" t="s">
        <v>25</v>
      </c>
      <c r="D47" t="s">
        <v>29</v>
      </c>
      <c r="E47" t="s">
        <v>127</v>
      </c>
      <c r="F47" s="1">
        <v>60337</v>
      </c>
      <c r="G47" s="1">
        <v>2390</v>
      </c>
      <c r="H47" s="1">
        <v>50100</v>
      </c>
    </row>
    <row r="48" spans="1:8" ht="17.25" x14ac:dyDescent="0.35">
      <c r="A48">
        <v>47</v>
      </c>
      <c r="B48" t="s">
        <v>128</v>
      </c>
      <c r="C48" t="s">
        <v>9</v>
      </c>
      <c r="D48" t="s">
        <v>54</v>
      </c>
      <c r="E48" t="s">
        <v>129</v>
      </c>
      <c r="F48" s="1">
        <v>59074</v>
      </c>
      <c r="G48" s="1">
        <v>2546</v>
      </c>
      <c r="H48" s="1">
        <v>225000</v>
      </c>
    </row>
    <row r="49" spans="1:8" ht="17.25" x14ac:dyDescent="0.35">
      <c r="A49">
        <v>48</v>
      </c>
      <c r="B49" t="s">
        <v>130</v>
      </c>
      <c r="C49" t="s">
        <v>131</v>
      </c>
      <c r="D49" t="s">
        <v>132</v>
      </c>
      <c r="E49" t="s">
        <v>86</v>
      </c>
      <c r="F49" s="1">
        <v>58363</v>
      </c>
      <c r="G49" s="1">
        <v>4844</v>
      </c>
      <c r="H49" s="1">
        <v>341240</v>
      </c>
    </row>
    <row r="50" spans="1:8" ht="17.25" x14ac:dyDescent="0.35">
      <c r="A50">
        <v>49</v>
      </c>
      <c r="B50" t="s">
        <v>133</v>
      </c>
      <c r="C50" t="s">
        <v>21</v>
      </c>
      <c r="D50" t="s">
        <v>22</v>
      </c>
      <c r="E50" t="s">
        <v>50</v>
      </c>
      <c r="F50" s="1">
        <v>58327</v>
      </c>
      <c r="G50" s="1">
        <v>2196</v>
      </c>
      <c r="H50" s="1">
        <v>66400</v>
      </c>
    </row>
    <row r="51" spans="1:8" ht="17.25" x14ac:dyDescent="0.35">
      <c r="A51">
        <v>50</v>
      </c>
      <c r="B51" t="s">
        <v>134</v>
      </c>
      <c r="C51" t="s">
        <v>21</v>
      </c>
      <c r="D51" t="s">
        <v>113</v>
      </c>
      <c r="E51" t="s">
        <v>135</v>
      </c>
      <c r="F51" s="1">
        <v>57119</v>
      </c>
      <c r="G51" s="1">
        <v>5642</v>
      </c>
      <c r="H51" s="1">
        <v>49384</v>
      </c>
    </row>
    <row r="52" spans="1:8" ht="17.25" x14ac:dyDescent="0.35">
      <c r="A52">
        <v>51</v>
      </c>
      <c r="B52" t="s">
        <v>136</v>
      </c>
      <c r="C52" t="s">
        <v>17</v>
      </c>
      <c r="D52" t="s">
        <v>137</v>
      </c>
      <c r="E52" t="s">
        <v>138</v>
      </c>
      <c r="F52" s="1">
        <v>55355</v>
      </c>
      <c r="G52" s="1">
        <v>11420</v>
      </c>
      <c r="H52" s="1">
        <v>107300</v>
      </c>
    </row>
    <row r="53" spans="1:8" ht="17.25" x14ac:dyDescent="0.35">
      <c r="A53">
        <v>52</v>
      </c>
      <c r="B53" t="s">
        <v>139</v>
      </c>
      <c r="C53" t="s">
        <v>25</v>
      </c>
      <c r="D53" t="s">
        <v>29</v>
      </c>
      <c r="E53" t="s">
        <v>140</v>
      </c>
      <c r="F53" s="1">
        <v>54289</v>
      </c>
      <c r="G53" s="1">
        <v>1276</v>
      </c>
      <c r="H53" s="1">
        <v>50100</v>
      </c>
    </row>
    <row r="54" spans="1:8" ht="17.25" x14ac:dyDescent="0.35">
      <c r="A54">
        <v>53</v>
      </c>
      <c r="B54" t="s">
        <v>141</v>
      </c>
      <c r="C54" t="s">
        <v>142</v>
      </c>
      <c r="D54" t="s">
        <v>143</v>
      </c>
      <c r="E54" t="s">
        <v>144</v>
      </c>
      <c r="F54" s="1">
        <v>52465</v>
      </c>
      <c r="G54" s="1">
        <v>8382</v>
      </c>
      <c r="H54" s="1">
        <v>185000</v>
      </c>
    </row>
    <row r="55" spans="1:8" ht="17.25" x14ac:dyDescent="0.35">
      <c r="A55">
        <v>54</v>
      </c>
      <c r="B55" t="s">
        <v>145</v>
      </c>
      <c r="C55" t="s">
        <v>17</v>
      </c>
      <c r="D55" t="s">
        <v>146</v>
      </c>
      <c r="E55" t="s">
        <v>147</v>
      </c>
      <c r="F55" s="1">
        <v>49161</v>
      </c>
      <c r="G55" s="1">
        <v>8981</v>
      </c>
      <c r="H55" s="1">
        <v>71833</v>
      </c>
    </row>
    <row r="56" spans="1:8" ht="17.25" x14ac:dyDescent="0.35">
      <c r="A56">
        <v>55</v>
      </c>
      <c r="B56" t="s">
        <v>148</v>
      </c>
      <c r="C56" t="s">
        <v>25</v>
      </c>
      <c r="D56" t="s">
        <v>110</v>
      </c>
      <c r="E56" t="s">
        <v>50</v>
      </c>
      <c r="F56" s="1">
        <v>48851</v>
      </c>
      <c r="G56" s="1">
        <v>6960</v>
      </c>
      <c r="H56" s="1">
        <v>97900</v>
      </c>
    </row>
    <row r="57" spans="1:8" ht="17.25" x14ac:dyDescent="0.35">
      <c r="A57">
        <v>56</v>
      </c>
      <c r="B57" t="s">
        <v>149</v>
      </c>
      <c r="C57" t="s">
        <v>150</v>
      </c>
      <c r="D57" t="s">
        <v>150</v>
      </c>
      <c r="E57" t="s">
        <v>151</v>
      </c>
      <c r="F57" s="1">
        <v>48778</v>
      </c>
      <c r="G57" s="1">
        <v>7685</v>
      </c>
      <c r="H57" s="1">
        <v>49495</v>
      </c>
    </row>
    <row r="58" spans="1:8" ht="17.25" x14ac:dyDescent="0.35">
      <c r="A58">
        <v>57</v>
      </c>
      <c r="B58" t="s">
        <v>152</v>
      </c>
      <c r="C58" t="s">
        <v>153</v>
      </c>
      <c r="D58" t="s">
        <v>154</v>
      </c>
      <c r="E58" t="s">
        <v>89</v>
      </c>
      <c r="F58" s="1">
        <v>48681</v>
      </c>
      <c r="G58" s="1">
        <v>687</v>
      </c>
      <c r="H58" s="1">
        <v>51700</v>
      </c>
    </row>
    <row r="59" spans="1:8" ht="17.25" x14ac:dyDescent="0.35">
      <c r="A59">
        <v>58</v>
      </c>
      <c r="B59" t="s">
        <v>155</v>
      </c>
      <c r="C59" t="s">
        <v>131</v>
      </c>
      <c r="D59" t="s">
        <v>132</v>
      </c>
      <c r="E59" t="s">
        <v>156</v>
      </c>
      <c r="F59" s="1">
        <v>47453</v>
      </c>
      <c r="G59" s="1">
        <v>1050</v>
      </c>
      <c r="H59" s="1">
        <v>323035</v>
      </c>
    </row>
    <row r="60" spans="1:8" ht="17.25" x14ac:dyDescent="0.35">
      <c r="A60">
        <v>59</v>
      </c>
      <c r="B60" t="s">
        <v>157</v>
      </c>
      <c r="C60" t="s">
        <v>44</v>
      </c>
      <c r="D60" t="s">
        <v>158</v>
      </c>
      <c r="E60" t="s">
        <v>159</v>
      </c>
      <c r="F60" s="1">
        <v>47011</v>
      </c>
      <c r="G60" s="1">
        <v>2102</v>
      </c>
      <c r="H60" s="1">
        <v>112200</v>
      </c>
    </row>
    <row r="61" spans="1:8" ht="17.25" x14ac:dyDescent="0.35">
      <c r="A61">
        <v>60</v>
      </c>
      <c r="B61" t="s">
        <v>160</v>
      </c>
      <c r="C61" t="s">
        <v>76</v>
      </c>
      <c r="D61" t="s">
        <v>77</v>
      </c>
      <c r="E61" t="s">
        <v>161</v>
      </c>
      <c r="F61" s="1">
        <v>46132</v>
      </c>
      <c r="G61" s="1">
        <v>3605</v>
      </c>
      <c r="H61" s="1">
        <v>126000</v>
      </c>
    </row>
    <row r="62" spans="1:8" ht="17.25" x14ac:dyDescent="0.35">
      <c r="A62">
        <v>61</v>
      </c>
      <c r="B62" t="s">
        <v>162</v>
      </c>
      <c r="C62" t="s">
        <v>21</v>
      </c>
      <c r="D62" t="s">
        <v>163</v>
      </c>
      <c r="E62" t="s">
        <v>50</v>
      </c>
      <c r="F62" s="1">
        <v>45891</v>
      </c>
      <c r="G62" s="1">
        <v>257</v>
      </c>
      <c r="H62" s="1">
        <v>11463</v>
      </c>
    </row>
    <row r="63" spans="1:8" ht="17.25" x14ac:dyDescent="0.35">
      <c r="A63">
        <v>62</v>
      </c>
      <c r="B63" t="s">
        <v>164</v>
      </c>
      <c r="C63" t="s">
        <v>115</v>
      </c>
      <c r="D63" t="s">
        <v>165</v>
      </c>
      <c r="E63" t="s">
        <v>86</v>
      </c>
      <c r="F63" s="1">
        <v>44294</v>
      </c>
      <c r="G63" s="1">
        <v>7351</v>
      </c>
      <c r="H63" s="1">
        <v>123200</v>
      </c>
    </row>
    <row r="64" spans="1:8" ht="17.25" x14ac:dyDescent="0.35">
      <c r="A64">
        <v>63</v>
      </c>
      <c r="B64" t="s">
        <v>166</v>
      </c>
      <c r="C64" t="s">
        <v>25</v>
      </c>
      <c r="D64" t="s">
        <v>167</v>
      </c>
      <c r="E64" t="s">
        <v>168</v>
      </c>
      <c r="F64" s="1">
        <v>43591</v>
      </c>
      <c r="G64" s="1">
        <v>2129</v>
      </c>
      <c r="H64" s="1">
        <v>203500</v>
      </c>
    </row>
    <row r="65" spans="1:8" ht="17.25" x14ac:dyDescent="0.35">
      <c r="A65">
        <v>64</v>
      </c>
      <c r="B65" t="s">
        <v>169</v>
      </c>
      <c r="C65" t="s">
        <v>153</v>
      </c>
      <c r="D65" t="s">
        <v>170</v>
      </c>
      <c r="E65" t="s">
        <v>171</v>
      </c>
      <c r="F65" s="1">
        <v>43026</v>
      </c>
      <c r="G65" s="1">
        <v>215</v>
      </c>
      <c r="H65" s="1">
        <v>27700</v>
      </c>
    </row>
    <row r="66" spans="1:8" ht="17.25" x14ac:dyDescent="0.35">
      <c r="A66">
        <v>65</v>
      </c>
      <c r="B66" t="s">
        <v>172</v>
      </c>
      <c r="C66" t="s">
        <v>13</v>
      </c>
      <c r="D66" t="s">
        <v>173</v>
      </c>
      <c r="E66" t="s">
        <v>42</v>
      </c>
      <c r="F66" s="1">
        <v>42126</v>
      </c>
      <c r="G66" s="1">
        <v>1189</v>
      </c>
      <c r="H66" s="1">
        <v>30078</v>
      </c>
    </row>
    <row r="67" spans="1:8" ht="17.25" x14ac:dyDescent="0.35">
      <c r="A67">
        <v>66</v>
      </c>
      <c r="B67" t="s">
        <v>174</v>
      </c>
      <c r="C67" t="s">
        <v>115</v>
      </c>
      <c r="D67" t="s">
        <v>116</v>
      </c>
      <c r="E67" t="s">
        <v>175</v>
      </c>
      <c r="F67" s="1">
        <v>41373</v>
      </c>
      <c r="G67" s="1">
        <v>1220</v>
      </c>
      <c r="H67" s="1">
        <v>113000</v>
      </c>
    </row>
    <row r="68" spans="1:8" ht="17.25" x14ac:dyDescent="0.35">
      <c r="A68">
        <v>67</v>
      </c>
      <c r="B68" t="s">
        <v>176</v>
      </c>
      <c r="C68" t="s">
        <v>131</v>
      </c>
      <c r="D68" t="s">
        <v>177</v>
      </c>
      <c r="E68" t="s">
        <v>178</v>
      </c>
      <c r="F68" s="1">
        <v>40990</v>
      </c>
      <c r="G68" s="1">
        <v>7610</v>
      </c>
      <c r="H68" s="1">
        <v>118500</v>
      </c>
    </row>
    <row r="69" spans="1:8" ht="17.25" x14ac:dyDescent="0.35">
      <c r="A69">
        <v>68</v>
      </c>
      <c r="B69" t="s">
        <v>179</v>
      </c>
      <c r="C69" t="s">
        <v>131</v>
      </c>
      <c r="D69" t="s">
        <v>177</v>
      </c>
      <c r="E69" t="s">
        <v>86</v>
      </c>
      <c r="F69" s="1">
        <v>40704</v>
      </c>
      <c r="G69" s="1">
        <v>4526</v>
      </c>
      <c r="H69" s="1">
        <v>82949</v>
      </c>
    </row>
    <row r="70" spans="1:8" ht="17.25" x14ac:dyDescent="0.35">
      <c r="A70">
        <v>69</v>
      </c>
      <c r="B70" t="s">
        <v>180</v>
      </c>
      <c r="C70" t="s">
        <v>21</v>
      </c>
      <c r="D70" t="s">
        <v>101</v>
      </c>
      <c r="E70" t="s">
        <v>181</v>
      </c>
      <c r="F70" s="1">
        <v>40222</v>
      </c>
      <c r="G70" s="1">
        <v>581</v>
      </c>
      <c r="H70" s="1">
        <v>34032</v>
      </c>
    </row>
    <row r="71" spans="1:8" ht="17.25" x14ac:dyDescent="0.35">
      <c r="A71">
        <v>70</v>
      </c>
      <c r="B71" t="s">
        <v>182</v>
      </c>
      <c r="C71" t="s">
        <v>35</v>
      </c>
      <c r="D71" t="s">
        <v>36</v>
      </c>
      <c r="E71" t="s">
        <v>183</v>
      </c>
      <c r="F71" s="1">
        <v>40204</v>
      </c>
      <c r="G71" s="1">
        <v>1563</v>
      </c>
      <c r="H71" s="1">
        <v>139000</v>
      </c>
    </row>
    <row r="72" spans="1:8" ht="17.25" x14ac:dyDescent="0.35">
      <c r="A72">
        <v>71</v>
      </c>
      <c r="B72" t="s">
        <v>184</v>
      </c>
      <c r="C72" t="s">
        <v>9</v>
      </c>
      <c r="D72" t="s">
        <v>54</v>
      </c>
      <c r="E72" t="s">
        <v>185</v>
      </c>
      <c r="F72" s="1">
        <v>39745</v>
      </c>
      <c r="G72" s="1">
        <v>897</v>
      </c>
      <c r="H72" s="1">
        <v>125000</v>
      </c>
    </row>
    <row r="73" spans="1:8" ht="17.25" x14ac:dyDescent="0.35">
      <c r="A73">
        <v>72</v>
      </c>
      <c r="B73" t="s">
        <v>186</v>
      </c>
      <c r="C73" t="s">
        <v>25</v>
      </c>
      <c r="D73" t="s">
        <v>110</v>
      </c>
      <c r="E73" t="s">
        <v>187</v>
      </c>
      <c r="F73" s="1">
        <v>39498</v>
      </c>
      <c r="G73" s="1">
        <v>4442</v>
      </c>
      <c r="H73" s="1">
        <v>68000</v>
      </c>
    </row>
    <row r="74" spans="1:8" ht="17.25" x14ac:dyDescent="0.35">
      <c r="A74">
        <v>73</v>
      </c>
      <c r="B74" t="s">
        <v>188</v>
      </c>
      <c r="C74" t="s">
        <v>21</v>
      </c>
      <c r="D74" t="s">
        <v>22</v>
      </c>
      <c r="E74" t="s">
        <v>189</v>
      </c>
      <c r="F74" s="1">
        <v>39450</v>
      </c>
      <c r="G74" s="1">
        <v>514</v>
      </c>
      <c r="H74" s="1">
        <v>50000</v>
      </c>
    </row>
    <row r="75" spans="1:8" ht="17.25" x14ac:dyDescent="0.35">
      <c r="A75">
        <v>74</v>
      </c>
      <c r="B75" t="s">
        <v>190</v>
      </c>
      <c r="C75" t="s">
        <v>21</v>
      </c>
      <c r="D75" t="s">
        <v>74</v>
      </c>
      <c r="E75" t="s">
        <v>50</v>
      </c>
      <c r="F75" s="1">
        <v>39208</v>
      </c>
      <c r="G75" s="1">
        <v>6083</v>
      </c>
      <c r="H75" s="1">
        <v>36800</v>
      </c>
    </row>
    <row r="76" spans="1:8" ht="17.25" x14ac:dyDescent="0.35">
      <c r="A76">
        <v>75</v>
      </c>
      <c r="B76" t="s">
        <v>191</v>
      </c>
      <c r="C76" t="s">
        <v>44</v>
      </c>
      <c r="D76" t="s">
        <v>192</v>
      </c>
      <c r="E76" t="s">
        <v>193</v>
      </c>
      <c r="F76" s="1">
        <v>38581</v>
      </c>
      <c r="G76" s="1">
        <v>4768</v>
      </c>
      <c r="H76" s="1">
        <v>129000</v>
      </c>
    </row>
    <row r="77" spans="1:8" ht="17.25" x14ac:dyDescent="0.35">
      <c r="A77">
        <v>76</v>
      </c>
      <c r="B77" t="s">
        <v>194</v>
      </c>
      <c r="C77" t="s">
        <v>21</v>
      </c>
      <c r="D77" t="s">
        <v>163</v>
      </c>
      <c r="E77" t="s">
        <v>195</v>
      </c>
      <c r="F77" s="1">
        <v>38243</v>
      </c>
      <c r="G77" s="1">
        <v>1425</v>
      </c>
      <c r="H77" s="1">
        <v>11593</v>
      </c>
    </row>
    <row r="78" spans="1:8" ht="17.25" x14ac:dyDescent="0.35">
      <c r="A78">
        <v>77</v>
      </c>
      <c r="B78" t="s">
        <v>196</v>
      </c>
      <c r="C78" t="s">
        <v>17</v>
      </c>
      <c r="D78" t="s">
        <v>80</v>
      </c>
      <c r="E78" t="s">
        <v>197</v>
      </c>
      <c r="F78" s="1">
        <v>38226</v>
      </c>
      <c r="G78" s="1">
        <v>9938</v>
      </c>
      <c r="H78" s="1">
        <v>132000</v>
      </c>
    </row>
    <row r="79" spans="1:8" ht="17.25" x14ac:dyDescent="0.35">
      <c r="A79">
        <v>78</v>
      </c>
      <c r="B79" t="s">
        <v>198</v>
      </c>
      <c r="C79" t="s">
        <v>21</v>
      </c>
      <c r="D79" t="s">
        <v>74</v>
      </c>
      <c r="E79" t="s">
        <v>50</v>
      </c>
      <c r="F79" s="1">
        <v>37897</v>
      </c>
      <c r="G79" s="1">
        <v>6127</v>
      </c>
      <c r="H79" s="1">
        <v>56218</v>
      </c>
    </row>
    <row r="80" spans="1:8" ht="17.25" x14ac:dyDescent="0.35">
      <c r="A80">
        <v>79</v>
      </c>
      <c r="B80" t="s">
        <v>199</v>
      </c>
      <c r="C80" t="s">
        <v>25</v>
      </c>
      <c r="D80" t="s">
        <v>29</v>
      </c>
      <c r="E80" t="s">
        <v>200</v>
      </c>
      <c r="F80" s="1">
        <v>37876</v>
      </c>
      <c r="G80" s="1">
        <v>2094</v>
      </c>
      <c r="H80" s="1">
        <v>39300</v>
      </c>
    </row>
    <row r="81" spans="1:8" ht="17.25" x14ac:dyDescent="0.35">
      <c r="A81">
        <v>80</v>
      </c>
      <c r="B81" t="s">
        <v>201</v>
      </c>
      <c r="C81" t="s">
        <v>131</v>
      </c>
      <c r="D81" t="s">
        <v>177</v>
      </c>
      <c r="E81" t="s">
        <v>78</v>
      </c>
      <c r="F81" s="1">
        <v>37864</v>
      </c>
      <c r="G81" s="1">
        <v>7340</v>
      </c>
      <c r="H81" s="1">
        <v>84000</v>
      </c>
    </row>
    <row r="82" spans="1:8" ht="17.25" x14ac:dyDescent="0.35">
      <c r="A82">
        <v>81</v>
      </c>
      <c r="B82" t="s">
        <v>202</v>
      </c>
      <c r="C82" t="s">
        <v>21</v>
      </c>
      <c r="D82" t="s">
        <v>22</v>
      </c>
      <c r="E82" t="s">
        <v>203</v>
      </c>
      <c r="F82" s="1">
        <v>35653</v>
      </c>
      <c r="G82" s="1">
        <v>2171</v>
      </c>
      <c r="H82" s="1">
        <v>41350</v>
      </c>
    </row>
    <row r="83" spans="1:8" ht="17.25" x14ac:dyDescent="0.35">
      <c r="A83">
        <v>82</v>
      </c>
      <c r="B83" t="s">
        <v>204</v>
      </c>
      <c r="C83" t="s">
        <v>21</v>
      </c>
      <c r="D83" t="s">
        <v>163</v>
      </c>
      <c r="E83" t="s">
        <v>50</v>
      </c>
      <c r="F83" s="1">
        <v>35181</v>
      </c>
      <c r="G83" s="1">
        <v>1214</v>
      </c>
      <c r="H83" s="1">
        <v>12735</v>
      </c>
    </row>
    <row r="84" spans="1:8" ht="17.25" x14ac:dyDescent="0.35">
      <c r="A84">
        <v>83</v>
      </c>
      <c r="B84" t="s">
        <v>205</v>
      </c>
      <c r="C84" t="s">
        <v>21</v>
      </c>
      <c r="D84" t="s">
        <v>57</v>
      </c>
      <c r="E84" t="s">
        <v>50</v>
      </c>
      <c r="F84" s="1">
        <v>34693</v>
      </c>
      <c r="G84" s="1">
        <v>56</v>
      </c>
      <c r="H84" s="1">
        <v>1231</v>
      </c>
    </row>
    <row r="85" spans="1:8" ht="17.25" x14ac:dyDescent="0.35">
      <c r="A85">
        <v>84</v>
      </c>
      <c r="B85" t="s">
        <v>206</v>
      </c>
      <c r="C85" t="s">
        <v>115</v>
      </c>
      <c r="D85" t="s">
        <v>116</v>
      </c>
      <c r="E85" t="s">
        <v>207</v>
      </c>
      <c r="F85" s="1">
        <v>34582</v>
      </c>
      <c r="G85" s="1">
        <v>781</v>
      </c>
      <c r="H85" s="1">
        <v>12511</v>
      </c>
    </row>
    <row r="86" spans="1:8" ht="17.25" x14ac:dyDescent="0.35">
      <c r="A86">
        <v>85</v>
      </c>
      <c r="B86" t="s">
        <v>208</v>
      </c>
      <c r="C86" t="s">
        <v>21</v>
      </c>
      <c r="D86" t="s">
        <v>57</v>
      </c>
      <c r="E86" t="s">
        <v>50</v>
      </c>
      <c r="F86" s="1">
        <v>34441</v>
      </c>
      <c r="G86" s="1">
        <v>5163</v>
      </c>
      <c r="H86" s="1">
        <v>54800</v>
      </c>
    </row>
    <row r="87" spans="1:8" ht="17.25" x14ac:dyDescent="0.35">
      <c r="A87">
        <v>86</v>
      </c>
      <c r="B87" t="s">
        <v>209</v>
      </c>
      <c r="C87" t="s">
        <v>25</v>
      </c>
      <c r="D87" t="s">
        <v>110</v>
      </c>
      <c r="E87" t="s">
        <v>210</v>
      </c>
      <c r="F87" s="1">
        <v>32639</v>
      </c>
      <c r="G87" s="1">
        <v>18108</v>
      </c>
      <c r="H87" s="1">
        <v>8000</v>
      </c>
    </row>
    <row r="88" spans="1:8" ht="17.25" x14ac:dyDescent="0.35">
      <c r="A88">
        <v>87</v>
      </c>
      <c r="B88" t="s">
        <v>211</v>
      </c>
      <c r="C88" t="s">
        <v>32</v>
      </c>
      <c r="D88" t="s">
        <v>32</v>
      </c>
      <c r="E88" t="s">
        <v>212</v>
      </c>
      <c r="F88" s="1">
        <v>32619</v>
      </c>
      <c r="G88" s="1">
        <v>1965</v>
      </c>
      <c r="H88" s="1">
        <v>180000</v>
      </c>
    </row>
    <row r="89" spans="1:8" ht="17.25" x14ac:dyDescent="0.35">
      <c r="A89">
        <v>88</v>
      </c>
      <c r="B89" t="s">
        <v>213</v>
      </c>
      <c r="C89" t="s">
        <v>76</v>
      </c>
      <c r="D89" t="s">
        <v>77</v>
      </c>
      <c r="E89" t="s">
        <v>214</v>
      </c>
      <c r="F89" s="1">
        <v>31469</v>
      </c>
      <c r="G89" s="1">
        <v>2965</v>
      </c>
      <c r="H89" s="1">
        <v>99900</v>
      </c>
    </row>
    <row r="90" spans="1:8" ht="17.25" x14ac:dyDescent="0.35">
      <c r="A90">
        <v>89</v>
      </c>
      <c r="B90" t="s">
        <v>215</v>
      </c>
      <c r="C90" t="s">
        <v>9</v>
      </c>
      <c r="D90" t="s">
        <v>216</v>
      </c>
      <c r="E90" t="s">
        <v>217</v>
      </c>
      <c r="F90" s="1">
        <v>30945</v>
      </c>
      <c r="G90" s="1">
        <v>2278</v>
      </c>
      <c r="H90" s="1">
        <v>216000</v>
      </c>
    </row>
    <row r="91" spans="1:8" ht="17.25" x14ac:dyDescent="0.35">
      <c r="A91">
        <v>90</v>
      </c>
      <c r="B91" t="s">
        <v>218</v>
      </c>
      <c r="C91" t="s">
        <v>13</v>
      </c>
      <c r="D91" t="s">
        <v>219</v>
      </c>
      <c r="E91" t="s">
        <v>89</v>
      </c>
      <c r="F91" s="1">
        <v>30935</v>
      </c>
      <c r="G91" s="1">
        <v>-4428</v>
      </c>
      <c r="H91" s="1">
        <v>15900</v>
      </c>
    </row>
    <row r="92" spans="1:8" ht="17.25" x14ac:dyDescent="0.35">
      <c r="A92">
        <v>91</v>
      </c>
      <c r="B92" t="s">
        <v>220</v>
      </c>
      <c r="C92" t="s">
        <v>221</v>
      </c>
      <c r="D92" t="s">
        <v>221</v>
      </c>
      <c r="E92" t="s">
        <v>222</v>
      </c>
      <c r="F92" s="1">
        <v>30601</v>
      </c>
      <c r="G92" s="1">
        <v>3273</v>
      </c>
      <c r="H92" s="1">
        <v>62600</v>
      </c>
    </row>
    <row r="93" spans="1:8" ht="17.25" x14ac:dyDescent="0.35">
      <c r="A93">
        <v>92</v>
      </c>
      <c r="B93" t="s">
        <v>223</v>
      </c>
      <c r="C93" t="s">
        <v>153</v>
      </c>
      <c r="D93" t="s">
        <v>224</v>
      </c>
      <c r="E93" t="s">
        <v>225</v>
      </c>
      <c r="F93" s="1">
        <v>30380</v>
      </c>
      <c r="G93" s="1">
        <v>187</v>
      </c>
      <c r="H93" s="1">
        <v>4700</v>
      </c>
    </row>
    <row r="94" spans="1:8" ht="17.25" x14ac:dyDescent="0.35">
      <c r="A94">
        <v>93</v>
      </c>
      <c r="B94" t="s">
        <v>226</v>
      </c>
      <c r="C94" t="s">
        <v>44</v>
      </c>
      <c r="D94" t="s">
        <v>227</v>
      </c>
      <c r="E94" t="s">
        <v>228</v>
      </c>
      <c r="F94" s="1">
        <v>30274</v>
      </c>
      <c r="G94" s="1">
        <v>4833</v>
      </c>
      <c r="H94" s="1">
        <v>89446</v>
      </c>
    </row>
    <row r="95" spans="1:8" ht="17.25" x14ac:dyDescent="0.35">
      <c r="A95">
        <v>94</v>
      </c>
      <c r="B95" t="s">
        <v>229</v>
      </c>
      <c r="C95" t="s">
        <v>115</v>
      </c>
      <c r="D95" t="s">
        <v>122</v>
      </c>
      <c r="E95" t="s">
        <v>65</v>
      </c>
      <c r="F95" s="1">
        <v>29636</v>
      </c>
      <c r="G95" s="1">
        <v>7267</v>
      </c>
      <c r="H95" s="1">
        <v>99000</v>
      </c>
    </row>
    <row r="96" spans="1:8" ht="17.25" x14ac:dyDescent="0.35">
      <c r="A96">
        <v>95</v>
      </c>
      <c r="B96" t="s">
        <v>230</v>
      </c>
      <c r="C96" t="s">
        <v>13</v>
      </c>
      <c r="D96" t="s">
        <v>231</v>
      </c>
      <c r="E96" t="s">
        <v>78</v>
      </c>
      <c r="F96" s="1">
        <v>29447</v>
      </c>
      <c r="G96" s="1">
        <v>2269</v>
      </c>
      <c r="H96" s="1">
        <v>29762</v>
      </c>
    </row>
    <row r="97" spans="1:8" ht="17.25" x14ac:dyDescent="0.35">
      <c r="A97">
        <v>96</v>
      </c>
      <c r="B97" t="s">
        <v>232</v>
      </c>
      <c r="C97" t="s">
        <v>142</v>
      </c>
      <c r="D97" t="s">
        <v>143</v>
      </c>
      <c r="E97" t="s">
        <v>50</v>
      </c>
      <c r="F97" s="1">
        <v>28987</v>
      </c>
      <c r="G97" s="1">
        <v>8306</v>
      </c>
      <c r="H97" s="1">
        <v>20500</v>
      </c>
    </row>
    <row r="98" spans="1:8" ht="17.25" x14ac:dyDescent="0.35">
      <c r="A98">
        <v>97</v>
      </c>
      <c r="B98" t="s">
        <v>233</v>
      </c>
      <c r="C98" t="s">
        <v>44</v>
      </c>
      <c r="D98" t="s">
        <v>158</v>
      </c>
      <c r="E98" t="s">
        <v>234</v>
      </c>
      <c r="F98" s="1">
        <v>28863</v>
      </c>
      <c r="G98" s="1">
        <v>1940</v>
      </c>
      <c r="H98" s="1">
        <v>57180</v>
      </c>
    </row>
    <row r="99" spans="1:8" ht="17.25" x14ac:dyDescent="0.35">
      <c r="A99">
        <v>98</v>
      </c>
      <c r="B99" t="s">
        <v>235</v>
      </c>
      <c r="C99" t="s">
        <v>13</v>
      </c>
      <c r="D99" t="s">
        <v>14</v>
      </c>
      <c r="E99" t="s">
        <v>94</v>
      </c>
      <c r="F99" s="1">
        <v>28150</v>
      </c>
      <c r="G99" s="1">
        <v>1540</v>
      </c>
      <c r="H99" s="1">
        <v>6016</v>
      </c>
    </row>
    <row r="100" spans="1:8" ht="17.25" x14ac:dyDescent="0.35">
      <c r="A100">
        <v>99</v>
      </c>
      <c r="B100" t="s">
        <v>236</v>
      </c>
      <c r="C100" t="s">
        <v>142</v>
      </c>
      <c r="D100" t="s">
        <v>143</v>
      </c>
      <c r="E100" t="s">
        <v>50</v>
      </c>
      <c r="F100" s="1">
        <v>28118</v>
      </c>
      <c r="G100" s="1">
        <v>3833</v>
      </c>
      <c r="H100" s="1">
        <v>24800</v>
      </c>
    </row>
    <row r="101" spans="1:8" ht="17.25" x14ac:dyDescent="0.35">
      <c r="A101">
        <v>100</v>
      </c>
      <c r="B101" t="s">
        <v>237</v>
      </c>
      <c r="C101" t="s">
        <v>21</v>
      </c>
      <c r="D101" t="s">
        <v>163</v>
      </c>
      <c r="E101" t="s">
        <v>183</v>
      </c>
      <c r="F101" s="1">
        <v>28111</v>
      </c>
      <c r="G101" s="1">
        <v>815</v>
      </c>
      <c r="H101" s="1">
        <v>5530</v>
      </c>
    </row>
    <row r="102" spans="1:8" ht="17.25" x14ac:dyDescent="0.35">
      <c r="A102">
        <v>101</v>
      </c>
      <c r="B102" t="s">
        <v>238</v>
      </c>
      <c r="C102" t="s">
        <v>150</v>
      </c>
      <c r="D102" t="s">
        <v>150</v>
      </c>
      <c r="E102" t="s">
        <v>239</v>
      </c>
      <c r="F102" s="1">
        <v>27940</v>
      </c>
      <c r="G102" s="1">
        <v>1953</v>
      </c>
      <c r="H102" s="1">
        <v>52000</v>
      </c>
    </row>
    <row r="103" spans="1:8" ht="17.25" x14ac:dyDescent="0.35">
      <c r="A103">
        <v>102</v>
      </c>
      <c r="B103" t="s">
        <v>240</v>
      </c>
      <c r="C103" t="s">
        <v>153</v>
      </c>
      <c r="D103" t="s">
        <v>170</v>
      </c>
      <c r="E103" t="s">
        <v>241</v>
      </c>
      <c r="F103" s="1">
        <v>27925</v>
      </c>
      <c r="G103" s="1">
        <v>572</v>
      </c>
      <c r="H103" s="1">
        <v>18800</v>
      </c>
    </row>
    <row r="104" spans="1:8" ht="17.25" x14ac:dyDescent="0.35">
      <c r="A104">
        <v>103</v>
      </c>
      <c r="B104" t="s">
        <v>242</v>
      </c>
      <c r="C104" t="s">
        <v>9</v>
      </c>
      <c r="D104" t="s">
        <v>10</v>
      </c>
      <c r="E104" t="s">
        <v>60</v>
      </c>
      <c r="F104" s="1">
        <v>27079</v>
      </c>
      <c r="G104" s="1">
        <v>1072</v>
      </c>
      <c r="H104" s="1">
        <v>157500</v>
      </c>
    </row>
    <row r="105" spans="1:8" ht="17.25" x14ac:dyDescent="0.35">
      <c r="A105">
        <v>104</v>
      </c>
      <c r="B105" t="s">
        <v>243</v>
      </c>
      <c r="C105" t="s">
        <v>13</v>
      </c>
      <c r="D105" t="s">
        <v>173</v>
      </c>
      <c r="E105" t="s">
        <v>89</v>
      </c>
      <c r="F105" s="1">
        <v>27028</v>
      </c>
      <c r="G105" s="1">
        <v>2521</v>
      </c>
      <c r="H105" s="1">
        <v>6800</v>
      </c>
    </row>
    <row r="106" spans="1:8" ht="17.25" x14ac:dyDescent="0.35">
      <c r="A106">
        <v>105</v>
      </c>
      <c r="B106" t="s">
        <v>244</v>
      </c>
      <c r="C106" t="s">
        <v>21</v>
      </c>
      <c r="D106" t="s">
        <v>22</v>
      </c>
      <c r="E106" t="s">
        <v>50</v>
      </c>
      <c r="F106" s="1">
        <v>26800</v>
      </c>
      <c r="G106" s="1">
        <v>3439</v>
      </c>
      <c r="H106" s="1">
        <v>30900</v>
      </c>
    </row>
    <row r="107" spans="1:8" ht="17.25" x14ac:dyDescent="0.35">
      <c r="A107">
        <v>106</v>
      </c>
      <c r="B107" t="s">
        <v>245</v>
      </c>
      <c r="C107" t="s">
        <v>115</v>
      </c>
      <c r="D107" t="s">
        <v>246</v>
      </c>
      <c r="E107" t="s">
        <v>50</v>
      </c>
      <c r="F107" s="1">
        <v>26794</v>
      </c>
      <c r="G107" s="1">
        <v>6873</v>
      </c>
      <c r="H107" s="1">
        <v>80200</v>
      </c>
    </row>
    <row r="108" spans="1:8" ht="17.25" x14ac:dyDescent="0.35">
      <c r="A108">
        <v>107</v>
      </c>
      <c r="B108" t="s">
        <v>247</v>
      </c>
      <c r="C108" t="s">
        <v>32</v>
      </c>
      <c r="D108" t="s">
        <v>32</v>
      </c>
      <c r="E108" t="s">
        <v>248</v>
      </c>
      <c r="F108" s="1">
        <v>26528</v>
      </c>
      <c r="G108" s="1">
        <v>2109</v>
      </c>
      <c r="H108" s="1">
        <v>69865</v>
      </c>
    </row>
    <row r="109" spans="1:8" ht="17.25" x14ac:dyDescent="0.35">
      <c r="A109">
        <v>108</v>
      </c>
      <c r="B109" t="s">
        <v>249</v>
      </c>
      <c r="C109" t="s">
        <v>153</v>
      </c>
      <c r="D109" t="s">
        <v>170</v>
      </c>
      <c r="E109" t="s">
        <v>250</v>
      </c>
      <c r="F109" s="1">
        <v>26380</v>
      </c>
      <c r="G109" s="1">
        <v>266</v>
      </c>
      <c r="H109" s="1">
        <v>9000</v>
      </c>
    </row>
    <row r="110" spans="1:8" ht="17.25" x14ac:dyDescent="0.35">
      <c r="A110">
        <v>109</v>
      </c>
      <c r="B110" t="s">
        <v>251</v>
      </c>
      <c r="C110" t="s">
        <v>252</v>
      </c>
      <c r="D110" t="s">
        <v>253</v>
      </c>
      <c r="E110" t="s">
        <v>254</v>
      </c>
      <c r="F110" s="1">
        <v>25413</v>
      </c>
      <c r="G110" s="1">
        <v>4529</v>
      </c>
      <c r="H110" s="1">
        <v>420000</v>
      </c>
    </row>
    <row r="111" spans="1:8" ht="17.25" x14ac:dyDescent="0.35">
      <c r="A111">
        <v>110</v>
      </c>
      <c r="B111" t="s">
        <v>255</v>
      </c>
      <c r="C111" t="s">
        <v>17</v>
      </c>
      <c r="D111" t="s">
        <v>146</v>
      </c>
      <c r="E111" t="s">
        <v>256</v>
      </c>
      <c r="F111" s="1">
        <v>25281</v>
      </c>
      <c r="G111" s="1">
        <v>5271</v>
      </c>
      <c r="H111" s="1">
        <v>33000</v>
      </c>
    </row>
    <row r="112" spans="1:8" ht="17.25" x14ac:dyDescent="0.35">
      <c r="A112">
        <v>111</v>
      </c>
      <c r="B112" t="s">
        <v>257</v>
      </c>
      <c r="C112" t="s">
        <v>9</v>
      </c>
      <c r="D112" t="s">
        <v>10</v>
      </c>
      <c r="E112" t="s">
        <v>258</v>
      </c>
      <c r="F112" s="1">
        <v>25146</v>
      </c>
      <c r="G112" s="1">
        <v>-1129</v>
      </c>
      <c r="H112" s="1">
        <v>178000</v>
      </c>
    </row>
    <row r="113" spans="1:8" ht="17.25" x14ac:dyDescent="0.35">
      <c r="A113">
        <v>112</v>
      </c>
      <c r="B113" t="s">
        <v>259</v>
      </c>
      <c r="C113" t="s">
        <v>21</v>
      </c>
      <c r="D113" t="s">
        <v>74</v>
      </c>
      <c r="E113" t="s">
        <v>120</v>
      </c>
      <c r="F113" s="1">
        <v>25098</v>
      </c>
      <c r="G113" s="1">
        <v>4050</v>
      </c>
      <c r="H113" s="1">
        <v>45400</v>
      </c>
    </row>
    <row r="114" spans="1:8" ht="17.25" x14ac:dyDescent="0.35">
      <c r="A114">
        <v>113</v>
      </c>
      <c r="B114" t="s">
        <v>260</v>
      </c>
      <c r="C114" t="s">
        <v>17</v>
      </c>
      <c r="D114" t="s">
        <v>261</v>
      </c>
      <c r="E114" t="s">
        <v>262</v>
      </c>
      <c r="F114" s="1">
        <v>24704</v>
      </c>
      <c r="G114" s="1">
        <v>1990</v>
      </c>
      <c r="H114" s="1">
        <v>72000</v>
      </c>
    </row>
    <row r="115" spans="1:8" ht="17.25" x14ac:dyDescent="0.35">
      <c r="A115">
        <v>114</v>
      </c>
      <c r="B115" t="s">
        <v>263</v>
      </c>
      <c r="C115" t="s">
        <v>21</v>
      </c>
      <c r="D115" t="s">
        <v>22</v>
      </c>
      <c r="E115" t="s">
        <v>94</v>
      </c>
      <c r="F115" s="1">
        <v>24361</v>
      </c>
      <c r="G115" s="1">
        <v>2272</v>
      </c>
      <c r="H115" s="1">
        <v>28681</v>
      </c>
    </row>
    <row r="116" spans="1:8" ht="17.25" x14ac:dyDescent="0.35">
      <c r="A116">
        <v>115</v>
      </c>
      <c r="B116" t="s">
        <v>264</v>
      </c>
      <c r="C116" t="s">
        <v>13</v>
      </c>
      <c r="D116" t="s">
        <v>231</v>
      </c>
      <c r="E116" t="s">
        <v>83</v>
      </c>
      <c r="F116" s="1">
        <v>24002</v>
      </c>
      <c r="G116" s="1">
        <v>2816</v>
      </c>
      <c r="H116" s="1">
        <v>29188</v>
      </c>
    </row>
    <row r="117" spans="1:8" ht="17.25" x14ac:dyDescent="0.35">
      <c r="A117">
        <v>116</v>
      </c>
      <c r="B117" t="s">
        <v>265</v>
      </c>
      <c r="C117" t="s">
        <v>41</v>
      </c>
      <c r="D117" t="s">
        <v>41</v>
      </c>
      <c r="E117" t="s">
        <v>50</v>
      </c>
      <c r="F117" s="1">
        <v>23697</v>
      </c>
      <c r="G117" s="1">
        <v>1844</v>
      </c>
      <c r="H117" s="1">
        <v>56430</v>
      </c>
    </row>
    <row r="118" spans="1:8" ht="17.25" x14ac:dyDescent="0.35">
      <c r="A118">
        <v>117</v>
      </c>
      <c r="B118" t="s">
        <v>266</v>
      </c>
      <c r="C118" t="s">
        <v>13</v>
      </c>
      <c r="D118" t="s">
        <v>267</v>
      </c>
      <c r="E118" t="s">
        <v>89</v>
      </c>
      <c r="F118" s="1">
        <v>23633</v>
      </c>
      <c r="G118" s="1">
        <v>-671</v>
      </c>
      <c r="H118" s="1">
        <v>65000</v>
      </c>
    </row>
    <row r="119" spans="1:8" ht="17.25" x14ac:dyDescent="0.35">
      <c r="A119">
        <v>118</v>
      </c>
      <c r="B119" t="s">
        <v>268</v>
      </c>
      <c r="C119" t="s">
        <v>76</v>
      </c>
      <c r="D119" t="s">
        <v>77</v>
      </c>
      <c r="E119" t="s">
        <v>214</v>
      </c>
      <c r="F119" s="1">
        <v>23526</v>
      </c>
      <c r="G119" s="1">
        <v>1990</v>
      </c>
      <c r="H119" s="1">
        <v>65000</v>
      </c>
    </row>
    <row r="120" spans="1:8" ht="17.25" x14ac:dyDescent="0.35">
      <c r="A120">
        <v>119</v>
      </c>
      <c r="B120" t="s">
        <v>269</v>
      </c>
      <c r="C120" t="s">
        <v>153</v>
      </c>
      <c r="D120" t="s">
        <v>170</v>
      </c>
      <c r="E120" t="s">
        <v>270</v>
      </c>
      <c r="F120" s="1">
        <v>23282</v>
      </c>
      <c r="G120" s="1">
        <v>498</v>
      </c>
      <c r="H120" s="1">
        <v>18500</v>
      </c>
    </row>
    <row r="121" spans="1:8" ht="17.25" x14ac:dyDescent="0.35">
      <c r="A121">
        <v>120</v>
      </c>
      <c r="B121" t="s">
        <v>271</v>
      </c>
      <c r="C121" t="s">
        <v>76</v>
      </c>
      <c r="D121" t="s">
        <v>77</v>
      </c>
      <c r="E121" t="s">
        <v>272</v>
      </c>
      <c r="F121" s="1">
        <v>23247</v>
      </c>
      <c r="G121" s="1">
        <v>2074</v>
      </c>
      <c r="H121" s="1">
        <v>61000</v>
      </c>
    </row>
    <row r="122" spans="1:8" ht="17.25" x14ac:dyDescent="0.35">
      <c r="A122">
        <v>121</v>
      </c>
      <c r="B122" t="s">
        <v>273</v>
      </c>
      <c r="C122" t="s">
        <v>13</v>
      </c>
      <c r="D122" t="s">
        <v>173</v>
      </c>
      <c r="E122" t="s">
        <v>89</v>
      </c>
      <c r="F122" s="1">
        <v>23152</v>
      </c>
      <c r="G122" s="1">
        <v>118</v>
      </c>
      <c r="H122" s="1">
        <v>5400</v>
      </c>
    </row>
    <row r="123" spans="1:8" ht="17.25" x14ac:dyDescent="0.35">
      <c r="A123">
        <v>122</v>
      </c>
      <c r="B123" t="s">
        <v>274</v>
      </c>
      <c r="C123" t="s">
        <v>153</v>
      </c>
      <c r="D123" t="s">
        <v>154</v>
      </c>
      <c r="E123" t="s">
        <v>275</v>
      </c>
      <c r="F123" s="1">
        <v>23128</v>
      </c>
      <c r="G123" s="1">
        <v>168</v>
      </c>
      <c r="H123" s="1">
        <v>25000</v>
      </c>
    </row>
    <row r="124" spans="1:8" ht="17.25" x14ac:dyDescent="0.35">
      <c r="A124">
        <v>123</v>
      </c>
      <c r="B124" t="s">
        <v>276</v>
      </c>
      <c r="C124" t="s">
        <v>25</v>
      </c>
      <c r="D124" t="s">
        <v>110</v>
      </c>
      <c r="E124" t="s">
        <v>277</v>
      </c>
      <c r="F124" s="1">
        <v>22859</v>
      </c>
      <c r="G124" s="1">
        <v>5144</v>
      </c>
      <c r="H124" s="1">
        <v>28000</v>
      </c>
    </row>
    <row r="125" spans="1:8" ht="17.25" x14ac:dyDescent="0.35">
      <c r="A125">
        <v>124</v>
      </c>
      <c r="B125" t="s">
        <v>278</v>
      </c>
      <c r="C125" t="s">
        <v>25</v>
      </c>
      <c r="D125" t="s">
        <v>29</v>
      </c>
      <c r="E125" t="s">
        <v>72</v>
      </c>
      <c r="F125" s="1">
        <v>22795</v>
      </c>
      <c r="G125" s="1">
        <v>355</v>
      </c>
      <c r="H125" s="1">
        <v>18200</v>
      </c>
    </row>
    <row r="126" spans="1:8" ht="17.25" x14ac:dyDescent="0.35">
      <c r="A126">
        <v>125</v>
      </c>
      <c r="B126" t="s">
        <v>279</v>
      </c>
      <c r="C126" t="s">
        <v>25</v>
      </c>
      <c r="D126" t="s">
        <v>167</v>
      </c>
      <c r="E126" t="s">
        <v>280</v>
      </c>
      <c r="F126" s="1">
        <v>22678</v>
      </c>
      <c r="G126" s="1">
        <v>158</v>
      </c>
      <c r="H126" s="1">
        <v>123000</v>
      </c>
    </row>
    <row r="127" spans="1:8" ht="17.25" x14ac:dyDescent="0.35">
      <c r="A127">
        <v>126</v>
      </c>
      <c r="B127" t="s">
        <v>281</v>
      </c>
      <c r="C127" t="s">
        <v>282</v>
      </c>
      <c r="D127" t="s">
        <v>283</v>
      </c>
      <c r="E127" t="s">
        <v>50</v>
      </c>
      <c r="F127" s="1">
        <v>22534</v>
      </c>
      <c r="G127" s="1">
        <v>-322</v>
      </c>
      <c r="H127" s="1">
        <v>60000</v>
      </c>
    </row>
    <row r="128" spans="1:8" ht="17.25" x14ac:dyDescent="0.35">
      <c r="A128">
        <v>127</v>
      </c>
      <c r="B128" t="s">
        <v>284</v>
      </c>
      <c r="C128" t="s">
        <v>282</v>
      </c>
      <c r="D128" t="s">
        <v>285</v>
      </c>
      <c r="E128" t="s">
        <v>156</v>
      </c>
      <c r="F128" s="1">
        <v>22365</v>
      </c>
      <c r="G128" s="1">
        <v>938</v>
      </c>
      <c r="H128" s="1">
        <v>56000</v>
      </c>
    </row>
    <row r="129" spans="1:8" ht="17.25" x14ac:dyDescent="0.35">
      <c r="A129">
        <v>128</v>
      </c>
      <c r="B129" t="s">
        <v>286</v>
      </c>
      <c r="C129" t="s">
        <v>44</v>
      </c>
      <c r="D129" t="s">
        <v>192</v>
      </c>
      <c r="E129" t="s">
        <v>72</v>
      </c>
      <c r="F129" s="1">
        <v>22304</v>
      </c>
      <c r="G129" s="1">
        <v>2710</v>
      </c>
      <c r="H129" s="1">
        <v>110800</v>
      </c>
    </row>
    <row r="130" spans="1:8" ht="17.25" x14ac:dyDescent="0.35">
      <c r="A130">
        <v>129</v>
      </c>
      <c r="B130" t="s">
        <v>287</v>
      </c>
      <c r="C130" t="s">
        <v>131</v>
      </c>
      <c r="D130" t="s">
        <v>288</v>
      </c>
      <c r="E130" t="s">
        <v>23</v>
      </c>
      <c r="F130" s="1">
        <v>21813</v>
      </c>
      <c r="G130" s="1">
        <v>4772</v>
      </c>
      <c r="H130" s="1">
        <v>47457</v>
      </c>
    </row>
    <row r="131" spans="1:8" ht="17.25" x14ac:dyDescent="0.35">
      <c r="A131">
        <v>130</v>
      </c>
      <c r="B131" t="s">
        <v>289</v>
      </c>
      <c r="C131" t="s">
        <v>25</v>
      </c>
      <c r="D131" t="s">
        <v>110</v>
      </c>
      <c r="E131" t="s">
        <v>290</v>
      </c>
      <c r="F131" s="1">
        <v>21662</v>
      </c>
      <c r="G131" s="1">
        <v>6939</v>
      </c>
      <c r="H131" s="1">
        <v>17900</v>
      </c>
    </row>
    <row r="132" spans="1:8" ht="17.25" x14ac:dyDescent="0.35">
      <c r="A132">
        <v>131</v>
      </c>
      <c r="B132" t="s">
        <v>291</v>
      </c>
      <c r="C132" t="s">
        <v>21</v>
      </c>
      <c r="D132" t="s">
        <v>74</v>
      </c>
      <c r="E132" t="s">
        <v>108</v>
      </c>
      <c r="F132" s="1">
        <v>21494</v>
      </c>
      <c r="G132" s="1">
        <v>5879</v>
      </c>
      <c r="H132" s="1">
        <v>65433</v>
      </c>
    </row>
    <row r="133" spans="1:8" ht="17.25" x14ac:dyDescent="0.35">
      <c r="A133">
        <v>132</v>
      </c>
      <c r="B133" t="s">
        <v>292</v>
      </c>
      <c r="C133" t="s">
        <v>9</v>
      </c>
      <c r="D133" t="s">
        <v>54</v>
      </c>
      <c r="E133" t="s">
        <v>217</v>
      </c>
      <c r="F133" s="1">
        <v>21059</v>
      </c>
      <c r="G133" s="1">
        <v>379</v>
      </c>
      <c r="H133" s="1">
        <v>58963</v>
      </c>
    </row>
    <row r="134" spans="1:8" ht="17.25" x14ac:dyDescent="0.35">
      <c r="A134">
        <v>133</v>
      </c>
      <c r="B134" t="s">
        <v>293</v>
      </c>
      <c r="C134" t="s">
        <v>17</v>
      </c>
      <c r="D134" t="s">
        <v>294</v>
      </c>
      <c r="E134" t="s">
        <v>58</v>
      </c>
      <c r="F134" s="1">
        <v>20909</v>
      </c>
      <c r="G134" s="1">
        <v>3357</v>
      </c>
      <c r="H134" s="1">
        <v>81000</v>
      </c>
    </row>
    <row r="135" spans="1:8" ht="17.25" x14ac:dyDescent="0.35">
      <c r="A135">
        <v>134</v>
      </c>
      <c r="B135" t="s">
        <v>295</v>
      </c>
      <c r="C135" t="s">
        <v>44</v>
      </c>
      <c r="D135" t="s">
        <v>192</v>
      </c>
      <c r="E135" t="s">
        <v>296</v>
      </c>
      <c r="F135" s="1">
        <v>20891</v>
      </c>
      <c r="G135" s="1">
        <v>783</v>
      </c>
      <c r="H135" s="1">
        <v>97000</v>
      </c>
    </row>
    <row r="136" spans="1:8" ht="17.25" x14ac:dyDescent="0.35">
      <c r="A136">
        <v>135</v>
      </c>
      <c r="B136" t="s">
        <v>297</v>
      </c>
      <c r="C136" t="s">
        <v>21</v>
      </c>
      <c r="D136" t="s">
        <v>113</v>
      </c>
      <c r="E136" t="s">
        <v>298</v>
      </c>
      <c r="F136" s="1">
        <v>20872</v>
      </c>
      <c r="G136" s="1">
        <v>2533</v>
      </c>
      <c r="H136" s="1">
        <v>9915</v>
      </c>
    </row>
    <row r="137" spans="1:8" ht="17.25" x14ac:dyDescent="0.35">
      <c r="A137">
        <v>136</v>
      </c>
      <c r="B137" t="s">
        <v>299</v>
      </c>
      <c r="C137" t="s">
        <v>9</v>
      </c>
      <c r="D137" t="s">
        <v>300</v>
      </c>
      <c r="E137" t="s">
        <v>301</v>
      </c>
      <c r="F137" s="1">
        <v>20862</v>
      </c>
      <c r="G137" s="1">
        <v>443</v>
      </c>
      <c r="H137" s="1">
        <v>26000</v>
      </c>
    </row>
    <row r="138" spans="1:8" ht="17.25" x14ac:dyDescent="0.35">
      <c r="A138">
        <v>137</v>
      </c>
      <c r="B138" t="s">
        <v>302</v>
      </c>
      <c r="C138" t="s">
        <v>21</v>
      </c>
      <c r="D138" t="s">
        <v>22</v>
      </c>
      <c r="E138" t="s">
        <v>303</v>
      </c>
      <c r="F138" s="1">
        <v>20854</v>
      </c>
      <c r="G138" s="1">
        <v>1268</v>
      </c>
      <c r="H138" s="1">
        <v>28580</v>
      </c>
    </row>
    <row r="139" spans="1:8" ht="17.25" x14ac:dyDescent="0.35">
      <c r="A139">
        <v>138</v>
      </c>
      <c r="B139" t="s">
        <v>304</v>
      </c>
      <c r="C139" t="s">
        <v>25</v>
      </c>
      <c r="D139" t="s">
        <v>305</v>
      </c>
      <c r="E139" t="s">
        <v>306</v>
      </c>
      <c r="F139" s="1">
        <v>20661</v>
      </c>
      <c r="G139" s="1">
        <v>4423</v>
      </c>
      <c r="H139" s="1">
        <v>74000</v>
      </c>
    </row>
    <row r="140" spans="1:8" ht="17.25" x14ac:dyDescent="0.35">
      <c r="A140">
        <v>139</v>
      </c>
      <c r="B140" t="s">
        <v>307</v>
      </c>
      <c r="C140" t="s">
        <v>9</v>
      </c>
      <c r="D140" t="s">
        <v>10</v>
      </c>
      <c r="E140" t="s">
        <v>308</v>
      </c>
      <c r="F140" s="1">
        <v>20369</v>
      </c>
      <c r="G140" s="1">
        <v>1165</v>
      </c>
      <c r="H140" s="1">
        <v>113400</v>
      </c>
    </row>
    <row r="141" spans="1:8" ht="17.25" x14ac:dyDescent="0.35">
      <c r="A141">
        <v>140</v>
      </c>
      <c r="B141" t="s">
        <v>309</v>
      </c>
      <c r="C141" t="s">
        <v>25</v>
      </c>
      <c r="D141" t="s">
        <v>167</v>
      </c>
      <c r="E141" t="s">
        <v>42</v>
      </c>
      <c r="F141" s="1">
        <v>20111</v>
      </c>
      <c r="G141" s="1">
        <v>-140</v>
      </c>
      <c r="H141" s="1">
        <v>119148</v>
      </c>
    </row>
    <row r="142" spans="1:8" ht="17.25" x14ac:dyDescent="0.35">
      <c r="A142">
        <v>141</v>
      </c>
      <c r="B142" t="s">
        <v>310</v>
      </c>
      <c r="C142" t="s">
        <v>25</v>
      </c>
      <c r="D142" t="s">
        <v>110</v>
      </c>
      <c r="E142" t="s">
        <v>96</v>
      </c>
      <c r="F142" s="1">
        <v>19959</v>
      </c>
      <c r="G142" s="1">
        <v>2408</v>
      </c>
      <c r="H142" s="1">
        <v>41275</v>
      </c>
    </row>
    <row r="143" spans="1:8" ht="17.25" x14ac:dyDescent="0.35">
      <c r="A143">
        <v>142</v>
      </c>
      <c r="B143" t="s">
        <v>311</v>
      </c>
      <c r="C143" t="s">
        <v>131</v>
      </c>
      <c r="D143" t="s">
        <v>177</v>
      </c>
      <c r="E143" t="s">
        <v>42</v>
      </c>
      <c r="F143" s="1">
        <v>19820</v>
      </c>
      <c r="G143" s="1">
        <v>2181</v>
      </c>
      <c r="H143" s="1">
        <v>49583</v>
      </c>
    </row>
    <row r="144" spans="1:8" ht="17.25" x14ac:dyDescent="0.35">
      <c r="A144">
        <v>143</v>
      </c>
      <c r="B144" t="s">
        <v>312</v>
      </c>
      <c r="C144" t="s">
        <v>9</v>
      </c>
      <c r="D144" t="s">
        <v>300</v>
      </c>
      <c r="E144" t="s">
        <v>313</v>
      </c>
      <c r="F144" s="1">
        <v>19361</v>
      </c>
      <c r="G144" s="1">
        <v>326</v>
      </c>
      <c r="H144" s="1">
        <v>23000</v>
      </c>
    </row>
    <row r="145" spans="1:8" ht="17.25" x14ac:dyDescent="0.35">
      <c r="A145">
        <v>144</v>
      </c>
      <c r="B145" t="s">
        <v>314</v>
      </c>
      <c r="C145" t="s">
        <v>315</v>
      </c>
      <c r="D145" t="s">
        <v>316</v>
      </c>
      <c r="E145" t="s">
        <v>183</v>
      </c>
      <c r="F145" s="1">
        <v>19330</v>
      </c>
      <c r="G145" s="1">
        <v>419</v>
      </c>
      <c r="H145" s="1">
        <v>27000</v>
      </c>
    </row>
    <row r="146" spans="1:8" ht="17.25" x14ac:dyDescent="0.35">
      <c r="A146">
        <v>145</v>
      </c>
      <c r="B146" t="s">
        <v>317</v>
      </c>
      <c r="C146" t="s">
        <v>9</v>
      </c>
      <c r="D146" t="s">
        <v>10</v>
      </c>
      <c r="E146" t="s">
        <v>318</v>
      </c>
      <c r="F146" s="1">
        <v>19204</v>
      </c>
      <c r="G146" s="1">
        <v>673</v>
      </c>
      <c r="H146" s="1">
        <v>86000</v>
      </c>
    </row>
    <row r="147" spans="1:8" ht="17.25" x14ac:dyDescent="0.35">
      <c r="A147">
        <v>146</v>
      </c>
      <c r="B147" t="s">
        <v>319</v>
      </c>
      <c r="C147" t="s">
        <v>252</v>
      </c>
      <c r="D147" t="s">
        <v>253</v>
      </c>
      <c r="E147" t="s">
        <v>63</v>
      </c>
      <c r="F147" s="1">
        <v>19163</v>
      </c>
      <c r="G147" s="1">
        <v>2757</v>
      </c>
      <c r="H147" s="1">
        <v>238000</v>
      </c>
    </row>
    <row r="148" spans="1:8" ht="17.25" x14ac:dyDescent="0.35">
      <c r="A148">
        <v>147</v>
      </c>
      <c r="B148" t="s">
        <v>320</v>
      </c>
      <c r="C148" t="s">
        <v>35</v>
      </c>
      <c r="D148" t="s">
        <v>36</v>
      </c>
      <c r="E148" t="s">
        <v>321</v>
      </c>
      <c r="F148" s="1">
        <v>19115</v>
      </c>
      <c r="G148" s="1">
        <v>1604</v>
      </c>
      <c r="H148" s="1">
        <v>23000</v>
      </c>
    </row>
    <row r="149" spans="1:8" ht="17.25" x14ac:dyDescent="0.35">
      <c r="A149">
        <v>148</v>
      </c>
      <c r="B149" t="s">
        <v>322</v>
      </c>
      <c r="C149" t="s">
        <v>44</v>
      </c>
      <c r="D149" t="s">
        <v>158</v>
      </c>
      <c r="E149" t="s">
        <v>323</v>
      </c>
      <c r="F149" s="1">
        <v>19110</v>
      </c>
      <c r="G149" s="1">
        <v>1399</v>
      </c>
      <c r="H149" s="1">
        <v>55200</v>
      </c>
    </row>
    <row r="150" spans="1:8" ht="17.25" x14ac:dyDescent="0.35">
      <c r="A150">
        <v>149</v>
      </c>
      <c r="B150" t="s">
        <v>324</v>
      </c>
      <c r="C150" t="s">
        <v>115</v>
      </c>
      <c r="D150" t="s">
        <v>246</v>
      </c>
      <c r="E150" t="s">
        <v>325</v>
      </c>
      <c r="F150" s="1">
        <v>18854</v>
      </c>
      <c r="G150" s="1">
        <v>5241</v>
      </c>
      <c r="H150" s="1">
        <v>8800</v>
      </c>
    </row>
    <row r="151" spans="1:8" ht="17.25" x14ac:dyDescent="0.35">
      <c r="A151">
        <v>150</v>
      </c>
      <c r="B151" t="s">
        <v>326</v>
      </c>
      <c r="C151" t="s">
        <v>17</v>
      </c>
      <c r="D151" t="s">
        <v>91</v>
      </c>
      <c r="E151" t="s">
        <v>327</v>
      </c>
      <c r="F151" s="1">
        <v>18664</v>
      </c>
      <c r="G151" s="1">
        <v>474</v>
      </c>
      <c r="H151" s="1">
        <v>143600</v>
      </c>
    </row>
    <row r="152" spans="1:8" ht="17.25" x14ac:dyDescent="0.35">
      <c r="A152">
        <v>151</v>
      </c>
      <c r="B152" t="s">
        <v>328</v>
      </c>
      <c r="C152" t="s">
        <v>98</v>
      </c>
      <c r="D152" t="s">
        <v>99</v>
      </c>
      <c r="E152" t="s">
        <v>15</v>
      </c>
      <c r="F152" s="1">
        <v>18591</v>
      </c>
      <c r="G152" s="1">
        <v>1013</v>
      </c>
      <c r="H152" s="1">
        <v>43000</v>
      </c>
    </row>
    <row r="153" spans="1:8" ht="17.25" x14ac:dyDescent="0.35">
      <c r="A153">
        <v>152</v>
      </c>
      <c r="B153" t="s">
        <v>329</v>
      </c>
      <c r="C153" t="s">
        <v>21</v>
      </c>
      <c r="D153" t="s">
        <v>22</v>
      </c>
      <c r="E153" t="s">
        <v>127</v>
      </c>
      <c r="F153" s="1">
        <v>18377</v>
      </c>
      <c r="G153" s="1">
        <v>1682</v>
      </c>
      <c r="H153" s="1">
        <v>17400</v>
      </c>
    </row>
    <row r="154" spans="1:8" ht="17.25" x14ac:dyDescent="0.35">
      <c r="A154">
        <v>153</v>
      </c>
      <c r="B154" t="s">
        <v>330</v>
      </c>
      <c r="C154" t="s">
        <v>115</v>
      </c>
      <c r="D154" t="s">
        <v>122</v>
      </c>
      <c r="E154" t="s">
        <v>331</v>
      </c>
      <c r="F154" s="1">
        <v>18338</v>
      </c>
      <c r="G154" s="1">
        <v>634</v>
      </c>
      <c r="H154" s="1">
        <v>42000</v>
      </c>
    </row>
    <row r="155" spans="1:8" ht="17.25" x14ac:dyDescent="0.35">
      <c r="A155">
        <v>154</v>
      </c>
      <c r="B155" t="s">
        <v>332</v>
      </c>
      <c r="C155" t="s">
        <v>35</v>
      </c>
      <c r="D155" t="s">
        <v>36</v>
      </c>
      <c r="E155" t="s">
        <v>333</v>
      </c>
      <c r="F155" s="1">
        <v>18211</v>
      </c>
      <c r="G155" s="1">
        <v>746</v>
      </c>
      <c r="H155" s="1">
        <v>136200</v>
      </c>
    </row>
    <row r="156" spans="1:8" ht="17.25" x14ac:dyDescent="0.35">
      <c r="A156">
        <v>155</v>
      </c>
      <c r="B156" t="s">
        <v>334</v>
      </c>
      <c r="C156" t="s">
        <v>335</v>
      </c>
      <c r="D156" t="s">
        <v>336</v>
      </c>
      <c r="E156" t="s">
        <v>15</v>
      </c>
      <c r="F156" s="1">
        <v>18114</v>
      </c>
      <c r="G156" s="1">
        <v>413</v>
      </c>
      <c r="H156" s="1">
        <v>38758</v>
      </c>
    </row>
    <row r="157" spans="1:8" ht="17.25" x14ac:dyDescent="0.35">
      <c r="A157">
        <v>156</v>
      </c>
      <c r="B157" t="s">
        <v>337</v>
      </c>
      <c r="C157" t="s">
        <v>335</v>
      </c>
      <c r="D157" t="s">
        <v>336</v>
      </c>
      <c r="E157" t="s">
        <v>338</v>
      </c>
      <c r="F157" s="1">
        <v>17990</v>
      </c>
      <c r="G157" s="1">
        <v>-155</v>
      </c>
      <c r="H157" s="1">
        <v>92000</v>
      </c>
    </row>
    <row r="158" spans="1:8" ht="17.25" x14ac:dyDescent="0.35">
      <c r="A158">
        <v>157</v>
      </c>
      <c r="B158" t="s">
        <v>339</v>
      </c>
      <c r="C158" t="s">
        <v>17</v>
      </c>
      <c r="D158" t="s">
        <v>62</v>
      </c>
      <c r="E158" t="s">
        <v>340</v>
      </c>
      <c r="F158" s="1">
        <v>17928</v>
      </c>
      <c r="G158" s="1">
        <v>3688</v>
      </c>
      <c r="H158" s="1">
        <v>12691</v>
      </c>
    </row>
    <row r="159" spans="1:8" ht="17.25" x14ac:dyDescent="0.35">
      <c r="A159">
        <v>158</v>
      </c>
      <c r="B159" t="s">
        <v>341</v>
      </c>
      <c r="C159" t="s">
        <v>17</v>
      </c>
      <c r="D159" t="s">
        <v>137</v>
      </c>
      <c r="E159" t="s">
        <v>342</v>
      </c>
      <c r="F159" s="1">
        <v>17914</v>
      </c>
      <c r="G159" s="1">
        <v>284</v>
      </c>
      <c r="H159" s="1">
        <v>161000</v>
      </c>
    </row>
    <row r="160" spans="1:8" ht="17.25" x14ac:dyDescent="0.35">
      <c r="A160">
        <v>159</v>
      </c>
      <c r="B160" t="s">
        <v>343</v>
      </c>
      <c r="C160" t="s">
        <v>41</v>
      </c>
      <c r="D160" t="s">
        <v>41</v>
      </c>
      <c r="E160" t="s">
        <v>344</v>
      </c>
      <c r="F160" s="1">
        <v>17900</v>
      </c>
      <c r="G160" s="1">
        <v>878</v>
      </c>
      <c r="H160" s="1">
        <v>43000</v>
      </c>
    </row>
    <row r="161" spans="1:8" ht="17.25" x14ac:dyDescent="0.35">
      <c r="A161">
        <v>160</v>
      </c>
      <c r="B161" t="s">
        <v>345</v>
      </c>
      <c r="C161" t="s">
        <v>32</v>
      </c>
      <c r="D161" t="s">
        <v>32</v>
      </c>
      <c r="E161" t="s">
        <v>346</v>
      </c>
      <c r="F161" s="1">
        <v>17820</v>
      </c>
      <c r="G161" s="1">
        <v>192</v>
      </c>
      <c r="H161" s="1">
        <v>38500</v>
      </c>
    </row>
    <row r="162" spans="1:8" ht="17.25" x14ac:dyDescent="0.35">
      <c r="A162">
        <v>161</v>
      </c>
      <c r="B162" t="s">
        <v>347</v>
      </c>
      <c r="C162" t="s">
        <v>115</v>
      </c>
      <c r="D162" t="s">
        <v>122</v>
      </c>
      <c r="E162" t="s">
        <v>108</v>
      </c>
      <c r="F162" s="1">
        <v>17630</v>
      </c>
      <c r="G162" s="1">
        <v>1221</v>
      </c>
      <c r="H162" s="1">
        <v>42000</v>
      </c>
    </row>
    <row r="163" spans="1:8" ht="17.25" x14ac:dyDescent="0.35">
      <c r="A163">
        <v>162</v>
      </c>
      <c r="B163" t="s">
        <v>348</v>
      </c>
      <c r="C163" t="s">
        <v>13</v>
      </c>
      <c r="D163" t="s">
        <v>231</v>
      </c>
      <c r="E163" t="s">
        <v>86</v>
      </c>
      <c r="F163" s="1">
        <v>17489</v>
      </c>
      <c r="G163" s="1">
        <v>2367</v>
      </c>
      <c r="H163" s="1">
        <v>26703</v>
      </c>
    </row>
    <row r="164" spans="1:8" ht="17.25" x14ac:dyDescent="0.35">
      <c r="A164">
        <v>163</v>
      </c>
      <c r="B164" t="s">
        <v>349</v>
      </c>
      <c r="C164" t="s">
        <v>13</v>
      </c>
      <c r="D164" t="s">
        <v>231</v>
      </c>
      <c r="E164" t="s">
        <v>350</v>
      </c>
      <c r="F164" s="1">
        <v>17486</v>
      </c>
      <c r="G164" s="1">
        <v>2752</v>
      </c>
      <c r="H164" s="1">
        <v>14300</v>
      </c>
    </row>
    <row r="165" spans="1:8" ht="17.25" x14ac:dyDescent="0.35">
      <c r="A165">
        <v>164</v>
      </c>
      <c r="B165" t="s">
        <v>351</v>
      </c>
      <c r="C165" t="s">
        <v>17</v>
      </c>
      <c r="D165" t="s">
        <v>294</v>
      </c>
      <c r="E165" t="s">
        <v>272</v>
      </c>
      <c r="F165" s="1">
        <v>16965</v>
      </c>
      <c r="G165" s="1">
        <v>1975</v>
      </c>
      <c r="H165" s="1">
        <v>52400</v>
      </c>
    </row>
    <row r="166" spans="1:8" ht="17.25" x14ac:dyDescent="0.35">
      <c r="A166">
        <v>165</v>
      </c>
      <c r="B166" t="s">
        <v>352</v>
      </c>
      <c r="C166" t="s">
        <v>13</v>
      </c>
      <c r="D166" t="s">
        <v>231</v>
      </c>
      <c r="E166" t="s">
        <v>181</v>
      </c>
      <c r="F166" s="1">
        <v>16900</v>
      </c>
      <c r="G166" s="1">
        <v>2047</v>
      </c>
      <c r="H166" s="1">
        <v>17405</v>
      </c>
    </row>
    <row r="167" spans="1:8" ht="17.25" x14ac:dyDescent="0.35">
      <c r="A167">
        <v>166</v>
      </c>
      <c r="B167" t="s">
        <v>353</v>
      </c>
      <c r="C167" t="s">
        <v>13</v>
      </c>
      <c r="D167" t="s">
        <v>231</v>
      </c>
      <c r="E167" t="s">
        <v>27</v>
      </c>
      <c r="F167" s="1">
        <v>16833</v>
      </c>
      <c r="G167" s="1">
        <v>874</v>
      </c>
      <c r="H167" s="1">
        <v>23323</v>
      </c>
    </row>
    <row r="168" spans="1:8" ht="17.25" x14ac:dyDescent="0.35">
      <c r="A168">
        <v>167</v>
      </c>
      <c r="B168" t="s">
        <v>354</v>
      </c>
      <c r="C168" t="s">
        <v>153</v>
      </c>
      <c r="D168" t="s">
        <v>224</v>
      </c>
      <c r="E168" t="s">
        <v>355</v>
      </c>
      <c r="F168" s="1">
        <v>16802</v>
      </c>
      <c r="G168" s="1">
        <v>17</v>
      </c>
      <c r="H168" s="1">
        <v>3100</v>
      </c>
    </row>
    <row r="169" spans="1:8" ht="17.25" x14ac:dyDescent="0.35">
      <c r="A169">
        <v>168</v>
      </c>
      <c r="B169" t="s">
        <v>356</v>
      </c>
      <c r="C169" t="s">
        <v>25</v>
      </c>
      <c r="D169" t="s">
        <v>110</v>
      </c>
      <c r="E169" t="s">
        <v>50</v>
      </c>
      <c r="F169" s="1">
        <v>16560</v>
      </c>
      <c r="G169" s="1">
        <v>1565</v>
      </c>
      <c r="H169" s="1">
        <v>25000</v>
      </c>
    </row>
    <row r="170" spans="1:8" ht="17.25" x14ac:dyDescent="0.35">
      <c r="A170">
        <v>169</v>
      </c>
      <c r="B170" t="s">
        <v>357</v>
      </c>
      <c r="C170" t="s">
        <v>35</v>
      </c>
      <c r="D170" t="s">
        <v>36</v>
      </c>
      <c r="E170" t="s">
        <v>358</v>
      </c>
      <c r="F170" s="1">
        <v>16443</v>
      </c>
      <c r="G170" s="1">
        <v>307</v>
      </c>
      <c r="H170" s="1">
        <v>66000</v>
      </c>
    </row>
    <row r="171" spans="1:8" ht="17.25" x14ac:dyDescent="0.35">
      <c r="A171">
        <v>170</v>
      </c>
      <c r="B171" t="s">
        <v>359</v>
      </c>
      <c r="C171" t="s">
        <v>282</v>
      </c>
      <c r="D171" t="s">
        <v>283</v>
      </c>
      <c r="E171" t="s">
        <v>83</v>
      </c>
      <c r="F171" s="1">
        <v>16439</v>
      </c>
      <c r="G171" s="1">
        <v>358</v>
      </c>
      <c r="H171" s="1">
        <v>23700</v>
      </c>
    </row>
    <row r="172" spans="1:8" ht="17.25" x14ac:dyDescent="0.35">
      <c r="A172">
        <v>171</v>
      </c>
      <c r="B172" t="s">
        <v>360</v>
      </c>
      <c r="C172" t="s">
        <v>21</v>
      </c>
      <c r="D172" t="s">
        <v>74</v>
      </c>
      <c r="E172" t="s">
        <v>331</v>
      </c>
      <c r="F172" s="1">
        <v>16270</v>
      </c>
      <c r="G172" s="1">
        <v>4106</v>
      </c>
      <c r="H172" s="1">
        <v>50831</v>
      </c>
    </row>
    <row r="173" spans="1:8" ht="17.25" x14ac:dyDescent="0.35">
      <c r="A173">
        <v>172</v>
      </c>
      <c r="B173" t="s">
        <v>361</v>
      </c>
      <c r="C173" t="s">
        <v>25</v>
      </c>
      <c r="D173" t="s">
        <v>29</v>
      </c>
      <c r="E173" t="s">
        <v>362</v>
      </c>
      <c r="F173" s="1">
        <v>16244</v>
      </c>
      <c r="G173" s="1">
        <v>186</v>
      </c>
      <c r="H173" s="1">
        <v>8584</v>
      </c>
    </row>
    <row r="174" spans="1:8" ht="17.25" x14ac:dyDescent="0.35">
      <c r="A174">
        <v>173</v>
      </c>
      <c r="B174" t="s">
        <v>363</v>
      </c>
      <c r="C174" t="s">
        <v>17</v>
      </c>
      <c r="D174" t="s">
        <v>137</v>
      </c>
      <c r="E174" t="s">
        <v>364</v>
      </c>
      <c r="F174" s="1">
        <v>16192</v>
      </c>
      <c r="G174" s="1">
        <v>2899</v>
      </c>
      <c r="H174" s="1">
        <v>31800</v>
      </c>
    </row>
    <row r="175" spans="1:8" ht="17.25" x14ac:dyDescent="0.35">
      <c r="A175">
        <v>174</v>
      </c>
      <c r="B175" t="s">
        <v>365</v>
      </c>
      <c r="C175" t="s">
        <v>98</v>
      </c>
      <c r="D175" t="s">
        <v>99</v>
      </c>
      <c r="E175" t="s">
        <v>50</v>
      </c>
      <c r="F175" s="1">
        <v>16034</v>
      </c>
      <c r="G175" s="1">
        <v>1384</v>
      </c>
      <c r="H175" s="1">
        <v>37900</v>
      </c>
    </row>
    <row r="176" spans="1:8" ht="17.25" x14ac:dyDescent="0.35">
      <c r="A176">
        <v>175</v>
      </c>
      <c r="B176" t="s">
        <v>366</v>
      </c>
      <c r="C176" t="s">
        <v>13</v>
      </c>
      <c r="D176" t="s">
        <v>219</v>
      </c>
      <c r="E176" t="s">
        <v>241</v>
      </c>
      <c r="F176" s="1">
        <v>15877</v>
      </c>
      <c r="G176" s="1">
        <v>-12236</v>
      </c>
      <c r="H176" s="1">
        <v>34500</v>
      </c>
    </row>
    <row r="177" spans="1:8" ht="17.25" x14ac:dyDescent="0.35">
      <c r="A177">
        <v>176</v>
      </c>
      <c r="B177" t="s">
        <v>367</v>
      </c>
      <c r="C177" t="s">
        <v>115</v>
      </c>
      <c r="D177" t="s">
        <v>122</v>
      </c>
      <c r="E177" t="s">
        <v>23</v>
      </c>
      <c r="F177" s="1">
        <v>15849</v>
      </c>
      <c r="G177" s="1">
        <v>-253</v>
      </c>
      <c r="H177" s="1">
        <v>32900</v>
      </c>
    </row>
    <row r="178" spans="1:8" ht="17.25" x14ac:dyDescent="0.35">
      <c r="A178">
        <v>177</v>
      </c>
      <c r="B178" t="s">
        <v>368</v>
      </c>
      <c r="C178" t="s">
        <v>9</v>
      </c>
      <c r="D178" t="s">
        <v>216</v>
      </c>
      <c r="E178" t="s">
        <v>27</v>
      </c>
      <c r="F178" s="1">
        <v>15797</v>
      </c>
      <c r="G178" s="1">
        <v>920</v>
      </c>
      <c r="H178" s="1">
        <v>141000</v>
      </c>
    </row>
    <row r="179" spans="1:8" ht="17.25" x14ac:dyDescent="0.35">
      <c r="A179">
        <v>178</v>
      </c>
      <c r="B179" t="s">
        <v>369</v>
      </c>
      <c r="C179" t="s">
        <v>13</v>
      </c>
      <c r="D179" t="s">
        <v>267</v>
      </c>
      <c r="E179" t="s">
        <v>89</v>
      </c>
      <c r="F179" s="1">
        <v>15742</v>
      </c>
      <c r="G179" s="1">
        <v>-1967</v>
      </c>
      <c r="H179" s="1">
        <v>43000</v>
      </c>
    </row>
    <row r="180" spans="1:8" ht="17.25" x14ac:dyDescent="0.35">
      <c r="A180">
        <v>179</v>
      </c>
      <c r="B180" t="s">
        <v>370</v>
      </c>
      <c r="C180" t="s">
        <v>21</v>
      </c>
      <c r="D180" t="s">
        <v>74</v>
      </c>
      <c r="E180" t="s">
        <v>50</v>
      </c>
      <c r="F180" s="1">
        <v>15523</v>
      </c>
      <c r="G180" s="1">
        <v>3158</v>
      </c>
      <c r="H180" s="1">
        <v>51200</v>
      </c>
    </row>
    <row r="181" spans="1:8" ht="17.25" x14ac:dyDescent="0.35">
      <c r="A181">
        <v>180</v>
      </c>
      <c r="B181" t="s">
        <v>371</v>
      </c>
      <c r="C181" t="s">
        <v>9</v>
      </c>
      <c r="D181" t="s">
        <v>54</v>
      </c>
      <c r="E181" t="s">
        <v>372</v>
      </c>
      <c r="F181" s="1">
        <v>15498</v>
      </c>
      <c r="G181" s="1">
        <v>282</v>
      </c>
      <c r="H181" s="1">
        <v>111550</v>
      </c>
    </row>
    <row r="182" spans="1:8" ht="17.25" x14ac:dyDescent="0.35">
      <c r="A182">
        <v>181</v>
      </c>
      <c r="B182" t="s">
        <v>373</v>
      </c>
      <c r="C182" t="s">
        <v>32</v>
      </c>
      <c r="D182" t="s">
        <v>32</v>
      </c>
      <c r="E182" t="s">
        <v>374</v>
      </c>
      <c r="F182" s="1">
        <v>15389</v>
      </c>
      <c r="G182" s="1">
        <v>536</v>
      </c>
      <c r="H182" s="1">
        <v>76300</v>
      </c>
    </row>
    <row r="183" spans="1:8" ht="17.25" x14ac:dyDescent="0.35">
      <c r="A183">
        <v>182</v>
      </c>
      <c r="B183" t="s">
        <v>375</v>
      </c>
      <c r="C183" t="s">
        <v>150</v>
      </c>
      <c r="D183" t="s">
        <v>150</v>
      </c>
      <c r="E183" t="s">
        <v>331</v>
      </c>
      <c r="F183" s="1">
        <v>15330</v>
      </c>
      <c r="G183" s="1">
        <v>1406</v>
      </c>
      <c r="H183" s="1">
        <v>46600</v>
      </c>
    </row>
    <row r="184" spans="1:8" ht="17.25" x14ac:dyDescent="0.35">
      <c r="A184">
        <v>183</v>
      </c>
      <c r="B184" t="s">
        <v>376</v>
      </c>
      <c r="C184" t="s">
        <v>153</v>
      </c>
      <c r="D184" t="s">
        <v>224</v>
      </c>
      <c r="E184" t="s">
        <v>86</v>
      </c>
      <c r="F184" s="1">
        <v>15280</v>
      </c>
      <c r="G184" s="1">
        <v>706</v>
      </c>
      <c r="H184" s="1">
        <v>39600</v>
      </c>
    </row>
    <row r="185" spans="1:8" ht="17.25" x14ac:dyDescent="0.35">
      <c r="A185">
        <v>184</v>
      </c>
      <c r="B185" t="s">
        <v>377</v>
      </c>
      <c r="C185" t="s">
        <v>21</v>
      </c>
      <c r="D185" t="s">
        <v>57</v>
      </c>
      <c r="E185" t="s">
        <v>50</v>
      </c>
      <c r="F185" s="1">
        <v>15272</v>
      </c>
      <c r="G185" s="1">
        <v>-1194</v>
      </c>
      <c r="H185" s="1">
        <v>73807</v>
      </c>
    </row>
    <row r="186" spans="1:8" ht="17.25" x14ac:dyDescent="0.35">
      <c r="A186">
        <v>185</v>
      </c>
      <c r="B186" t="s">
        <v>378</v>
      </c>
      <c r="C186" t="s">
        <v>153</v>
      </c>
      <c r="D186" t="s">
        <v>154</v>
      </c>
      <c r="E186" t="s">
        <v>325</v>
      </c>
      <c r="F186" s="1">
        <v>15270</v>
      </c>
      <c r="G186" s="1">
        <v>57</v>
      </c>
      <c r="H186" s="1">
        <v>12000</v>
      </c>
    </row>
    <row r="187" spans="1:8" ht="17.25" x14ac:dyDescent="0.35">
      <c r="A187">
        <v>186</v>
      </c>
      <c r="B187" t="s">
        <v>379</v>
      </c>
      <c r="C187" t="s">
        <v>315</v>
      </c>
      <c r="D187" t="s">
        <v>380</v>
      </c>
      <c r="E187" t="s">
        <v>50</v>
      </c>
      <c r="F187" s="1">
        <v>15134</v>
      </c>
      <c r="G187" s="1">
        <v>1094</v>
      </c>
      <c r="H187" s="1">
        <v>74900</v>
      </c>
    </row>
    <row r="188" spans="1:8" ht="17.25" x14ac:dyDescent="0.35">
      <c r="A188">
        <v>187</v>
      </c>
      <c r="B188" t="s">
        <v>381</v>
      </c>
      <c r="C188" t="s">
        <v>41</v>
      </c>
      <c r="D188" t="s">
        <v>41</v>
      </c>
      <c r="E188" t="s">
        <v>382</v>
      </c>
      <c r="F188" s="1">
        <v>15069</v>
      </c>
      <c r="G188" s="1">
        <v>747</v>
      </c>
      <c r="H188" s="1">
        <v>18000</v>
      </c>
    </row>
    <row r="189" spans="1:8" ht="17.25" x14ac:dyDescent="0.35">
      <c r="A189">
        <v>188</v>
      </c>
      <c r="B189" t="s">
        <v>383</v>
      </c>
      <c r="C189" t="s">
        <v>13</v>
      </c>
      <c r="D189" t="s">
        <v>231</v>
      </c>
      <c r="E189" t="s">
        <v>358</v>
      </c>
      <c r="F189" s="1">
        <v>15026</v>
      </c>
      <c r="G189" s="1">
        <v>578</v>
      </c>
      <c r="H189" s="1">
        <v>15781</v>
      </c>
    </row>
    <row r="190" spans="1:8" ht="17.25" x14ac:dyDescent="0.35">
      <c r="A190">
        <v>189</v>
      </c>
      <c r="B190" t="s">
        <v>384</v>
      </c>
      <c r="C190" t="s">
        <v>150</v>
      </c>
      <c r="D190" t="s">
        <v>150</v>
      </c>
      <c r="E190" t="s">
        <v>72</v>
      </c>
      <c r="F190" s="1">
        <v>15001</v>
      </c>
      <c r="G190" s="1">
        <v>2314</v>
      </c>
      <c r="H190" s="1">
        <v>24000</v>
      </c>
    </row>
    <row r="191" spans="1:8" ht="17.25" x14ac:dyDescent="0.35">
      <c r="A191">
        <v>190</v>
      </c>
      <c r="B191" t="s">
        <v>385</v>
      </c>
      <c r="C191" t="s">
        <v>13</v>
      </c>
      <c r="D191" t="s">
        <v>231</v>
      </c>
      <c r="E191" t="s">
        <v>386</v>
      </c>
      <c r="F191" s="1">
        <v>14963</v>
      </c>
      <c r="G191" s="1">
        <v>306</v>
      </c>
      <c r="H191" s="1">
        <v>21000</v>
      </c>
    </row>
    <row r="192" spans="1:8" ht="17.25" x14ac:dyDescent="0.35">
      <c r="A192">
        <v>191</v>
      </c>
      <c r="B192" t="s">
        <v>387</v>
      </c>
      <c r="C192" t="s">
        <v>9</v>
      </c>
      <c r="D192" t="s">
        <v>300</v>
      </c>
      <c r="E192" t="s">
        <v>325</v>
      </c>
      <c r="F192" s="1">
        <v>14874</v>
      </c>
      <c r="G192" s="1">
        <v>597</v>
      </c>
      <c r="H192" s="1">
        <v>22064</v>
      </c>
    </row>
    <row r="193" spans="1:8" ht="17.25" x14ac:dyDescent="0.35">
      <c r="A193">
        <v>192</v>
      </c>
      <c r="B193" t="s">
        <v>388</v>
      </c>
      <c r="C193" t="s">
        <v>13</v>
      </c>
      <c r="D193" t="s">
        <v>267</v>
      </c>
      <c r="E193" t="s">
        <v>89</v>
      </c>
      <c r="F193" s="1">
        <v>14757</v>
      </c>
      <c r="G193" s="1">
        <v>-769</v>
      </c>
      <c r="H193" s="1">
        <v>47262</v>
      </c>
    </row>
    <row r="194" spans="1:8" ht="17.25" x14ac:dyDescent="0.35">
      <c r="A194">
        <v>193</v>
      </c>
      <c r="B194" t="s">
        <v>389</v>
      </c>
      <c r="C194" t="s">
        <v>13</v>
      </c>
      <c r="D194" t="s">
        <v>13</v>
      </c>
      <c r="E194" t="s">
        <v>390</v>
      </c>
      <c r="F194" s="1">
        <v>14674</v>
      </c>
      <c r="G194" s="1">
        <v>-6382</v>
      </c>
      <c r="H194" s="1">
        <v>10468</v>
      </c>
    </row>
    <row r="195" spans="1:8" ht="17.25" x14ac:dyDescent="0.35">
      <c r="A195">
        <v>194</v>
      </c>
      <c r="B195" t="s">
        <v>391</v>
      </c>
      <c r="C195" t="s">
        <v>17</v>
      </c>
      <c r="D195" t="s">
        <v>261</v>
      </c>
      <c r="E195" t="s">
        <v>171</v>
      </c>
      <c r="F195" s="1">
        <v>14572</v>
      </c>
      <c r="G195" s="1">
        <v>1465</v>
      </c>
      <c r="H195" s="1">
        <v>76449</v>
      </c>
    </row>
    <row r="196" spans="1:8" ht="17.25" x14ac:dyDescent="0.35">
      <c r="A196">
        <v>195</v>
      </c>
      <c r="B196" t="s">
        <v>392</v>
      </c>
      <c r="C196" t="s">
        <v>252</v>
      </c>
      <c r="D196" t="s">
        <v>393</v>
      </c>
      <c r="E196" t="s">
        <v>161</v>
      </c>
      <c r="F196" s="1">
        <v>14486</v>
      </c>
      <c r="G196" s="1">
        <v>859</v>
      </c>
      <c r="H196" s="1">
        <v>127500</v>
      </c>
    </row>
    <row r="197" spans="1:8" ht="17.25" x14ac:dyDescent="0.35">
      <c r="A197">
        <v>196</v>
      </c>
      <c r="B197" t="s">
        <v>394</v>
      </c>
      <c r="C197" t="s">
        <v>9</v>
      </c>
      <c r="D197" t="s">
        <v>54</v>
      </c>
      <c r="E197" t="s">
        <v>395</v>
      </c>
      <c r="F197" s="1">
        <v>14485</v>
      </c>
      <c r="G197" s="1">
        <v>8</v>
      </c>
      <c r="H197" s="1">
        <v>49000</v>
      </c>
    </row>
    <row r="198" spans="1:8" ht="17.25" x14ac:dyDescent="0.35">
      <c r="A198">
        <v>197</v>
      </c>
      <c r="B198" t="s">
        <v>396</v>
      </c>
      <c r="C198" t="s">
        <v>9</v>
      </c>
      <c r="D198" t="s">
        <v>10</v>
      </c>
      <c r="E198" t="s">
        <v>63</v>
      </c>
      <c r="F198" s="1">
        <v>14437</v>
      </c>
      <c r="G198" s="1">
        <v>600</v>
      </c>
      <c r="H198" s="1">
        <v>72500</v>
      </c>
    </row>
    <row r="199" spans="1:8" ht="17.25" x14ac:dyDescent="0.35">
      <c r="A199">
        <v>198</v>
      </c>
      <c r="B199" t="s">
        <v>397</v>
      </c>
      <c r="C199" t="s">
        <v>13</v>
      </c>
      <c r="D199" t="s">
        <v>173</v>
      </c>
      <c r="E199" t="s">
        <v>89</v>
      </c>
      <c r="F199" s="1">
        <v>14403</v>
      </c>
      <c r="G199" s="1">
        <v>253</v>
      </c>
      <c r="H199" s="1">
        <v>11290</v>
      </c>
    </row>
    <row r="200" spans="1:8" ht="17.25" x14ac:dyDescent="0.35">
      <c r="A200">
        <v>199</v>
      </c>
      <c r="B200" t="s">
        <v>398</v>
      </c>
      <c r="C200" t="s">
        <v>315</v>
      </c>
      <c r="D200" t="s">
        <v>399</v>
      </c>
      <c r="E200" t="s">
        <v>106</v>
      </c>
      <c r="F200" s="1">
        <v>14329</v>
      </c>
      <c r="G200" s="1">
        <v>236</v>
      </c>
      <c r="H200" s="1">
        <v>216500</v>
      </c>
    </row>
    <row r="201" spans="1:8" ht="17.25" x14ac:dyDescent="0.35">
      <c r="A201">
        <v>200</v>
      </c>
      <c r="B201" t="s">
        <v>400</v>
      </c>
      <c r="C201" t="s">
        <v>25</v>
      </c>
      <c r="D201" t="s">
        <v>167</v>
      </c>
      <c r="E201" t="s">
        <v>401</v>
      </c>
      <c r="F201" s="1">
        <v>14210</v>
      </c>
      <c r="G201" s="1">
        <v>270</v>
      </c>
      <c r="H201" s="1">
        <v>60400</v>
      </c>
    </row>
    <row r="202" spans="1:8" ht="17.25" x14ac:dyDescent="0.35">
      <c r="A202">
        <v>201</v>
      </c>
      <c r="B202" t="s">
        <v>402</v>
      </c>
      <c r="C202" t="s">
        <v>25</v>
      </c>
      <c r="D202" t="s">
        <v>29</v>
      </c>
      <c r="E202" t="s">
        <v>403</v>
      </c>
      <c r="F202" s="1">
        <v>14178</v>
      </c>
      <c r="G202" s="1">
        <v>143</v>
      </c>
      <c r="H202" s="1">
        <v>21000</v>
      </c>
    </row>
    <row r="203" spans="1:8" ht="17.25" x14ac:dyDescent="0.35">
      <c r="A203">
        <v>202</v>
      </c>
      <c r="B203" t="s">
        <v>404</v>
      </c>
      <c r="C203" t="s">
        <v>25</v>
      </c>
      <c r="D203" t="s">
        <v>29</v>
      </c>
      <c r="E203" t="s">
        <v>405</v>
      </c>
      <c r="F203" s="1">
        <v>13890</v>
      </c>
      <c r="G203" s="1">
        <v>119</v>
      </c>
      <c r="H203" s="1">
        <v>6900</v>
      </c>
    </row>
    <row r="204" spans="1:8" ht="17.25" x14ac:dyDescent="0.35">
      <c r="A204">
        <v>203</v>
      </c>
      <c r="B204" t="s">
        <v>406</v>
      </c>
      <c r="C204" t="s">
        <v>142</v>
      </c>
      <c r="D204" t="s">
        <v>143</v>
      </c>
      <c r="E204" t="s">
        <v>50</v>
      </c>
      <c r="F204" s="1">
        <v>13886</v>
      </c>
      <c r="G204" s="1">
        <v>1413</v>
      </c>
      <c r="H204" s="1">
        <v>19080</v>
      </c>
    </row>
    <row r="205" spans="1:8" ht="17.25" x14ac:dyDescent="0.35">
      <c r="A205">
        <v>204</v>
      </c>
      <c r="B205" t="s">
        <v>407</v>
      </c>
      <c r="C205" t="s">
        <v>315</v>
      </c>
      <c r="D205" t="s">
        <v>408</v>
      </c>
      <c r="E205" t="s">
        <v>210</v>
      </c>
      <c r="F205" s="1">
        <v>13880</v>
      </c>
      <c r="G205" s="1">
        <v>6328</v>
      </c>
      <c r="H205" s="1">
        <v>11300</v>
      </c>
    </row>
    <row r="206" spans="1:8" ht="17.25" x14ac:dyDescent="0.35">
      <c r="A206">
        <v>205</v>
      </c>
      <c r="B206" t="s">
        <v>409</v>
      </c>
      <c r="C206" t="s">
        <v>21</v>
      </c>
      <c r="D206" t="s">
        <v>113</v>
      </c>
      <c r="E206" t="s">
        <v>410</v>
      </c>
      <c r="F206" s="1">
        <v>13572</v>
      </c>
      <c r="G206" s="1">
        <v>1154</v>
      </c>
      <c r="H206" s="1">
        <v>9312</v>
      </c>
    </row>
    <row r="207" spans="1:8" ht="17.25" x14ac:dyDescent="0.35">
      <c r="A207">
        <v>206</v>
      </c>
      <c r="B207" t="s">
        <v>411</v>
      </c>
      <c r="C207" t="s">
        <v>150</v>
      </c>
      <c r="D207" t="s">
        <v>150</v>
      </c>
      <c r="E207" t="s">
        <v>228</v>
      </c>
      <c r="F207" s="1">
        <v>13545</v>
      </c>
      <c r="G207" s="1">
        <v>1002</v>
      </c>
      <c r="H207" s="1">
        <v>47145</v>
      </c>
    </row>
    <row r="208" spans="1:8" ht="17.25" x14ac:dyDescent="0.35">
      <c r="A208">
        <v>207</v>
      </c>
      <c r="B208" t="s">
        <v>412</v>
      </c>
      <c r="C208" t="s">
        <v>115</v>
      </c>
      <c r="D208" t="s">
        <v>122</v>
      </c>
      <c r="E208" t="s">
        <v>413</v>
      </c>
      <c r="F208" s="1">
        <v>13525</v>
      </c>
      <c r="G208" s="1">
        <v>614</v>
      </c>
      <c r="H208" s="1">
        <v>33577</v>
      </c>
    </row>
    <row r="209" spans="1:8" ht="17.25" x14ac:dyDescent="0.35">
      <c r="A209">
        <v>208</v>
      </c>
      <c r="B209" t="s">
        <v>414</v>
      </c>
      <c r="C209" t="s">
        <v>131</v>
      </c>
      <c r="D209" t="s">
        <v>415</v>
      </c>
      <c r="E209" t="s">
        <v>346</v>
      </c>
      <c r="F209" s="1">
        <v>13476</v>
      </c>
      <c r="G209" s="1">
        <v>510</v>
      </c>
      <c r="H209" s="1">
        <v>13159</v>
      </c>
    </row>
    <row r="210" spans="1:8" ht="17.25" x14ac:dyDescent="0.35">
      <c r="A210">
        <v>209</v>
      </c>
      <c r="B210" t="s">
        <v>416</v>
      </c>
      <c r="C210" t="s">
        <v>76</v>
      </c>
      <c r="D210" t="s">
        <v>77</v>
      </c>
      <c r="E210" t="s">
        <v>417</v>
      </c>
      <c r="F210" s="1">
        <v>13423</v>
      </c>
      <c r="G210" s="1">
        <v>697</v>
      </c>
      <c r="H210" s="1">
        <v>35000</v>
      </c>
    </row>
    <row r="211" spans="1:8" ht="17.25" x14ac:dyDescent="0.35">
      <c r="A211">
        <v>210</v>
      </c>
      <c r="B211" t="s">
        <v>418</v>
      </c>
      <c r="C211" t="s">
        <v>21</v>
      </c>
      <c r="D211" t="s">
        <v>22</v>
      </c>
      <c r="E211" t="s">
        <v>50</v>
      </c>
      <c r="F211" s="1">
        <v>13415</v>
      </c>
      <c r="G211" s="1">
        <v>260</v>
      </c>
      <c r="H211" s="1">
        <v>16700</v>
      </c>
    </row>
    <row r="212" spans="1:8" ht="17.25" x14ac:dyDescent="0.35">
      <c r="A212">
        <v>211</v>
      </c>
      <c r="B212" t="s">
        <v>419</v>
      </c>
      <c r="C212" t="s">
        <v>44</v>
      </c>
      <c r="D212" t="s">
        <v>45</v>
      </c>
      <c r="E212" t="s">
        <v>420</v>
      </c>
      <c r="F212" s="1">
        <v>13405</v>
      </c>
      <c r="G212" s="1">
        <v>1899</v>
      </c>
      <c r="H212" s="1">
        <v>48000</v>
      </c>
    </row>
    <row r="213" spans="1:8" ht="17.25" x14ac:dyDescent="0.35">
      <c r="A213">
        <v>212</v>
      </c>
      <c r="B213" t="s">
        <v>421</v>
      </c>
      <c r="C213" t="s">
        <v>153</v>
      </c>
      <c r="D213" t="s">
        <v>170</v>
      </c>
      <c r="E213" t="s">
        <v>422</v>
      </c>
      <c r="F213" s="1">
        <v>13338</v>
      </c>
      <c r="G213" s="1">
        <v>209</v>
      </c>
      <c r="H213" s="1">
        <v>78500</v>
      </c>
    </row>
    <row r="214" spans="1:8" ht="17.25" x14ac:dyDescent="0.35">
      <c r="A214">
        <v>213</v>
      </c>
      <c r="B214" t="s">
        <v>423</v>
      </c>
      <c r="C214" t="s">
        <v>142</v>
      </c>
      <c r="D214" t="s">
        <v>143</v>
      </c>
      <c r="E214" t="s">
        <v>50</v>
      </c>
      <c r="F214" s="1">
        <v>13268</v>
      </c>
      <c r="G214" s="1">
        <v>1922</v>
      </c>
      <c r="H214" s="1">
        <v>9445</v>
      </c>
    </row>
    <row r="215" spans="1:8" ht="17.25" x14ac:dyDescent="0.35">
      <c r="A215">
        <v>214</v>
      </c>
      <c r="B215" t="s">
        <v>424</v>
      </c>
      <c r="C215" t="s">
        <v>13</v>
      </c>
      <c r="D215" t="s">
        <v>14</v>
      </c>
      <c r="E215" t="s">
        <v>42</v>
      </c>
      <c r="F215" s="1">
        <v>13238</v>
      </c>
      <c r="G215" s="1">
        <v>740</v>
      </c>
      <c r="H215" s="1">
        <v>2704</v>
      </c>
    </row>
    <row r="216" spans="1:8" ht="17.25" x14ac:dyDescent="0.35">
      <c r="A216">
        <v>215</v>
      </c>
      <c r="B216" t="s">
        <v>425</v>
      </c>
      <c r="C216" t="s">
        <v>115</v>
      </c>
      <c r="D216" t="s">
        <v>122</v>
      </c>
      <c r="E216" t="s">
        <v>426</v>
      </c>
      <c r="F216" s="1">
        <v>13161</v>
      </c>
      <c r="G216" s="1">
        <v>308</v>
      </c>
      <c r="H216" s="1">
        <v>10000</v>
      </c>
    </row>
    <row r="217" spans="1:8" ht="17.25" x14ac:dyDescent="0.35">
      <c r="A217">
        <v>216</v>
      </c>
      <c r="B217" t="s">
        <v>427</v>
      </c>
      <c r="C217" t="s">
        <v>13</v>
      </c>
      <c r="D217" t="s">
        <v>219</v>
      </c>
      <c r="E217" t="s">
        <v>428</v>
      </c>
      <c r="F217" s="1">
        <v>13145</v>
      </c>
      <c r="G217" s="1">
        <v>-14454</v>
      </c>
      <c r="H217" s="1">
        <v>5167</v>
      </c>
    </row>
    <row r="218" spans="1:8" ht="17.25" x14ac:dyDescent="0.35">
      <c r="A218">
        <v>217</v>
      </c>
      <c r="B218" t="s">
        <v>429</v>
      </c>
      <c r="C218" t="s">
        <v>13</v>
      </c>
      <c r="D218" t="s">
        <v>14</v>
      </c>
      <c r="E218" t="s">
        <v>430</v>
      </c>
      <c r="F218" s="1">
        <v>13124</v>
      </c>
      <c r="G218" s="1">
        <v>146</v>
      </c>
      <c r="H218" s="1">
        <v>2270</v>
      </c>
    </row>
    <row r="219" spans="1:8" ht="17.25" x14ac:dyDescent="0.35">
      <c r="A219">
        <v>218</v>
      </c>
      <c r="B219" t="s">
        <v>431</v>
      </c>
      <c r="C219" t="s">
        <v>252</v>
      </c>
      <c r="D219" t="s">
        <v>253</v>
      </c>
      <c r="E219" t="s">
        <v>140</v>
      </c>
      <c r="F219" s="1">
        <v>13105</v>
      </c>
      <c r="G219" s="1">
        <v>1293</v>
      </c>
      <c r="H219" s="1">
        <v>505000</v>
      </c>
    </row>
    <row r="220" spans="1:8" ht="17.25" x14ac:dyDescent="0.35">
      <c r="A220">
        <v>219</v>
      </c>
      <c r="B220" t="s">
        <v>432</v>
      </c>
      <c r="C220" t="s">
        <v>17</v>
      </c>
      <c r="D220" t="s">
        <v>137</v>
      </c>
      <c r="E220" t="s">
        <v>42</v>
      </c>
      <c r="F220" s="1">
        <v>13000</v>
      </c>
      <c r="G220" s="1">
        <v>2986</v>
      </c>
      <c r="H220" s="1">
        <v>29977</v>
      </c>
    </row>
    <row r="221" spans="1:8" ht="17.25" x14ac:dyDescent="0.35">
      <c r="A221">
        <v>220</v>
      </c>
      <c r="B221" t="s">
        <v>433</v>
      </c>
      <c r="C221" t="s">
        <v>17</v>
      </c>
      <c r="D221" t="s">
        <v>91</v>
      </c>
      <c r="E221" t="s">
        <v>434</v>
      </c>
      <c r="F221" s="1">
        <v>12989</v>
      </c>
      <c r="G221" s="1">
        <v>403</v>
      </c>
      <c r="H221" s="1">
        <v>8465</v>
      </c>
    </row>
    <row r="222" spans="1:8" ht="17.25" x14ac:dyDescent="0.35">
      <c r="A222">
        <v>221</v>
      </c>
      <c r="B222" t="s">
        <v>435</v>
      </c>
      <c r="C222" t="s">
        <v>315</v>
      </c>
      <c r="D222" t="s">
        <v>435</v>
      </c>
      <c r="E222" t="s">
        <v>89</v>
      </c>
      <c r="F222" s="1">
        <v>12961</v>
      </c>
      <c r="G222" s="1">
        <v>753</v>
      </c>
      <c r="H222" s="1">
        <v>40600</v>
      </c>
    </row>
    <row r="223" spans="1:8" ht="17.25" x14ac:dyDescent="0.35">
      <c r="A223">
        <v>222</v>
      </c>
      <c r="B223" t="s">
        <v>436</v>
      </c>
      <c r="C223" t="s">
        <v>21</v>
      </c>
      <c r="D223" t="s">
        <v>57</v>
      </c>
      <c r="E223" t="s">
        <v>50</v>
      </c>
      <c r="F223" s="1">
        <v>12893</v>
      </c>
      <c r="G223" s="1">
        <v>1599</v>
      </c>
      <c r="H223" s="1">
        <v>60000</v>
      </c>
    </row>
    <row r="224" spans="1:8" ht="17.25" x14ac:dyDescent="0.35">
      <c r="A224">
        <v>223</v>
      </c>
      <c r="B224" t="s">
        <v>437</v>
      </c>
      <c r="C224" t="s">
        <v>13</v>
      </c>
      <c r="D224" t="s">
        <v>219</v>
      </c>
      <c r="E224" t="s">
        <v>428</v>
      </c>
      <c r="F224" s="1">
        <v>12764</v>
      </c>
      <c r="G224" s="1">
        <v>-14685</v>
      </c>
      <c r="H224" s="1">
        <v>4400</v>
      </c>
    </row>
    <row r="225" spans="1:8" ht="17.25" x14ac:dyDescent="0.35">
      <c r="A225">
        <v>224</v>
      </c>
      <c r="B225" t="s">
        <v>438</v>
      </c>
      <c r="C225" t="s">
        <v>44</v>
      </c>
      <c r="D225" t="s">
        <v>45</v>
      </c>
      <c r="E225" t="s">
        <v>439</v>
      </c>
      <c r="F225" s="1">
        <v>12712</v>
      </c>
      <c r="G225" s="1">
        <v>1012</v>
      </c>
      <c r="H225" s="1">
        <v>54750</v>
      </c>
    </row>
    <row r="226" spans="1:8" ht="17.25" x14ac:dyDescent="0.35">
      <c r="A226">
        <v>225</v>
      </c>
      <c r="B226" t="s">
        <v>440</v>
      </c>
      <c r="C226" t="s">
        <v>13</v>
      </c>
      <c r="D226" t="s">
        <v>219</v>
      </c>
      <c r="E226" t="s">
        <v>89</v>
      </c>
      <c r="F226" s="1">
        <v>12699</v>
      </c>
      <c r="G226" s="1">
        <v>-7829</v>
      </c>
      <c r="H226" s="1">
        <v>11100</v>
      </c>
    </row>
    <row r="227" spans="1:8" ht="17.25" x14ac:dyDescent="0.35">
      <c r="A227">
        <v>226</v>
      </c>
      <c r="B227" t="s">
        <v>441</v>
      </c>
      <c r="C227" t="s">
        <v>21</v>
      </c>
      <c r="D227" t="s">
        <v>163</v>
      </c>
      <c r="E227" t="s">
        <v>50</v>
      </c>
      <c r="F227" s="1">
        <v>12628</v>
      </c>
      <c r="G227" s="1">
        <v>411</v>
      </c>
      <c r="H227" s="1">
        <v>8000</v>
      </c>
    </row>
    <row r="228" spans="1:8" ht="17.25" x14ac:dyDescent="0.35">
      <c r="A228">
        <v>227</v>
      </c>
      <c r="B228" t="s">
        <v>442</v>
      </c>
      <c r="C228" t="s">
        <v>21</v>
      </c>
      <c r="D228" t="s">
        <v>101</v>
      </c>
      <c r="E228" t="s">
        <v>362</v>
      </c>
      <c r="F228" s="1">
        <v>12626</v>
      </c>
      <c r="G228" s="1">
        <v>-114</v>
      </c>
      <c r="H228" s="1">
        <v>13184</v>
      </c>
    </row>
    <row r="229" spans="1:8" ht="17.25" x14ac:dyDescent="0.35">
      <c r="A229">
        <v>228</v>
      </c>
      <c r="B229" t="s">
        <v>443</v>
      </c>
      <c r="C229" t="s">
        <v>9</v>
      </c>
      <c r="D229" t="s">
        <v>10</v>
      </c>
      <c r="E229" t="s">
        <v>444</v>
      </c>
      <c r="F229" s="1">
        <v>12625</v>
      </c>
      <c r="G229" s="1">
        <v>-513</v>
      </c>
      <c r="H229" s="1">
        <v>105000</v>
      </c>
    </row>
    <row r="230" spans="1:8" ht="17.25" x14ac:dyDescent="0.35">
      <c r="A230">
        <v>229</v>
      </c>
      <c r="B230" t="s">
        <v>445</v>
      </c>
      <c r="C230" t="s">
        <v>13</v>
      </c>
      <c r="D230" t="s">
        <v>231</v>
      </c>
      <c r="E230" t="s">
        <v>50</v>
      </c>
      <c r="F230" s="1">
        <v>12554</v>
      </c>
      <c r="G230" s="1">
        <v>1193</v>
      </c>
      <c r="H230" s="1">
        <v>14806</v>
      </c>
    </row>
    <row r="231" spans="1:8" ht="17.25" x14ac:dyDescent="0.35">
      <c r="A231">
        <v>230</v>
      </c>
      <c r="B231" t="s">
        <v>446</v>
      </c>
      <c r="C231" t="s">
        <v>17</v>
      </c>
      <c r="D231" t="s">
        <v>91</v>
      </c>
      <c r="E231" t="s">
        <v>447</v>
      </c>
      <c r="F231" s="1">
        <v>12416</v>
      </c>
      <c r="G231" s="1">
        <v>1624</v>
      </c>
      <c r="H231" s="1">
        <v>221700</v>
      </c>
    </row>
    <row r="232" spans="1:8" ht="17.25" x14ac:dyDescent="0.35">
      <c r="A232">
        <v>231</v>
      </c>
      <c r="B232" t="s">
        <v>448</v>
      </c>
      <c r="C232" t="s">
        <v>221</v>
      </c>
      <c r="D232" t="s">
        <v>221</v>
      </c>
      <c r="E232" t="s">
        <v>449</v>
      </c>
      <c r="F232" s="1">
        <v>12377</v>
      </c>
      <c r="G232" s="1">
        <v>1232</v>
      </c>
      <c r="H232" s="1">
        <v>64000</v>
      </c>
    </row>
    <row r="233" spans="1:8" ht="17.25" x14ac:dyDescent="0.35">
      <c r="A233">
        <v>232</v>
      </c>
      <c r="B233" t="s">
        <v>450</v>
      </c>
      <c r="C233" t="s">
        <v>21</v>
      </c>
      <c r="D233" t="s">
        <v>57</v>
      </c>
      <c r="E233" t="s">
        <v>108</v>
      </c>
      <c r="F233" s="1">
        <v>12200</v>
      </c>
      <c r="G233" s="1">
        <v>1562</v>
      </c>
      <c r="H233" s="1">
        <v>13000</v>
      </c>
    </row>
    <row r="234" spans="1:8" ht="17.25" x14ac:dyDescent="0.35">
      <c r="A234">
        <v>233</v>
      </c>
      <c r="B234" t="s">
        <v>451</v>
      </c>
      <c r="C234" t="s">
        <v>17</v>
      </c>
      <c r="D234" t="s">
        <v>91</v>
      </c>
      <c r="E234" t="s">
        <v>214</v>
      </c>
      <c r="F234" s="1">
        <v>12183</v>
      </c>
      <c r="G234" s="1">
        <v>-8</v>
      </c>
      <c r="H234" s="1">
        <v>70000</v>
      </c>
    </row>
    <row r="235" spans="1:8" ht="17.25" x14ac:dyDescent="0.35">
      <c r="A235">
        <v>234</v>
      </c>
      <c r="B235" t="s">
        <v>452</v>
      </c>
      <c r="C235" t="s">
        <v>9</v>
      </c>
      <c r="D235" t="s">
        <v>216</v>
      </c>
      <c r="E235" t="s">
        <v>181</v>
      </c>
      <c r="F235" s="1">
        <v>12154</v>
      </c>
      <c r="G235" s="1">
        <v>1253</v>
      </c>
      <c r="H235" s="1">
        <v>55400</v>
      </c>
    </row>
    <row r="236" spans="1:8" ht="17.25" x14ac:dyDescent="0.35">
      <c r="A236">
        <v>235</v>
      </c>
      <c r="B236" t="s">
        <v>453</v>
      </c>
      <c r="C236" t="s">
        <v>335</v>
      </c>
      <c r="D236" t="s">
        <v>336</v>
      </c>
      <c r="E236" t="s">
        <v>454</v>
      </c>
      <c r="F236" s="1">
        <v>12115</v>
      </c>
      <c r="G236" s="1">
        <v>303</v>
      </c>
      <c r="H236" s="1">
        <v>56950</v>
      </c>
    </row>
    <row r="237" spans="1:8" ht="17.25" x14ac:dyDescent="0.35">
      <c r="A237">
        <v>236</v>
      </c>
      <c r="B237" t="s">
        <v>455</v>
      </c>
      <c r="C237" t="s">
        <v>21</v>
      </c>
      <c r="D237" t="s">
        <v>113</v>
      </c>
      <c r="E237" t="s">
        <v>456</v>
      </c>
      <c r="F237" s="1">
        <v>11964</v>
      </c>
      <c r="G237" s="1">
        <v>1234</v>
      </c>
      <c r="H237" s="1">
        <v>14895</v>
      </c>
    </row>
    <row r="238" spans="1:8" ht="17.25" x14ac:dyDescent="0.35">
      <c r="A238">
        <v>237</v>
      </c>
      <c r="B238" t="s">
        <v>457</v>
      </c>
      <c r="C238" t="s">
        <v>9</v>
      </c>
      <c r="D238" t="s">
        <v>216</v>
      </c>
      <c r="E238" t="s">
        <v>458</v>
      </c>
      <c r="F238" s="1">
        <v>11940</v>
      </c>
      <c r="G238" s="1">
        <v>1021</v>
      </c>
      <c r="H238" s="1">
        <v>77800</v>
      </c>
    </row>
    <row r="239" spans="1:8" ht="17.25" x14ac:dyDescent="0.35">
      <c r="A239">
        <v>238</v>
      </c>
      <c r="B239" t="s">
        <v>459</v>
      </c>
      <c r="C239" t="s">
        <v>9</v>
      </c>
      <c r="D239" t="s">
        <v>54</v>
      </c>
      <c r="E239" t="s">
        <v>460</v>
      </c>
      <c r="F239" s="1">
        <v>11881</v>
      </c>
      <c r="G239" s="1">
        <v>958</v>
      </c>
      <c r="H239" s="1">
        <v>60000</v>
      </c>
    </row>
    <row r="240" spans="1:8" ht="17.25" x14ac:dyDescent="0.35">
      <c r="A240">
        <v>239</v>
      </c>
      <c r="B240" t="s">
        <v>461</v>
      </c>
      <c r="C240" t="s">
        <v>131</v>
      </c>
      <c r="D240" t="s">
        <v>288</v>
      </c>
      <c r="E240" t="s">
        <v>462</v>
      </c>
      <c r="F240" s="1">
        <v>11811</v>
      </c>
      <c r="G240" s="1">
        <v>1968</v>
      </c>
      <c r="H240" s="1">
        <v>29761</v>
      </c>
    </row>
    <row r="241" spans="1:8" ht="17.25" x14ac:dyDescent="0.35">
      <c r="A241">
        <v>240</v>
      </c>
      <c r="B241" t="s">
        <v>463</v>
      </c>
      <c r="C241" t="s">
        <v>9</v>
      </c>
      <c r="D241" t="s">
        <v>54</v>
      </c>
      <c r="E241" t="s">
        <v>464</v>
      </c>
      <c r="F241" s="1">
        <v>11802</v>
      </c>
      <c r="G241" s="1">
        <v>-130</v>
      </c>
      <c r="H241" s="1">
        <v>62000</v>
      </c>
    </row>
    <row r="242" spans="1:8" ht="17.25" x14ac:dyDescent="0.35">
      <c r="A242">
        <v>241</v>
      </c>
      <c r="B242" t="s">
        <v>465</v>
      </c>
      <c r="C242" t="s">
        <v>252</v>
      </c>
      <c r="D242" t="s">
        <v>393</v>
      </c>
      <c r="E242" t="s">
        <v>466</v>
      </c>
      <c r="F242" s="1">
        <v>11689</v>
      </c>
      <c r="G242" s="1">
        <v>1966</v>
      </c>
      <c r="H242" s="1">
        <v>46500</v>
      </c>
    </row>
    <row r="243" spans="1:8" ht="17.25" x14ac:dyDescent="0.35">
      <c r="A243">
        <v>242</v>
      </c>
      <c r="B243" t="s">
        <v>467</v>
      </c>
      <c r="C243" t="s">
        <v>115</v>
      </c>
      <c r="D243" t="s">
        <v>116</v>
      </c>
      <c r="E243" t="s">
        <v>50</v>
      </c>
      <c r="F243" s="1">
        <v>11684</v>
      </c>
      <c r="G243" s="1">
        <v>284</v>
      </c>
      <c r="H243" s="1">
        <v>13300</v>
      </c>
    </row>
    <row r="244" spans="1:8" ht="17.25" x14ac:dyDescent="0.35">
      <c r="A244">
        <v>243</v>
      </c>
      <c r="B244" t="s">
        <v>468</v>
      </c>
      <c r="C244" t="s">
        <v>13</v>
      </c>
      <c r="D244" t="s">
        <v>231</v>
      </c>
      <c r="E244" t="s">
        <v>325</v>
      </c>
      <c r="F244" s="1">
        <v>11683</v>
      </c>
      <c r="G244" s="1">
        <v>1899</v>
      </c>
      <c r="H244" s="1">
        <v>14700</v>
      </c>
    </row>
    <row r="245" spans="1:8" ht="17.25" x14ac:dyDescent="0.35">
      <c r="A245">
        <v>244</v>
      </c>
      <c r="B245" t="s">
        <v>469</v>
      </c>
      <c r="C245" t="s">
        <v>282</v>
      </c>
      <c r="D245" t="s">
        <v>283</v>
      </c>
      <c r="E245" t="s">
        <v>331</v>
      </c>
      <c r="F245" s="1">
        <v>11574</v>
      </c>
      <c r="G245" s="1">
        <v>-1642</v>
      </c>
      <c r="H245" s="1">
        <v>33200</v>
      </c>
    </row>
    <row r="246" spans="1:8" ht="17.25" x14ac:dyDescent="0.35">
      <c r="A246">
        <v>245</v>
      </c>
      <c r="B246" t="s">
        <v>470</v>
      </c>
      <c r="C246" t="s">
        <v>76</v>
      </c>
      <c r="D246" t="s">
        <v>77</v>
      </c>
      <c r="E246" t="s">
        <v>50</v>
      </c>
      <c r="F246" s="1">
        <v>11554</v>
      </c>
      <c r="G246" s="1">
        <v>-240</v>
      </c>
      <c r="H246" s="1">
        <v>38000</v>
      </c>
    </row>
    <row r="247" spans="1:8" ht="17.25" x14ac:dyDescent="0.35">
      <c r="A247">
        <v>246</v>
      </c>
      <c r="B247" t="s">
        <v>471</v>
      </c>
      <c r="C247" t="s">
        <v>13</v>
      </c>
      <c r="D247" t="s">
        <v>231</v>
      </c>
      <c r="E247" t="s">
        <v>472</v>
      </c>
      <c r="F247" s="1">
        <v>11524</v>
      </c>
      <c r="G247" s="1">
        <v>1020</v>
      </c>
      <c r="H247" s="1">
        <v>12768</v>
      </c>
    </row>
    <row r="248" spans="1:8" ht="17.25" x14ac:dyDescent="0.35">
      <c r="A248">
        <v>247</v>
      </c>
      <c r="B248" t="s">
        <v>473</v>
      </c>
      <c r="C248" t="s">
        <v>13</v>
      </c>
      <c r="D248" t="s">
        <v>231</v>
      </c>
      <c r="E248" t="s">
        <v>474</v>
      </c>
      <c r="F248" s="1">
        <v>11513</v>
      </c>
      <c r="G248" s="1">
        <v>-177</v>
      </c>
      <c r="H248" s="1">
        <v>13579</v>
      </c>
    </row>
    <row r="249" spans="1:8" ht="17.25" x14ac:dyDescent="0.35">
      <c r="A249">
        <v>248</v>
      </c>
      <c r="B249" t="s">
        <v>475</v>
      </c>
      <c r="C249" t="s">
        <v>315</v>
      </c>
      <c r="D249" t="s">
        <v>399</v>
      </c>
      <c r="E249" t="s">
        <v>476</v>
      </c>
      <c r="F249" s="1">
        <v>11477</v>
      </c>
      <c r="G249" s="1">
        <v>1453</v>
      </c>
      <c r="H249" s="1">
        <v>55000</v>
      </c>
    </row>
    <row r="250" spans="1:8" ht="17.25" x14ac:dyDescent="0.35">
      <c r="A250">
        <v>249</v>
      </c>
      <c r="B250" t="s">
        <v>477</v>
      </c>
      <c r="C250" t="s">
        <v>315</v>
      </c>
      <c r="D250" t="s">
        <v>408</v>
      </c>
      <c r="E250" t="s">
        <v>86</v>
      </c>
      <c r="F250" s="1">
        <v>11451</v>
      </c>
      <c r="G250" s="1">
        <v>-1481</v>
      </c>
      <c r="H250" s="1">
        <v>24000</v>
      </c>
    </row>
    <row r="251" spans="1:8" ht="17.25" x14ac:dyDescent="0.35">
      <c r="A251">
        <v>250</v>
      </c>
      <c r="B251" t="s">
        <v>478</v>
      </c>
      <c r="C251" t="s">
        <v>21</v>
      </c>
      <c r="D251" t="s">
        <v>479</v>
      </c>
      <c r="E251" t="s">
        <v>50</v>
      </c>
      <c r="F251" s="1">
        <v>11401</v>
      </c>
      <c r="G251" s="1">
        <v>3345</v>
      </c>
      <c r="H251" s="1">
        <v>13000</v>
      </c>
    </row>
    <row r="252" spans="1:8" ht="17.25" x14ac:dyDescent="0.35">
      <c r="A252">
        <v>251</v>
      </c>
      <c r="B252" t="s">
        <v>480</v>
      </c>
      <c r="C252" t="s">
        <v>282</v>
      </c>
      <c r="D252" t="s">
        <v>285</v>
      </c>
      <c r="E252" t="s">
        <v>325</v>
      </c>
      <c r="F252" s="1">
        <v>11381</v>
      </c>
      <c r="G252" s="1">
        <v>507</v>
      </c>
      <c r="H252" s="1">
        <v>41400</v>
      </c>
    </row>
    <row r="253" spans="1:8" ht="17.25" x14ac:dyDescent="0.35">
      <c r="A253">
        <v>252</v>
      </c>
      <c r="B253" t="s">
        <v>481</v>
      </c>
      <c r="C253" t="s">
        <v>21</v>
      </c>
      <c r="D253" t="s">
        <v>57</v>
      </c>
      <c r="E253" t="s">
        <v>50</v>
      </c>
      <c r="F253" s="1">
        <v>11341</v>
      </c>
      <c r="G253" s="1">
        <v>408</v>
      </c>
      <c r="H253" s="1">
        <v>7000</v>
      </c>
    </row>
    <row r="254" spans="1:8" ht="17.25" x14ac:dyDescent="0.35">
      <c r="A254">
        <v>253</v>
      </c>
      <c r="B254" t="s">
        <v>482</v>
      </c>
      <c r="C254" t="s">
        <v>150</v>
      </c>
      <c r="D254" t="s">
        <v>150</v>
      </c>
      <c r="E254" t="s">
        <v>439</v>
      </c>
      <c r="F254" s="1">
        <v>11339</v>
      </c>
      <c r="G254" s="1">
        <v>1054</v>
      </c>
      <c r="H254" s="1">
        <v>40706</v>
      </c>
    </row>
    <row r="255" spans="1:8" ht="17.25" x14ac:dyDescent="0.35">
      <c r="A255">
        <v>254</v>
      </c>
      <c r="B255" t="s">
        <v>483</v>
      </c>
      <c r="C255" t="s">
        <v>252</v>
      </c>
      <c r="D255" t="s">
        <v>393</v>
      </c>
      <c r="E255" t="s">
        <v>120</v>
      </c>
      <c r="F255" s="1">
        <v>11272</v>
      </c>
      <c r="G255" s="1">
        <v>1404</v>
      </c>
      <c r="H255" s="1">
        <v>164000</v>
      </c>
    </row>
    <row r="256" spans="1:8" ht="17.25" x14ac:dyDescent="0.35">
      <c r="A256">
        <v>255</v>
      </c>
      <c r="B256" t="s">
        <v>484</v>
      </c>
      <c r="C256" t="s">
        <v>142</v>
      </c>
      <c r="D256" t="s">
        <v>485</v>
      </c>
      <c r="E256" t="s">
        <v>78</v>
      </c>
      <c r="F256" s="1">
        <v>11257</v>
      </c>
      <c r="G256" s="1">
        <v>151</v>
      </c>
      <c r="H256" s="1">
        <v>68400</v>
      </c>
    </row>
    <row r="257" spans="1:8" ht="17.25" x14ac:dyDescent="0.35">
      <c r="A257">
        <v>256</v>
      </c>
      <c r="B257" t="s">
        <v>486</v>
      </c>
      <c r="C257" t="s">
        <v>98</v>
      </c>
      <c r="D257" t="s">
        <v>487</v>
      </c>
      <c r="E257" t="s">
        <v>488</v>
      </c>
      <c r="F257" s="1">
        <v>11211</v>
      </c>
      <c r="G257" s="1">
        <v>884</v>
      </c>
      <c r="H257" s="1">
        <v>51250</v>
      </c>
    </row>
    <row r="258" spans="1:8" ht="17.25" x14ac:dyDescent="0.35">
      <c r="A258">
        <v>257</v>
      </c>
      <c r="B258" t="s">
        <v>489</v>
      </c>
      <c r="C258" t="s">
        <v>13</v>
      </c>
      <c r="D258" t="s">
        <v>231</v>
      </c>
      <c r="E258" t="s">
        <v>108</v>
      </c>
      <c r="F258" s="1">
        <v>11025</v>
      </c>
      <c r="G258" s="1">
        <v>985</v>
      </c>
      <c r="H258" s="1">
        <v>11644</v>
      </c>
    </row>
    <row r="259" spans="1:8" ht="17.25" x14ac:dyDescent="0.35">
      <c r="A259">
        <v>258</v>
      </c>
      <c r="B259" t="s">
        <v>490</v>
      </c>
      <c r="C259" t="s">
        <v>9</v>
      </c>
      <c r="D259" t="s">
        <v>54</v>
      </c>
      <c r="E259" t="s">
        <v>491</v>
      </c>
      <c r="F259" s="1">
        <v>10885</v>
      </c>
      <c r="G259" s="1">
        <v>176</v>
      </c>
      <c r="H259" s="1">
        <v>7100</v>
      </c>
    </row>
    <row r="260" spans="1:8" ht="17.25" x14ac:dyDescent="0.35">
      <c r="A260">
        <v>259</v>
      </c>
      <c r="B260" t="s">
        <v>492</v>
      </c>
      <c r="C260" t="s">
        <v>21</v>
      </c>
      <c r="D260" t="s">
        <v>493</v>
      </c>
      <c r="E260" t="s">
        <v>338</v>
      </c>
      <c r="F260" s="1">
        <v>10856</v>
      </c>
      <c r="G260" s="1">
        <v>547</v>
      </c>
      <c r="H260" s="1">
        <v>70000</v>
      </c>
    </row>
    <row r="261" spans="1:8" ht="17.25" x14ac:dyDescent="0.35">
      <c r="A261">
        <v>260</v>
      </c>
      <c r="B261" t="s">
        <v>494</v>
      </c>
      <c r="C261" t="s">
        <v>335</v>
      </c>
      <c r="D261" t="s">
        <v>495</v>
      </c>
      <c r="E261" t="s">
        <v>178</v>
      </c>
      <c r="F261" s="1">
        <v>10824</v>
      </c>
      <c r="G261" s="1">
        <v>751</v>
      </c>
      <c r="H261" s="1">
        <v>6230</v>
      </c>
    </row>
    <row r="262" spans="1:8" ht="17.25" x14ac:dyDescent="0.35">
      <c r="A262">
        <v>261</v>
      </c>
      <c r="B262" t="s">
        <v>496</v>
      </c>
      <c r="C262" t="s">
        <v>98</v>
      </c>
      <c r="D262" t="s">
        <v>99</v>
      </c>
      <c r="E262" t="s">
        <v>50</v>
      </c>
      <c r="F262" s="1">
        <v>10780</v>
      </c>
      <c r="G262" s="1">
        <v>1089</v>
      </c>
      <c r="H262" s="1">
        <v>44000</v>
      </c>
    </row>
    <row r="263" spans="1:8" ht="17.25" x14ac:dyDescent="0.35">
      <c r="A263">
        <v>262</v>
      </c>
      <c r="B263" t="s">
        <v>497</v>
      </c>
      <c r="C263" t="s">
        <v>150</v>
      </c>
      <c r="D263" t="s">
        <v>150</v>
      </c>
      <c r="E263" t="s">
        <v>498</v>
      </c>
      <c r="F263" s="1">
        <v>10776</v>
      </c>
      <c r="G263" s="1">
        <v>1547</v>
      </c>
      <c r="H263" s="1">
        <v>26657</v>
      </c>
    </row>
    <row r="264" spans="1:8" ht="17.25" x14ac:dyDescent="0.35">
      <c r="A264">
        <v>263</v>
      </c>
      <c r="B264" t="s">
        <v>499</v>
      </c>
      <c r="C264" t="s">
        <v>25</v>
      </c>
      <c r="D264" t="s">
        <v>110</v>
      </c>
      <c r="E264" t="s">
        <v>500</v>
      </c>
      <c r="F264" s="1">
        <v>10764</v>
      </c>
      <c r="G264" s="1">
        <v>3547</v>
      </c>
      <c r="H264" s="1">
        <v>7350</v>
      </c>
    </row>
    <row r="265" spans="1:8" ht="17.25" x14ac:dyDescent="0.35">
      <c r="A265">
        <v>264</v>
      </c>
      <c r="B265" t="s">
        <v>501</v>
      </c>
      <c r="C265" t="s">
        <v>21</v>
      </c>
      <c r="D265" t="s">
        <v>74</v>
      </c>
      <c r="E265" t="s">
        <v>189</v>
      </c>
      <c r="F265" s="1">
        <v>10760</v>
      </c>
      <c r="G265" s="1">
        <v>1980</v>
      </c>
      <c r="H265" s="1">
        <v>32356</v>
      </c>
    </row>
    <row r="266" spans="1:8" ht="17.25" x14ac:dyDescent="0.35">
      <c r="A266">
        <v>265</v>
      </c>
      <c r="B266" t="s">
        <v>502</v>
      </c>
      <c r="C266" t="s">
        <v>21</v>
      </c>
      <c r="D266" t="s">
        <v>113</v>
      </c>
      <c r="E266" t="s">
        <v>503</v>
      </c>
      <c r="F266" s="1">
        <v>10731</v>
      </c>
      <c r="G266" s="1">
        <v>867</v>
      </c>
      <c r="H266" s="1">
        <v>9400</v>
      </c>
    </row>
    <row r="267" spans="1:8" ht="17.25" x14ac:dyDescent="0.35">
      <c r="A267">
        <v>266</v>
      </c>
      <c r="B267" t="s">
        <v>504</v>
      </c>
      <c r="C267" t="s">
        <v>115</v>
      </c>
      <c r="D267" t="s">
        <v>246</v>
      </c>
      <c r="E267" t="s">
        <v>505</v>
      </c>
      <c r="F267" s="1">
        <v>10675</v>
      </c>
      <c r="G267" s="1">
        <v>3253</v>
      </c>
      <c r="H267" s="1">
        <v>5650</v>
      </c>
    </row>
    <row r="268" spans="1:8" ht="17.25" x14ac:dyDescent="0.35">
      <c r="A268">
        <v>267</v>
      </c>
      <c r="B268" t="s">
        <v>506</v>
      </c>
      <c r="C268" t="s">
        <v>9</v>
      </c>
      <c r="D268" t="s">
        <v>300</v>
      </c>
      <c r="E268" t="s">
        <v>89</v>
      </c>
      <c r="F268" s="1">
        <v>10633</v>
      </c>
      <c r="G268" s="1">
        <v>94</v>
      </c>
      <c r="H268" s="1">
        <v>12886</v>
      </c>
    </row>
    <row r="269" spans="1:8" ht="17.25" x14ac:dyDescent="0.35">
      <c r="A269">
        <v>268</v>
      </c>
      <c r="B269" t="s">
        <v>507</v>
      </c>
      <c r="C269" t="s">
        <v>25</v>
      </c>
      <c r="D269" t="s">
        <v>26</v>
      </c>
      <c r="E269" t="s">
        <v>508</v>
      </c>
      <c r="F269" s="1">
        <v>10630</v>
      </c>
      <c r="G269" s="1">
        <v>479</v>
      </c>
      <c r="H269" s="1">
        <v>19000</v>
      </c>
    </row>
    <row r="270" spans="1:8" ht="17.25" x14ac:dyDescent="0.35">
      <c r="A270">
        <v>269</v>
      </c>
      <c r="B270" t="s">
        <v>509</v>
      </c>
      <c r="C270" t="s">
        <v>9</v>
      </c>
      <c r="D270" t="s">
        <v>300</v>
      </c>
      <c r="E270" t="s">
        <v>510</v>
      </c>
      <c r="F270" s="1">
        <v>10535</v>
      </c>
      <c r="G270" s="1">
        <v>273</v>
      </c>
      <c r="H270" s="1">
        <v>30000</v>
      </c>
    </row>
    <row r="271" spans="1:8" ht="17.25" x14ac:dyDescent="0.35">
      <c r="A271">
        <v>270</v>
      </c>
      <c r="B271" t="s">
        <v>511</v>
      </c>
      <c r="C271" t="s">
        <v>131</v>
      </c>
      <c r="D271" t="s">
        <v>288</v>
      </c>
      <c r="E271" t="s">
        <v>512</v>
      </c>
      <c r="F271" s="1">
        <v>10511</v>
      </c>
      <c r="G271" s="1">
        <v>1556</v>
      </c>
      <c r="H271" s="1">
        <v>30456</v>
      </c>
    </row>
    <row r="272" spans="1:8" ht="17.25" x14ac:dyDescent="0.35">
      <c r="A272">
        <v>271</v>
      </c>
      <c r="B272" t="s">
        <v>513</v>
      </c>
      <c r="C272" t="s">
        <v>21</v>
      </c>
      <c r="D272" t="s">
        <v>113</v>
      </c>
      <c r="E272" t="s">
        <v>514</v>
      </c>
      <c r="F272" s="1">
        <v>10418</v>
      </c>
      <c r="G272" s="1">
        <v>502</v>
      </c>
      <c r="H272" s="1">
        <v>2201</v>
      </c>
    </row>
    <row r="273" spans="1:8" ht="17.25" x14ac:dyDescent="0.35">
      <c r="A273">
        <v>272</v>
      </c>
      <c r="B273" t="s">
        <v>515</v>
      </c>
      <c r="C273" t="s">
        <v>13</v>
      </c>
      <c r="D273" t="s">
        <v>231</v>
      </c>
      <c r="E273" t="s">
        <v>135</v>
      </c>
      <c r="F273" s="1">
        <v>10415</v>
      </c>
      <c r="G273" s="1">
        <v>1679</v>
      </c>
      <c r="H273" s="1">
        <v>13025</v>
      </c>
    </row>
    <row r="274" spans="1:8" ht="17.25" x14ac:dyDescent="0.35">
      <c r="A274">
        <v>273</v>
      </c>
      <c r="B274" t="s">
        <v>516</v>
      </c>
      <c r="C274" t="s">
        <v>21</v>
      </c>
      <c r="D274" t="s">
        <v>74</v>
      </c>
      <c r="E274" t="s">
        <v>505</v>
      </c>
      <c r="F274" s="1">
        <v>10346</v>
      </c>
      <c r="G274" s="1">
        <v>2084</v>
      </c>
      <c r="H274" s="1">
        <v>37200</v>
      </c>
    </row>
    <row r="275" spans="1:8" ht="17.25" x14ac:dyDescent="0.35">
      <c r="A275">
        <v>274</v>
      </c>
      <c r="B275" t="s">
        <v>517</v>
      </c>
      <c r="C275" t="s">
        <v>13</v>
      </c>
      <c r="D275" t="s">
        <v>231</v>
      </c>
      <c r="E275" t="s">
        <v>37</v>
      </c>
      <c r="F275" s="1">
        <v>10337</v>
      </c>
      <c r="G275" s="1">
        <v>727</v>
      </c>
      <c r="H275" s="1">
        <v>10000</v>
      </c>
    </row>
    <row r="276" spans="1:8" ht="17.25" x14ac:dyDescent="0.35">
      <c r="A276">
        <v>275</v>
      </c>
      <c r="B276" t="s">
        <v>518</v>
      </c>
      <c r="C276" t="s">
        <v>21</v>
      </c>
      <c r="D276" t="s">
        <v>22</v>
      </c>
      <c r="E276" t="s">
        <v>50</v>
      </c>
      <c r="F276" s="1">
        <v>10326</v>
      </c>
      <c r="G276" s="1">
        <v>142</v>
      </c>
      <c r="H276" s="1">
        <v>14861</v>
      </c>
    </row>
    <row r="277" spans="1:8" ht="17.25" x14ac:dyDescent="0.35">
      <c r="A277">
        <v>276</v>
      </c>
      <c r="B277" t="s">
        <v>519</v>
      </c>
      <c r="C277" t="s">
        <v>153</v>
      </c>
      <c r="D277" t="s">
        <v>224</v>
      </c>
      <c r="E277" t="s">
        <v>272</v>
      </c>
      <c r="F277" s="1">
        <v>10315</v>
      </c>
      <c r="G277" s="1">
        <v>44</v>
      </c>
      <c r="H277" s="1">
        <v>1890</v>
      </c>
    </row>
    <row r="278" spans="1:8" ht="17.25" x14ac:dyDescent="0.35">
      <c r="A278">
        <v>277</v>
      </c>
      <c r="B278" t="s">
        <v>520</v>
      </c>
      <c r="C278" t="s">
        <v>150</v>
      </c>
      <c r="D278" t="s">
        <v>150</v>
      </c>
      <c r="E278" t="s">
        <v>521</v>
      </c>
      <c r="F278" s="1">
        <v>10299</v>
      </c>
      <c r="G278" s="1">
        <v>93</v>
      </c>
      <c r="H278" s="1">
        <v>15000</v>
      </c>
    </row>
    <row r="279" spans="1:8" ht="17.25" x14ac:dyDescent="0.35">
      <c r="A279">
        <v>278</v>
      </c>
      <c r="B279" t="s">
        <v>522</v>
      </c>
      <c r="C279" t="s">
        <v>25</v>
      </c>
      <c r="D279" t="s">
        <v>305</v>
      </c>
      <c r="E279" t="s">
        <v>523</v>
      </c>
      <c r="F279" s="1">
        <v>10282</v>
      </c>
      <c r="G279" s="1">
        <v>695</v>
      </c>
      <c r="H279" s="1">
        <v>49517</v>
      </c>
    </row>
    <row r="280" spans="1:8" ht="17.25" x14ac:dyDescent="0.35">
      <c r="A280">
        <v>279</v>
      </c>
      <c r="B280" t="s">
        <v>524</v>
      </c>
      <c r="C280" t="s">
        <v>13</v>
      </c>
      <c r="D280" t="s">
        <v>231</v>
      </c>
      <c r="E280" t="s">
        <v>256</v>
      </c>
      <c r="F280" s="1">
        <v>10231</v>
      </c>
      <c r="G280" s="1">
        <v>1349</v>
      </c>
      <c r="H280" s="1">
        <v>17387</v>
      </c>
    </row>
    <row r="281" spans="1:8" ht="17.25" x14ac:dyDescent="0.35">
      <c r="A281">
        <v>280</v>
      </c>
      <c r="B281" t="s">
        <v>525</v>
      </c>
      <c r="C281" t="s">
        <v>9</v>
      </c>
      <c r="D281" t="s">
        <v>54</v>
      </c>
      <c r="E281" t="s">
        <v>156</v>
      </c>
      <c r="F281" s="1">
        <v>10187</v>
      </c>
      <c r="G281" s="1">
        <v>1160</v>
      </c>
      <c r="H281" s="1">
        <v>63990</v>
      </c>
    </row>
    <row r="282" spans="1:8" ht="17.25" x14ac:dyDescent="0.35">
      <c r="A282">
        <v>281</v>
      </c>
      <c r="B282" t="s">
        <v>526</v>
      </c>
      <c r="C282" t="s">
        <v>35</v>
      </c>
      <c r="D282" t="s">
        <v>36</v>
      </c>
      <c r="E282" t="s">
        <v>527</v>
      </c>
      <c r="F282" s="1">
        <v>10140</v>
      </c>
      <c r="G282" s="1">
        <v>-184</v>
      </c>
      <c r="H282" s="1">
        <v>13800</v>
      </c>
    </row>
    <row r="283" spans="1:8" ht="17.25" x14ac:dyDescent="0.35">
      <c r="A283">
        <v>282</v>
      </c>
      <c r="B283" t="s">
        <v>528</v>
      </c>
      <c r="C283" t="s">
        <v>76</v>
      </c>
      <c r="D283" t="s">
        <v>77</v>
      </c>
      <c r="E283" t="s">
        <v>529</v>
      </c>
      <c r="F283" s="1">
        <v>10056</v>
      </c>
      <c r="G283" s="1">
        <v>1530</v>
      </c>
      <c r="H283" s="1">
        <v>30106</v>
      </c>
    </row>
    <row r="284" spans="1:8" ht="17.25" x14ac:dyDescent="0.35">
      <c r="A284">
        <v>283</v>
      </c>
      <c r="B284" t="s">
        <v>530</v>
      </c>
      <c r="C284" t="s">
        <v>21</v>
      </c>
      <c r="D284" t="s">
        <v>74</v>
      </c>
      <c r="E284" t="s">
        <v>531</v>
      </c>
      <c r="F284" s="1">
        <v>10002</v>
      </c>
      <c r="G284" s="1">
        <v>2297</v>
      </c>
      <c r="H284" s="1">
        <v>15036</v>
      </c>
    </row>
    <row r="285" spans="1:8" ht="17.25" x14ac:dyDescent="0.35">
      <c r="A285">
        <v>284</v>
      </c>
      <c r="B285" t="s">
        <v>532</v>
      </c>
      <c r="C285" t="s">
        <v>17</v>
      </c>
      <c r="D285" t="s">
        <v>62</v>
      </c>
      <c r="E285" t="s">
        <v>382</v>
      </c>
      <c r="F285" s="1">
        <v>9989</v>
      </c>
      <c r="G285" s="1">
        <v>869</v>
      </c>
      <c r="H285" s="1">
        <v>22080</v>
      </c>
    </row>
    <row r="286" spans="1:8" ht="17.25" x14ac:dyDescent="0.35">
      <c r="A286">
        <v>285</v>
      </c>
      <c r="B286" t="s">
        <v>533</v>
      </c>
      <c r="C286" t="s">
        <v>153</v>
      </c>
      <c r="D286" t="s">
        <v>224</v>
      </c>
      <c r="E286" t="s">
        <v>534</v>
      </c>
      <c r="F286" s="1">
        <v>9973</v>
      </c>
      <c r="G286" s="1">
        <v>769</v>
      </c>
      <c r="H286" s="1">
        <v>25100</v>
      </c>
    </row>
    <row r="287" spans="1:8" ht="17.25" x14ac:dyDescent="0.35">
      <c r="A287">
        <v>286</v>
      </c>
      <c r="B287" t="s">
        <v>535</v>
      </c>
      <c r="C287" t="s">
        <v>25</v>
      </c>
      <c r="D287" t="s">
        <v>305</v>
      </c>
      <c r="E287" t="s">
        <v>65</v>
      </c>
      <c r="F287" s="1">
        <v>9968</v>
      </c>
      <c r="G287" s="1">
        <v>968</v>
      </c>
      <c r="H287" s="1">
        <v>49400</v>
      </c>
    </row>
    <row r="288" spans="1:8" ht="17.25" x14ac:dyDescent="0.35">
      <c r="A288">
        <v>287</v>
      </c>
      <c r="B288" t="s">
        <v>536</v>
      </c>
      <c r="C288" t="s">
        <v>25</v>
      </c>
      <c r="D288" t="s">
        <v>305</v>
      </c>
      <c r="E288" t="s">
        <v>537</v>
      </c>
      <c r="F288" s="1">
        <v>9946</v>
      </c>
      <c r="G288" s="1">
        <v>1439</v>
      </c>
      <c r="H288" s="1">
        <v>27000</v>
      </c>
    </row>
    <row r="289" spans="1:8" ht="17.25" x14ac:dyDescent="0.35">
      <c r="A289">
        <v>288</v>
      </c>
      <c r="B289" t="s">
        <v>538</v>
      </c>
      <c r="C289" t="s">
        <v>150</v>
      </c>
      <c r="D289" t="s">
        <v>150</v>
      </c>
      <c r="E289" t="s">
        <v>539</v>
      </c>
      <c r="F289" s="1">
        <v>9895</v>
      </c>
      <c r="G289" s="1">
        <v>1278</v>
      </c>
      <c r="H289" s="1">
        <v>19550</v>
      </c>
    </row>
    <row r="290" spans="1:8" ht="17.25" x14ac:dyDescent="0.35">
      <c r="A290">
        <v>289</v>
      </c>
      <c r="B290" t="s">
        <v>540</v>
      </c>
      <c r="C290" t="s">
        <v>13</v>
      </c>
      <c r="D290" t="s">
        <v>14</v>
      </c>
      <c r="E290" t="s">
        <v>541</v>
      </c>
      <c r="F290" s="1">
        <v>9787</v>
      </c>
      <c r="G290" s="1">
        <v>407</v>
      </c>
      <c r="H290" s="1">
        <v>7347</v>
      </c>
    </row>
    <row r="291" spans="1:8" ht="17.25" x14ac:dyDescent="0.35">
      <c r="A291">
        <v>290</v>
      </c>
      <c r="B291" t="s">
        <v>542</v>
      </c>
      <c r="C291" t="s">
        <v>25</v>
      </c>
      <c r="D291" t="s">
        <v>167</v>
      </c>
      <c r="E291" t="s">
        <v>543</v>
      </c>
      <c r="F291" s="1">
        <v>9785</v>
      </c>
      <c r="G291" s="1">
        <v>681</v>
      </c>
      <c r="H291" s="1">
        <v>64500</v>
      </c>
    </row>
    <row r="292" spans="1:8" ht="17.25" x14ac:dyDescent="0.35">
      <c r="A292">
        <v>291</v>
      </c>
      <c r="B292" t="s">
        <v>544</v>
      </c>
      <c r="C292" t="s">
        <v>25</v>
      </c>
      <c r="D292" t="s">
        <v>26</v>
      </c>
      <c r="E292" t="s">
        <v>545</v>
      </c>
      <c r="F292" s="1">
        <v>9773</v>
      </c>
      <c r="G292" s="1">
        <v>103</v>
      </c>
      <c r="H292" s="1">
        <v>8100</v>
      </c>
    </row>
    <row r="293" spans="1:8" ht="17.25" x14ac:dyDescent="0.35">
      <c r="A293">
        <v>292</v>
      </c>
      <c r="B293" t="s">
        <v>546</v>
      </c>
      <c r="C293" t="s">
        <v>41</v>
      </c>
      <c r="D293" t="s">
        <v>41</v>
      </c>
      <c r="E293" t="s">
        <v>547</v>
      </c>
      <c r="F293" s="1">
        <v>9754</v>
      </c>
      <c r="G293" s="1">
        <v>-271</v>
      </c>
      <c r="H293" s="1">
        <v>23800</v>
      </c>
    </row>
    <row r="294" spans="1:8" ht="17.25" x14ac:dyDescent="0.35">
      <c r="A294">
        <v>293</v>
      </c>
      <c r="B294" t="s">
        <v>548</v>
      </c>
      <c r="C294" t="s">
        <v>9</v>
      </c>
      <c r="D294" t="s">
        <v>54</v>
      </c>
      <c r="E294" t="s">
        <v>549</v>
      </c>
      <c r="F294" s="1">
        <v>9737</v>
      </c>
      <c r="G294" s="1">
        <v>473</v>
      </c>
      <c r="H294" s="1">
        <v>56500</v>
      </c>
    </row>
    <row r="295" spans="1:8" ht="17.25" x14ac:dyDescent="0.35">
      <c r="A295">
        <v>294</v>
      </c>
      <c r="B295" t="s">
        <v>550</v>
      </c>
      <c r="C295" t="s">
        <v>315</v>
      </c>
      <c r="D295" t="s">
        <v>408</v>
      </c>
      <c r="E295" t="s">
        <v>123</v>
      </c>
      <c r="F295" s="1">
        <v>9667</v>
      </c>
      <c r="G295" s="1">
        <v>3808</v>
      </c>
      <c r="H295" s="1">
        <v>11300</v>
      </c>
    </row>
    <row r="296" spans="1:8" ht="17.25" x14ac:dyDescent="0.35">
      <c r="A296">
        <v>295</v>
      </c>
      <c r="B296" t="s">
        <v>551</v>
      </c>
      <c r="C296" t="s">
        <v>17</v>
      </c>
      <c r="D296" t="s">
        <v>137</v>
      </c>
      <c r="E296" t="s">
        <v>138</v>
      </c>
      <c r="F296" s="1">
        <v>9659</v>
      </c>
      <c r="G296" s="1">
        <v>1377</v>
      </c>
      <c r="H296" s="1">
        <v>15050</v>
      </c>
    </row>
    <row r="297" spans="1:8" ht="17.25" x14ac:dyDescent="0.35">
      <c r="A297">
        <v>296</v>
      </c>
      <c r="B297" t="s">
        <v>552</v>
      </c>
      <c r="C297" t="s">
        <v>150</v>
      </c>
      <c r="D297" t="s">
        <v>150</v>
      </c>
      <c r="E297" t="s">
        <v>553</v>
      </c>
      <c r="F297" s="1">
        <v>9648</v>
      </c>
      <c r="G297" s="1">
        <v>848</v>
      </c>
      <c r="H297" s="1">
        <v>15000</v>
      </c>
    </row>
    <row r="298" spans="1:8" ht="17.25" x14ac:dyDescent="0.35">
      <c r="A298">
        <v>297</v>
      </c>
      <c r="B298" t="s">
        <v>554</v>
      </c>
      <c r="C298" t="s">
        <v>9</v>
      </c>
      <c r="D298" t="s">
        <v>300</v>
      </c>
      <c r="E298" t="s">
        <v>83</v>
      </c>
      <c r="F298" s="1">
        <v>9624</v>
      </c>
      <c r="G298" s="1">
        <v>86</v>
      </c>
      <c r="H298" s="1">
        <v>9800</v>
      </c>
    </row>
    <row r="299" spans="1:8" ht="17.25" x14ac:dyDescent="0.35">
      <c r="A299">
        <v>298</v>
      </c>
      <c r="B299" t="s">
        <v>555</v>
      </c>
      <c r="C299" t="s">
        <v>21</v>
      </c>
      <c r="D299" t="s">
        <v>57</v>
      </c>
      <c r="E299" t="s">
        <v>37</v>
      </c>
      <c r="F299" s="1">
        <v>9539</v>
      </c>
      <c r="G299" s="1">
        <v>1289</v>
      </c>
      <c r="H299" s="1">
        <v>7100</v>
      </c>
    </row>
    <row r="300" spans="1:8" ht="17.25" x14ac:dyDescent="0.35">
      <c r="A300">
        <v>299</v>
      </c>
      <c r="B300" t="s">
        <v>556</v>
      </c>
      <c r="C300" t="s">
        <v>9</v>
      </c>
      <c r="D300" t="s">
        <v>54</v>
      </c>
      <c r="E300" t="s">
        <v>94</v>
      </c>
      <c r="F300" s="1">
        <v>9499</v>
      </c>
      <c r="G300" s="1">
        <v>149</v>
      </c>
      <c r="H300" s="1">
        <v>12761</v>
      </c>
    </row>
    <row r="301" spans="1:8" ht="17.25" x14ac:dyDescent="0.35">
      <c r="A301">
        <v>300</v>
      </c>
      <c r="B301" t="s">
        <v>557</v>
      </c>
      <c r="C301" t="s">
        <v>17</v>
      </c>
      <c r="D301" t="s">
        <v>62</v>
      </c>
      <c r="E301" t="s">
        <v>147</v>
      </c>
      <c r="F301" s="1">
        <v>9496</v>
      </c>
      <c r="G301" s="1">
        <v>1725</v>
      </c>
      <c r="H301" s="1">
        <v>11600</v>
      </c>
    </row>
    <row r="302" spans="1:8" ht="17.25" x14ac:dyDescent="0.35">
      <c r="A302">
        <v>301</v>
      </c>
      <c r="B302" t="s">
        <v>558</v>
      </c>
      <c r="C302" t="s">
        <v>335</v>
      </c>
      <c r="D302" t="s">
        <v>495</v>
      </c>
      <c r="E302" t="s">
        <v>225</v>
      </c>
      <c r="F302" s="1">
        <v>9474</v>
      </c>
      <c r="G302" s="1">
        <v>803</v>
      </c>
      <c r="H302" s="1">
        <v>7749</v>
      </c>
    </row>
    <row r="303" spans="1:8" ht="17.25" x14ac:dyDescent="0.35">
      <c r="A303">
        <v>302</v>
      </c>
      <c r="B303" t="s">
        <v>559</v>
      </c>
      <c r="C303" t="s">
        <v>9</v>
      </c>
      <c r="D303" t="s">
        <v>54</v>
      </c>
      <c r="E303" t="s">
        <v>560</v>
      </c>
      <c r="F303" s="1">
        <v>9364</v>
      </c>
      <c r="G303" s="1">
        <v>403</v>
      </c>
      <c r="H303" s="1">
        <v>40600</v>
      </c>
    </row>
    <row r="304" spans="1:8" ht="17.25" x14ac:dyDescent="0.35">
      <c r="A304">
        <v>303</v>
      </c>
      <c r="B304" t="s">
        <v>561</v>
      </c>
      <c r="C304" t="s">
        <v>282</v>
      </c>
      <c r="D304" t="s">
        <v>283</v>
      </c>
      <c r="E304" t="s">
        <v>338</v>
      </c>
      <c r="F304" s="1">
        <v>9351</v>
      </c>
      <c r="G304" s="1">
        <v>312</v>
      </c>
      <c r="H304" s="1">
        <v>13400</v>
      </c>
    </row>
    <row r="305" spans="1:8" ht="17.25" x14ac:dyDescent="0.35">
      <c r="A305">
        <v>304</v>
      </c>
      <c r="B305" t="s">
        <v>562</v>
      </c>
      <c r="C305" t="s">
        <v>115</v>
      </c>
      <c r="D305" t="s">
        <v>122</v>
      </c>
      <c r="E305" t="s">
        <v>563</v>
      </c>
      <c r="F305" s="1">
        <v>9264</v>
      </c>
      <c r="G305" s="1">
        <v>686</v>
      </c>
      <c r="H305" s="1">
        <v>20700</v>
      </c>
    </row>
    <row r="306" spans="1:8" ht="17.25" x14ac:dyDescent="0.35">
      <c r="A306">
        <v>305</v>
      </c>
      <c r="B306" t="s">
        <v>564</v>
      </c>
      <c r="C306" t="s">
        <v>25</v>
      </c>
      <c r="D306" t="s">
        <v>110</v>
      </c>
      <c r="E306" t="s">
        <v>565</v>
      </c>
      <c r="F306" s="1">
        <v>9256</v>
      </c>
      <c r="G306" s="1">
        <v>1602</v>
      </c>
      <c r="H306" s="1">
        <v>6971</v>
      </c>
    </row>
    <row r="307" spans="1:8" ht="17.25" x14ac:dyDescent="0.35">
      <c r="A307">
        <v>306</v>
      </c>
      <c r="B307" t="s">
        <v>566</v>
      </c>
      <c r="C307" t="s">
        <v>21</v>
      </c>
      <c r="D307" t="s">
        <v>113</v>
      </c>
      <c r="E307" t="s">
        <v>325</v>
      </c>
      <c r="F307" s="1">
        <v>9249</v>
      </c>
      <c r="G307" s="1">
        <v>-615</v>
      </c>
      <c r="H307" s="1">
        <v>4100</v>
      </c>
    </row>
    <row r="308" spans="1:8" ht="17.25" x14ac:dyDescent="0.35">
      <c r="A308">
        <v>307</v>
      </c>
      <c r="B308" t="s">
        <v>567</v>
      </c>
      <c r="C308" t="s">
        <v>315</v>
      </c>
      <c r="D308" t="s">
        <v>408</v>
      </c>
      <c r="E308" t="s">
        <v>147</v>
      </c>
      <c r="F308" s="1">
        <v>9248</v>
      </c>
      <c r="G308" s="1">
        <v>1228</v>
      </c>
      <c r="H308" s="1">
        <v>16800</v>
      </c>
    </row>
    <row r="309" spans="1:8" ht="17.25" x14ac:dyDescent="0.35">
      <c r="A309">
        <v>308</v>
      </c>
      <c r="B309" t="s">
        <v>568</v>
      </c>
      <c r="C309" t="s">
        <v>17</v>
      </c>
      <c r="D309" t="s">
        <v>62</v>
      </c>
      <c r="E309" t="s">
        <v>327</v>
      </c>
      <c r="F309" s="1">
        <v>9224</v>
      </c>
      <c r="G309" s="1">
        <v>2551</v>
      </c>
      <c r="H309" s="1">
        <v>15500</v>
      </c>
    </row>
    <row r="310" spans="1:8" ht="17.25" x14ac:dyDescent="0.35">
      <c r="A310">
        <v>309</v>
      </c>
      <c r="B310" t="s">
        <v>569</v>
      </c>
      <c r="C310" t="s">
        <v>252</v>
      </c>
      <c r="D310" t="s">
        <v>393</v>
      </c>
      <c r="E310" t="s">
        <v>466</v>
      </c>
      <c r="F310" s="1">
        <v>9190</v>
      </c>
      <c r="G310" s="1">
        <v>-448</v>
      </c>
      <c r="H310" s="1">
        <v>57950</v>
      </c>
    </row>
    <row r="311" spans="1:8" ht="17.25" x14ac:dyDescent="0.35">
      <c r="A311">
        <v>310</v>
      </c>
      <c r="B311" t="s">
        <v>570</v>
      </c>
      <c r="C311" t="s">
        <v>35</v>
      </c>
      <c r="D311" t="s">
        <v>36</v>
      </c>
      <c r="E311" t="s">
        <v>571</v>
      </c>
      <c r="F311" s="1">
        <v>9170</v>
      </c>
      <c r="G311" s="1">
        <v>457</v>
      </c>
      <c r="H311" s="1">
        <v>59350</v>
      </c>
    </row>
    <row r="312" spans="1:8" ht="17.25" x14ac:dyDescent="0.35">
      <c r="A312">
        <v>311</v>
      </c>
      <c r="B312" t="s">
        <v>572</v>
      </c>
      <c r="C312" t="s">
        <v>21</v>
      </c>
      <c r="D312" t="s">
        <v>22</v>
      </c>
      <c r="E312" t="s">
        <v>462</v>
      </c>
      <c r="F312" s="1">
        <v>9132</v>
      </c>
      <c r="G312" s="1">
        <v>527</v>
      </c>
      <c r="H312" s="1">
        <v>54091</v>
      </c>
    </row>
    <row r="313" spans="1:8" ht="17.25" x14ac:dyDescent="0.35">
      <c r="A313">
        <v>312</v>
      </c>
      <c r="B313" t="s">
        <v>573</v>
      </c>
      <c r="C313" t="s">
        <v>315</v>
      </c>
      <c r="D313" t="s">
        <v>435</v>
      </c>
      <c r="E313" t="s">
        <v>241</v>
      </c>
      <c r="F313" s="1">
        <v>9115</v>
      </c>
      <c r="G313" s="1">
        <v>750</v>
      </c>
      <c r="H313" s="1">
        <v>33000</v>
      </c>
    </row>
    <row r="314" spans="1:8" ht="17.25" x14ac:dyDescent="0.35">
      <c r="A314">
        <v>313</v>
      </c>
      <c r="B314" t="s">
        <v>574</v>
      </c>
      <c r="C314" t="s">
        <v>17</v>
      </c>
      <c r="D314" t="s">
        <v>146</v>
      </c>
      <c r="E314" t="s">
        <v>575</v>
      </c>
      <c r="F314" s="1">
        <v>9111</v>
      </c>
      <c r="G314" s="1">
        <v>1339</v>
      </c>
      <c r="H314" s="1">
        <v>35700</v>
      </c>
    </row>
    <row r="315" spans="1:8" ht="17.25" x14ac:dyDescent="0.35">
      <c r="A315">
        <v>314</v>
      </c>
      <c r="B315" t="s">
        <v>576</v>
      </c>
      <c r="C315" t="s">
        <v>335</v>
      </c>
      <c r="D315" t="s">
        <v>336</v>
      </c>
      <c r="E315" t="s">
        <v>23</v>
      </c>
      <c r="F315" s="1">
        <v>8992</v>
      </c>
      <c r="G315" s="1">
        <v>251</v>
      </c>
      <c r="H315" s="1">
        <v>22000</v>
      </c>
    </row>
    <row r="316" spans="1:8" ht="17.25" x14ac:dyDescent="0.35">
      <c r="A316">
        <v>315</v>
      </c>
      <c r="B316" t="s">
        <v>577</v>
      </c>
      <c r="C316" t="s">
        <v>153</v>
      </c>
      <c r="D316" t="s">
        <v>227</v>
      </c>
      <c r="E316" t="s">
        <v>578</v>
      </c>
      <c r="F316" s="1">
        <v>8982</v>
      </c>
      <c r="G316" s="1">
        <v>17</v>
      </c>
      <c r="H316" s="1">
        <v>9200</v>
      </c>
    </row>
    <row r="317" spans="1:8" ht="17.25" x14ac:dyDescent="0.35">
      <c r="A317">
        <v>316</v>
      </c>
      <c r="B317" t="s">
        <v>579</v>
      </c>
      <c r="C317" t="s">
        <v>150</v>
      </c>
      <c r="D317" t="s">
        <v>150</v>
      </c>
      <c r="E317" t="s">
        <v>580</v>
      </c>
      <c r="F317" s="1">
        <v>8895</v>
      </c>
      <c r="G317" s="1">
        <v>1000</v>
      </c>
      <c r="H317" s="1">
        <v>8900</v>
      </c>
    </row>
    <row r="318" spans="1:8" ht="17.25" x14ac:dyDescent="0.35">
      <c r="A318">
        <v>317</v>
      </c>
      <c r="B318" t="s">
        <v>581</v>
      </c>
      <c r="C318" t="s">
        <v>153</v>
      </c>
      <c r="D318" t="s">
        <v>154</v>
      </c>
      <c r="E318" t="s">
        <v>582</v>
      </c>
      <c r="F318" s="1">
        <v>8858</v>
      </c>
      <c r="G318" s="1">
        <v>52</v>
      </c>
      <c r="H318" s="1">
        <v>6655</v>
      </c>
    </row>
    <row r="319" spans="1:8" ht="17.25" x14ac:dyDescent="0.35">
      <c r="A319">
        <v>318</v>
      </c>
      <c r="B319" t="s">
        <v>583</v>
      </c>
      <c r="C319" t="s">
        <v>21</v>
      </c>
      <c r="D319" t="s">
        <v>163</v>
      </c>
      <c r="E319" t="s">
        <v>108</v>
      </c>
      <c r="F319" s="1">
        <v>8789</v>
      </c>
      <c r="G319" s="1">
        <v>769</v>
      </c>
      <c r="H319" s="1">
        <v>3104</v>
      </c>
    </row>
    <row r="320" spans="1:8" ht="17.25" x14ac:dyDescent="0.35">
      <c r="A320">
        <v>319</v>
      </c>
      <c r="B320" t="s">
        <v>584</v>
      </c>
      <c r="C320" t="s">
        <v>13</v>
      </c>
      <c r="D320" t="s">
        <v>267</v>
      </c>
      <c r="E320" t="s">
        <v>89</v>
      </c>
      <c r="F320" s="1">
        <v>8782</v>
      </c>
      <c r="G320" s="1">
        <v>501</v>
      </c>
      <c r="H320" s="1">
        <v>23000</v>
      </c>
    </row>
    <row r="321" spans="1:8" ht="17.25" x14ac:dyDescent="0.35">
      <c r="A321">
        <v>320</v>
      </c>
      <c r="B321" t="s">
        <v>585</v>
      </c>
      <c r="C321" t="s">
        <v>153</v>
      </c>
      <c r="D321" t="s">
        <v>224</v>
      </c>
      <c r="E321" t="s">
        <v>86</v>
      </c>
      <c r="F321" s="1">
        <v>8779</v>
      </c>
      <c r="G321" s="1">
        <v>1472</v>
      </c>
      <c r="H321" s="1">
        <v>14000</v>
      </c>
    </row>
    <row r="322" spans="1:8" ht="17.25" x14ac:dyDescent="0.35">
      <c r="A322">
        <v>321</v>
      </c>
      <c r="B322" t="s">
        <v>586</v>
      </c>
      <c r="C322" t="s">
        <v>282</v>
      </c>
      <c r="D322" t="s">
        <v>285</v>
      </c>
      <c r="E322" t="s">
        <v>106</v>
      </c>
      <c r="F322" s="1">
        <v>8762</v>
      </c>
      <c r="G322" s="1">
        <v>393</v>
      </c>
      <c r="H322" s="1">
        <v>24000</v>
      </c>
    </row>
    <row r="323" spans="1:8" ht="17.25" x14ac:dyDescent="0.35">
      <c r="A323">
        <v>322</v>
      </c>
      <c r="B323" t="s">
        <v>587</v>
      </c>
      <c r="C323" t="s">
        <v>13</v>
      </c>
      <c r="D323" t="s">
        <v>219</v>
      </c>
      <c r="E323" t="s">
        <v>89</v>
      </c>
      <c r="F323" s="1">
        <v>8757</v>
      </c>
      <c r="G323" s="1">
        <v>-4525</v>
      </c>
      <c r="H323" s="1">
        <v>2760</v>
      </c>
    </row>
    <row r="324" spans="1:8" ht="17.25" x14ac:dyDescent="0.35">
      <c r="A324">
        <v>323</v>
      </c>
      <c r="B324" t="s">
        <v>588</v>
      </c>
      <c r="C324" t="s">
        <v>153</v>
      </c>
      <c r="D324" t="s">
        <v>224</v>
      </c>
      <c r="E324" t="s">
        <v>86</v>
      </c>
      <c r="F324" s="1">
        <v>8718</v>
      </c>
      <c r="G324" s="1">
        <v>27</v>
      </c>
      <c r="H324" s="1">
        <v>8800</v>
      </c>
    </row>
    <row r="325" spans="1:8" ht="17.25" x14ac:dyDescent="0.35">
      <c r="A325">
        <v>324</v>
      </c>
      <c r="B325" t="s">
        <v>589</v>
      </c>
      <c r="C325" t="s">
        <v>13</v>
      </c>
      <c r="D325" t="s">
        <v>219</v>
      </c>
      <c r="E325" t="s">
        <v>521</v>
      </c>
      <c r="F325" s="1">
        <v>8698</v>
      </c>
      <c r="G325" s="1">
        <v>-6692</v>
      </c>
      <c r="H325" s="1">
        <v>5800</v>
      </c>
    </row>
    <row r="326" spans="1:8" ht="17.25" x14ac:dyDescent="0.35">
      <c r="A326">
        <v>325</v>
      </c>
      <c r="B326" t="s">
        <v>590</v>
      </c>
      <c r="C326" t="s">
        <v>25</v>
      </c>
      <c r="D326" t="s">
        <v>71</v>
      </c>
      <c r="E326" t="s">
        <v>591</v>
      </c>
      <c r="F326" s="1">
        <v>8680</v>
      </c>
      <c r="G326" s="1">
        <v>437</v>
      </c>
      <c r="H326" s="1">
        <v>50000</v>
      </c>
    </row>
    <row r="327" spans="1:8" ht="17.25" x14ac:dyDescent="0.35">
      <c r="A327">
        <v>326</v>
      </c>
      <c r="B327" t="s">
        <v>592</v>
      </c>
      <c r="C327" t="s">
        <v>21</v>
      </c>
      <c r="D327" t="s">
        <v>113</v>
      </c>
      <c r="E327" t="s">
        <v>593</v>
      </c>
      <c r="F327" s="1">
        <v>8642</v>
      </c>
      <c r="G327" s="1">
        <v>661</v>
      </c>
      <c r="H327" s="1">
        <v>3276</v>
      </c>
    </row>
    <row r="328" spans="1:8" ht="17.25" x14ac:dyDescent="0.35">
      <c r="A328">
        <v>327</v>
      </c>
      <c r="B328" t="s">
        <v>594</v>
      </c>
      <c r="C328" t="s">
        <v>142</v>
      </c>
      <c r="D328" t="s">
        <v>485</v>
      </c>
      <c r="E328" t="s">
        <v>50</v>
      </c>
      <c r="F328" s="1">
        <v>8633</v>
      </c>
      <c r="G328" s="1">
        <v>-147</v>
      </c>
      <c r="H328" s="1">
        <v>25000</v>
      </c>
    </row>
    <row r="329" spans="1:8" ht="17.25" x14ac:dyDescent="0.35">
      <c r="A329">
        <v>328</v>
      </c>
      <c r="B329" t="s">
        <v>595</v>
      </c>
      <c r="C329" t="s">
        <v>98</v>
      </c>
      <c r="D329" t="s">
        <v>487</v>
      </c>
      <c r="E329" t="s">
        <v>395</v>
      </c>
      <c r="F329" s="1">
        <v>8604</v>
      </c>
      <c r="G329" s="1">
        <v>147</v>
      </c>
      <c r="H329" s="1">
        <v>40000</v>
      </c>
    </row>
    <row r="330" spans="1:8" ht="17.25" x14ac:dyDescent="0.35">
      <c r="A330">
        <v>329</v>
      </c>
      <c r="B330" t="s">
        <v>596</v>
      </c>
      <c r="C330" t="s">
        <v>21</v>
      </c>
      <c r="D330" t="s">
        <v>74</v>
      </c>
      <c r="E330" t="s">
        <v>86</v>
      </c>
      <c r="F330" s="1">
        <v>8533</v>
      </c>
      <c r="G330" s="1">
        <v>1933</v>
      </c>
      <c r="H330" s="1">
        <v>24043</v>
      </c>
    </row>
    <row r="331" spans="1:8" ht="17.25" x14ac:dyDescent="0.35">
      <c r="A331">
        <v>330</v>
      </c>
      <c r="B331" t="s">
        <v>597</v>
      </c>
      <c r="C331" t="s">
        <v>9</v>
      </c>
      <c r="D331" t="s">
        <v>300</v>
      </c>
      <c r="E331" t="s">
        <v>430</v>
      </c>
      <c r="F331" s="1">
        <v>8502</v>
      </c>
      <c r="G331" s="1">
        <v>313</v>
      </c>
      <c r="H331" s="1">
        <v>26350</v>
      </c>
    </row>
    <row r="332" spans="1:8" ht="17.25" x14ac:dyDescent="0.35">
      <c r="A332">
        <v>331</v>
      </c>
      <c r="B332" t="s">
        <v>598</v>
      </c>
      <c r="C332" t="s">
        <v>17</v>
      </c>
      <c r="D332" t="s">
        <v>137</v>
      </c>
      <c r="E332" t="s">
        <v>171</v>
      </c>
      <c r="F332" s="1">
        <v>8394</v>
      </c>
      <c r="G332" s="1">
        <v>978</v>
      </c>
      <c r="H332" s="1">
        <v>9950</v>
      </c>
    </row>
    <row r="333" spans="1:8" ht="17.25" x14ac:dyDescent="0.35">
      <c r="A333">
        <v>332</v>
      </c>
      <c r="B333" t="s">
        <v>599</v>
      </c>
      <c r="C333" t="s">
        <v>21</v>
      </c>
      <c r="D333" t="s">
        <v>22</v>
      </c>
      <c r="E333" t="s">
        <v>600</v>
      </c>
      <c r="F333" s="1">
        <v>8286</v>
      </c>
      <c r="G333" s="1">
        <v>694</v>
      </c>
      <c r="H333" s="1">
        <v>9843</v>
      </c>
    </row>
    <row r="334" spans="1:8" ht="17.25" x14ac:dyDescent="0.35">
      <c r="A334">
        <v>333</v>
      </c>
      <c r="B334" t="s">
        <v>601</v>
      </c>
      <c r="C334" t="s">
        <v>41</v>
      </c>
      <c r="D334" t="s">
        <v>41</v>
      </c>
      <c r="E334" t="s">
        <v>602</v>
      </c>
      <c r="F334" s="1">
        <v>8229</v>
      </c>
      <c r="G334" s="1">
        <v>3433</v>
      </c>
      <c r="H334" s="1">
        <v>12500</v>
      </c>
    </row>
    <row r="335" spans="1:8" ht="17.25" x14ac:dyDescent="0.35">
      <c r="A335">
        <v>334</v>
      </c>
      <c r="B335" t="s">
        <v>603</v>
      </c>
      <c r="C335" t="s">
        <v>35</v>
      </c>
      <c r="D335" t="s">
        <v>36</v>
      </c>
      <c r="E335" t="s">
        <v>534</v>
      </c>
      <c r="F335" s="1">
        <v>8209</v>
      </c>
      <c r="G335" s="1">
        <v>247</v>
      </c>
      <c r="H335" s="1">
        <v>30000</v>
      </c>
    </row>
    <row r="336" spans="1:8" ht="17.25" x14ac:dyDescent="0.35">
      <c r="A336">
        <v>335</v>
      </c>
      <c r="B336" t="s">
        <v>604</v>
      </c>
      <c r="C336" t="s">
        <v>153</v>
      </c>
      <c r="D336" t="s">
        <v>154</v>
      </c>
      <c r="E336" t="s">
        <v>417</v>
      </c>
      <c r="F336" s="1">
        <v>8185</v>
      </c>
      <c r="G336" s="1">
        <v>139</v>
      </c>
      <c r="H336" s="1">
        <v>8700</v>
      </c>
    </row>
    <row r="337" spans="1:8" ht="17.25" x14ac:dyDescent="0.35">
      <c r="A337">
        <v>336</v>
      </c>
      <c r="B337" t="s">
        <v>605</v>
      </c>
      <c r="C337" t="s">
        <v>115</v>
      </c>
      <c r="D337" t="s">
        <v>122</v>
      </c>
      <c r="E337" t="s">
        <v>42</v>
      </c>
      <c r="F337" s="1">
        <v>8122</v>
      </c>
      <c r="G337" s="1">
        <v>-9</v>
      </c>
      <c r="H337" s="1">
        <v>16960</v>
      </c>
    </row>
    <row r="338" spans="1:8" ht="17.25" x14ac:dyDescent="0.35">
      <c r="A338">
        <v>337</v>
      </c>
      <c r="B338" t="s">
        <v>606</v>
      </c>
      <c r="C338" t="s">
        <v>115</v>
      </c>
      <c r="D338" t="s">
        <v>122</v>
      </c>
      <c r="E338" t="s">
        <v>607</v>
      </c>
      <c r="F338" s="1">
        <v>8082</v>
      </c>
      <c r="G338" s="1">
        <v>691</v>
      </c>
      <c r="H338" s="1">
        <v>18600</v>
      </c>
    </row>
    <row r="339" spans="1:8" ht="17.25" x14ac:dyDescent="0.35">
      <c r="A339">
        <v>338</v>
      </c>
      <c r="B339" t="s">
        <v>608</v>
      </c>
      <c r="C339" t="s">
        <v>98</v>
      </c>
      <c r="D339" t="s">
        <v>487</v>
      </c>
      <c r="E339" t="s">
        <v>609</v>
      </c>
      <c r="F339" s="1">
        <v>8072</v>
      </c>
      <c r="G339" s="1">
        <v>615</v>
      </c>
      <c r="H339" s="1">
        <v>34100</v>
      </c>
    </row>
    <row r="340" spans="1:8" ht="17.25" x14ac:dyDescent="0.35">
      <c r="A340">
        <v>339</v>
      </c>
      <c r="B340" t="s">
        <v>610</v>
      </c>
      <c r="C340" t="s">
        <v>35</v>
      </c>
      <c r="D340" t="s">
        <v>36</v>
      </c>
      <c r="E340" t="s">
        <v>571</v>
      </c>
      <c r="F340" s="1">
        <v>8023</v>
      </c>
      <c r="G340" s="1">
        <v>610</v>
      </c>
      <c r="H340" s="1">
        <v>30000</v>
      </c>
    </row>
    <row r="341" spans="1:8" ht="17.25" x14ac:dyDescent="0.35">
      <c r="A341">
        <v>340</v>
      </c>
      <c r="B341" t="s">
        <v>611</v>
      </c>
      <c r="C341" t="s">
        <v>221</v>
      </c>
      <c r="D341" t="s">
        <v>221</v>
      </c>
      <c r="E341" t="s">
        <v>50</v>
      </c>
      <c r="F341" s="1">
        <v>8020</v>
      </c>
      <c r="G341" s="1">
        <v>572</v>
      </c>
      <c r="H341" s="1">
        <v>26200</v>
      </c>
    </row>
    <row r="342" spans="1:8" ht="17.25" x14ac:dyDescent="0.35">
      <c r="A342">
        <v>341</v>
      </c>
      <c r="B342" t="s">
        <v>612</v>
      </c>
      <c r="C342" t="s">
        <v>282</v>
      </c>
      <c r="D342" t="s">
        <v>285</v>
      </c>
      <c r="E342" t="s">
        <v>602</v>
      </c>
      <c r="F342" s="1">
        <v>7997</v>
      </c>
      <c r="G342" s="1">
        <v>281</v>
      </c>
      <c r="H342" s="1">
        <v>15200</v>
      </c>
    </row>
    <row r="343" spans="1:8" ht="17.25" x14ac:dyDescent="0.35">
      <c r="A343">
        <v>342</v>
      </c>
      <c r="B343" t="s">
        <v>613</v>
      </c>
      <c r="C343" t="s">
        <v>9</v>
      </c>
      <c r="D343" t="s">
        <v>54</v>
      </c>
      <c r="E343" t="s">
        <v>614</v>
      </c>
      <c r="F343" s="1">
        <v>7967</v>
      </c>
      <c r="G343" s="1">
        <v>931</v>
      </c>
      <c r="H343" s="1">
        <v>54911</v>
      </c>
    </row>
    <row r="344" spans="1:8" ht="17.25" x14ac:dyDescent="0.35">
      <c r="A344">
        <v>343</v>
      </c>
      <c r="B344" t="s">
        <v>615</v>
      </c>
      <c r="C344" t="s">
        <v>13</v>
      </c>
      <c r="D344" t="s">
        <v>231</v>
      </c>
      <c r="E344" t="s">
        <v>195</v>
      </c>
      <c r="F344" s="1">
        <v>7955</v>
      </c>
      <c r="G344" s="1">
        <v>879</v>
      </c>
      <c r="H344" s="1">
        <v>7943</v>
      </c>
    </row>
    <row r="345" spans="1:8" ht="17.25" x14ac:dyDescent="0.35">
      <c r="A345">
        <v>344</v>
      </c>
      <c r="B345" t="s">
        <v>616</v>
      </c>
      <c r="C345" t="s">
        <v>21</v>
      </c>
      <c r="D345" t="s">
        <v>479</v>
      </c>
      <c r="E345" t="s">
        <v>617</v>
      </c>
      <c r="F345" s="1">
        <v>7949</v>
      </c>
      <c r="G345" s="1">
        <v>2035</v>
      </c>
      <c r="H345" s="1">
        <v>9489</v>
      </c>
    </row>
    <row r="346" spans="1:8" ht="17.25" x14ac:dyDescent="0.35">
      <c r="A346">
        <v>345</v>
      </c>
      <c r="B346" t="s">
        <v>618</v>
      </c>
      <c r="C346" t="s">
        <v>98</v>
      </c>
      <c r="D346" t="s">
        <v>487</v>
      </c>
      <c r="E346" t="s">
        <v>619</v>
      </c>
      <c r="F346" s="1">
        <v>7904</v>
      </c>
      <c r="G346" s="1">
        <v>355</v>
      </c>
      <c r="H346" s="1">
        <v>25000</v>
      </c>
    </row>
    <row r="347" spans="1:8" ht="17.25" x14ac:dyDescent="0.35">
      <c r="A347">
        <v>346</v>
      </c>
      <c r="B347" t="s">
        <v>620</v>
      </c>
      <c r="C347" t="s">
        <v>9</v>
      </c>
      <c r="D347" t="s">
        <v>300</v>
      </c>
      <c r="E347" t="s">
        <v>621</v>
      </c>
      <c r="F347" s="1">
        <v>7864</v>
      </c>
      <c r="G347" s="1">
        <v>183</v>
      </c>
      <c r="H347" s="1">
        <v>9574</v>
      </c>
    </row>
    <row r="348" spans="1:8" ht="17.25" x14ac:dyDescent="0.35">
      <c r="A348">
        <v>347</v>
      </c>
      <c r="B348" t="s">
        <v>622</v>
      </c>
      <c r="C348" t="s">
        <v>21</v>
      </c>
      <c r="D348" t="s">
        <v>479</v>
      </c>
      <c r="E348" t="s">
        <v>50</v>
      </c>
      <c r="F348" s="1">
        <v>7786</v>
      </c>
      <c r="G348" s="1">
        <v>489</v>
      </c>
      <c r="H348" s="1">
        <v>1196</v>
      </c>
    </row>
    <row r="349" spans="1:8" ht="17.25" x14ac:dyDescent="0.35">
      <c r="A349">
        <v>348</v>
      </c>
      <c r="B349" t="s">
        <v>623</v>
      </c>
      <c r="C349" t="s">
        <v>13</v>
      </c>
      <c r="D349" t="s">
        <v>173</v>
      </c>
      <c r="E349" t="s">
        <v>355</v>
      </c>
      <c r="F349" s="1">
        <v>7763</v>
      </c>
      <c r="G349" s="1">
        <v>245</v>
      </c>
      <c r="H349" s="1">
        <v>2364</v>
      </c>
    </row>
    <row r="350" spans="1:8" ht="17.25" x14ac:dyDescent="0.35">
      <c r="A350">
        <v>349</v>
      </c>
      <c r="B350" t="s">
        <v>624</v>
      </c>
      <c r="C350" t="s">
        <v>13</v>
      </c>
      <c r="D350" t="s">
        <v>219</v>
      </c>
      <c r="E350" t="s">
        <v>625</v>
      </c>
      <c r="F350" s="1">
        <v>7729</v>
      </c>
      <c r="G350" s="1">
        <v>220</v>
      </c>
      <c r="H350" s="1">
        <v>15601</v>
      </c>
    </row>
    <row r="351" spans="1:8" ht="17.25" x14ac:dyDescent="0.35">
      <c r="A351">
        <v>350</v>
      </c>
      <c r="B351" t="s">
        <v>626</v>
      </c>
      <c r="C351" t="s">
        <v>13</v>
      </c>
      <c r="D351" t="s">
        <v>231</v>
      </c>
      <c r="E351" t="s">
        <v>539</v>
      </c>
      <c r="F351" s="1">
        <v>7669</v>
      </c>
      <c r="G351" s="1">
        <v>682</v>
      </c>
      <c r="H351" s="1">
        <v>12799</v>
      </c>
    </row>
    <row r="352" spans="1:8" ht="17.25" x14ac:dyDescent="0.35">
      <c r="A352">
        <v>351</v>
      </c>
      <c r="B352" t="s">
        <v>627</v>
      </c>
      <c r="C352" t="s">
        <v>153</v>
      </c>
      <c r="D352" t="s">
        <v>154</v>
      </c>
      <c r="E352" t="s">
        <v>628</v>
      </c>
      <c r="F352" s="1">
        <v>7652</v>
      </c>
      <c r="G352" s="1">
        <v>63</v>
      </c>
      <c r="H352" s="1">
        <v>11850</v>
      </c>
    </row>
    <row r="353" spans="1:8" ht="17.25" x14ac:dyDescent="0.35">
      <c r="A353">
        <v>352</v>
      </c>
      <c r="B353" t="s">
        <v>629</v>
      </c>
      <c r="C353" t="s">
        <v>335</v>
      </c>
      <c r="D353" t="s">
        <v>336</v>
      </c>
      <c r="E353" t="s">
        <v>89</v>
      </c>
      <c r="F353" s="1">
        <v>7632</v>
      </c>
      <c r="G353" s="1">
        <v>311</v>
      </c>
      <c r="H353" s="1">
        <v>24500</v>
      </c>
    </row>
    <row r="354" spans="1:8" ht="17.25" x14ac:dyDescent="0.35">
      <c r="A354">
        <v>353</v>
      </c>
      <c r="B354" t="s">
        <v>630</v>
      </c>
      <c r="C354" t="s">
        <v>131</v>
      </c>
      <c r="D354" t="s">
        <v>415</v>
      </c>
      <c r="E354" t="s">
        <v>631</v>
      </c>
      <c r="F354" s="1">
        <v>7623</v>
      </c>
      <c r="G354" s="1">
        <v>-191</v>
      </c>
      <c r="H354" s="1">
        <v>89000</v>
      </c>
    </row>
    <row r="355" spans="1:8" ht="17.25" x14ac:dyDescent="0.35">
      <c r="A355">
        <v>354</v>
      </c>
      <c r="B355" t="s">
        <v>632</v>
      </c>
      <c r="C355" t="s">
        <v>221</v>
      </c>
      <c r="D355" t="s">
        <v>221</v>
      </c>
      <c r="E355" t="s">
        <v>50</v>
      </c>
      <c r="F355" s="1">
        <v>7620</v>
      </c>
      <c r="G355" s="1">
        <v>702</v>
      </c>
      <c r="H355" s="1">
        <v>20000</v>
      </c>
    </row>
    <row r="356" spans="1:8" ht="17.25" x14ac:dyDescent="0.35">
      <c r="A356">
        <v>355</v>
      </c>
      <c r="B356" t="s">
        <v>633</v>
      </c>
      <c r="C356" t="s">
        <v>315</v>
      </c>
      <c r="D356" t="s">
        <v>380</v>
      </c>
      <c r="E356" t="s">
        <v>50</v>
      </c>
      <c r="F356" s="1">
        <v>7614</v>
      </c>
      <c r="G356" s="1">
        <v>455</v>
      </c>
      <c r="H356" s="1">
        <v>49200</v>
      </c>
    </row>
    <row r="357" spans="1:8" ht="17.25" x14ac:dyDescent="0.35">
      <c r="A357">
        <v>356</v>
      </c>
      <c r="B357" t="s">
        <v>634</v>
      </c>
      <c r="C357" t="s">
        <v>282</v>
      </c>
      <c r="D357" t="s">
        <v>283</v>
      </c>
      <c r="E357" t="s">
        <v>635</v>
      </c>
      <c r="F357" s="1">
        <v>7594</v>
      </c>
      <c r="G357" s="1">
        <v>-130</v>
      </c>
      <c r="H357" s="1">
        <v>7500</v>
      </c>
    </row>
    <row r="358" spans="1:8" ht="17.25" x14ac:dyDescent="0.35">
      <c r="A358">
        <v>357</v>
      </c>
      <c r="B358" t="s">
        <v>636</v>
      </c>
      <c r="C358" t="s">
        <v>153</v>
      </c>
      <c r="D358" t="s">
        <v>224</v>
      </c>
      <c r="E358" t="s">
        <v>331</v>
      </c>
      <c r="F358" s="1">
        <v>7519</v>
      </c>
      <c r="G358" s="1">
        <v>211</v>
      </c>
      <c r="H358" s="1">
        <v>9300</v>
      </c>
    </row>
    <row r="359" spans="1:8" ht="17.25" x14ac:dyDescent="0.35">
      <c r="A359">
        <v>358</v>
      </c>
      <c r="B359" t="s">
        <v>637</v>
      </c>
      <c r="C359" t="s">
        <v>25</v>
      </c>
      <c r="D359" t="s">
        <v>71</v>
      </c>
      <c r="E359" t="s">
        <v>638</v>
      </c>
      <c r="F359" s="1">
        <v>7493</v>
      </c>
      <c r="G359" s="1">
        <v>709</v>
      </c>
      <c r="H359" s="1">
        <v>44000</v>
      </c>
    </row>
    <row r="360" spans="1:8" ht="17.25" x14ac:dyDescent="0.35">
      <c r="A360">
        <v>359</v>
      </c>
      <c r="B360" t="s">
        <v>639</v>
      </c>
      <c r="C360" t="s">
        <v>25</v>
      </c>
      <c r="D360" t="s">
        <v>305</v>
      </c>
      <c r="E360" t="s">
        <v>640</v>
      </c>
      <c r="F360" s="1">
        <v>7477</v>
      </c>
      <c r="G360" s="1">
        <v>-239</v>
      </c>
      <c r="H360" s="1">
        <v>25000</v>
      </c>
    </row>
    <row r="361" spans="1:8" ht="17.25" x14ac:dyDescent="0.35">
      <c r="A361">
        <v>360</v>
      </c>
      <c r="B361" t="s">
        <v>641</v>
      </c>
      <c r="C361" t="s">
        <v>44</v>
      </c>
      <c r="D361" t="s">
        <v>158</v>
      </c>
      <c r="E361" t="s">
        <v>642</v>
      </c>
      <c r="F361" s="1">
        <v>7467</v>
      </c>
      <c r="G361" s="1">
        <v>266</v>
      </c>
      <c r="H361" s="1">
        <v>19588</v>
      </c>
    </row>
    <row r="362" spans="1:8" ht="17.25" x14ac:dyDescent="0.35">
      <c r="A362">
        <v>361</v>
      </c>
      <c r="B362" t="s">
        <v>643</v>
      </c>
      <c r="C362" t="s">
        <v>9</v>
      </c>
      <c r="D362" t="s">
        <v>216</v>
      </c>
      <c r="E362" t="s">
        <v>50</v>
      </c>
      <c r="F362" s="1">
        <v>7412</v>
      </c>
      <c r="G362" s="1">
        <v>541</v>
      </c>
      <c r="H362" s="1">
        <v>30985</v>
      </c>
    </row>
    <row r="363" spans="1:8" ht="17.25" x14ac:dyDescent="0.35">
      <c r="A363">
        <v>362</v>
      </c>
      <c r="B363" t="s">
        <v>644</v>
      </c>
      <c r="C363" t="s">
        <v>115</v>
      </c>
      <c r="D363" t="s">
        <v>122</v>
      </c>
      <c r="E363" t="s">
        <v>645</v>
      </c>
      <c r="F363" s="1">
        <v>7387</v>
      </c>
      <c r="G363" s="1">
        <v>513</v>
      </c>
      <c r="H363" s="1">
        <v>19885</v>
      </c>
    </row>
    <row r="364" spans="1:8" ht="17.25" x14ac:dyDescent="0.35">
      <c r="A364">
        <v>363</v>
      </c>
      <c r="B364" t="s">
        <v>646</v>
      </c>
      <c r="C364" t="s">
        <v>13</v>
      </c>
      <c r="D364" t="s">
        <v>231</v>
      </c>
      <c r="E364" t="s">
        <v>89</v>
      </c>
      <c r="F364" s="1">
        <v>7386</v>
      </c>
      <c r="G364" s="1">
        <v>-692</v>
      </c>
      <c r="H364" s="1">
        <v>7505</v>
      </c>
    </row>
    <row r="365" spans="1:8" ht="17.25" x14ac:dyDescent="0.35">
      <c r="A365">
        <v>364</v>
      </c>
      <c r="B365" t="s">
        <v>647</v>
      </c>
      <c r="C365" t="s">
        <v>13</v>
      </c>
      <c r="D365" t="s">
        <v>13</v>
      </c>
      <c r="E365" t="s">
        <v>355</v>
      </c>
      <c r="F365" s="1">
        <v>7360</v>
      </c>
      <c r="G365" s="1">
        <v>-571</v>
      </c>
      <c r="H365" s="1">
        <v>6578</v>
      </c>
    </row>
    <row r="366" spans="1:8" ht="17.25" x14ac:dyDescent="0.35">
      <c r="A366">
        <v>365</v>
      </c>
      <c r="B366" t="s">
        <v>648</v>
      </c>
      <c r="C366" t="s">
        <v>9</v>
      </c>
      <c r="D366" t="s">
        <v>54</v>
      </c>
      <c r="E366" t="s">
        <v>649</v>
      </c>
      <c r="F366" s="1">
        <v>7271</v>
      </c>
      <c r="G366" s="1">
        <v>330</v>
      </c>
      <c r="H366" s="1">
        <v>25150</v>
      </c>
    </row>
    <row r="367" spans="1:8" ht="17.25" x14ac:dyDescent="0.35">
      <c r="A367">
        <v>366</v>
      </c>
      <c r="B367" t="s">
        <v>650</v>
      </c>
      <c r="C367" t="s">
        <v>142</v>
      </c>
      <c r="D367" t="s">
        <v>143</v>
      </c>
      <c r="E367" t="s">
        <v>651</v>
      </c>
      <c r="F367" s="1">
        <v>7246</v>
      </c>
      <c r="G367" s="1">
        <v>-33</v>
      </c>
      <c r="H367" s="1">
        <v>12200</v>
      </c>
    </row>
    <row r="368" spans="1:8" ht="17.25" x14ac:dyDescent="0.35">
      <c r="A368">
        <v>367</v>
      </c>
      <c r="B368" t="s">
        <v>652</v>
      </c>
      <c r="C368" t="s">
        <v>21</v>
      </c>
      <c r="D368" t="s">
        <v>113</v>
      </c>
      <c r="E368" t="s">
        <v>23</v>
      </c>
      <c r="F368" s="1">
        <v>7236</v>
      </c>
      <c r="G368" s="1">
        <v>333</v>
      </c>
      <c r="H368" s="1">
        <v>5488</v>
      </c>
    </row>
    <row r="369" spans="1:8" ht="17.25" x14ac:dyDescent="0.35">
      <c r="A369">
        <v>368</v>
      </c>
      <c r="B369" t="s">
        <v>653</v>
      </c>
      <c r="C369" t="s">
        <v>21</v>
      </c>
      <c r="D369" t="s">
        <v>22</v>
      </c>
      <c r="E369" t="s">
        <v>631</v>
      </c>
      <c r="F369" s="1">
        <v>7207</v>
      </c>
      <c r="G369" s="1">
        <v>504</v>
      </c>
      <c r="H369" s="1">
        <v>7621</v>
      </c>
    </row>
    <row r="370" spans="1:8" ht="17.25" x14ac:dyDescent="0.35">
      <c r="A370">
        <v>369</v>
      </c>
      <c r="B370" t="s">
        <v>654</v>
      </c>
      <c r="C370" t="s">
        <v>153</v>
      </c>
      <c r="D370" t="s">
        <v>224</v>
      </c>
      <c r="E370" t="s">
        <v>78</v>
      </c>
      <c r="F370" s="1">
        <v>7193</v>
      </c>
      <c r="G370" s="1">
        <v>423</v>
      </c>
      <c r="H370" s="1">
        <v>31100</v>
      </c>
    </row>
    <row r="371" spans="1:8" ht="17.25" x14ac:dyDescent="0.35">
      <c r="A371">
        <v>370</v>
      </c>
      <c r="B371" t="s">
        <v>655</v>
      </c>
      <c r="C371" t="s">
        <v>98</v>
      </c>
      <c r="D371" t="s">
        <v>99</v>
      </c>
      <c r="E371" t="s">
        <v>50</v>
      </c>
      <c r="F371" s="1">
        <v>7173</v>
      </c>
      <c r="G371" s="1">
        <v>-1149</v>
      </c>
      <c r="H371" s="1">
        <v>30900</v>
      </c>
    </row>
    <row r="372" spans="1:8" ht="17.25" x14ac:dyDescent="0.35">
      <c r="A372">
        <v>371</v>
      </c>
      <c r="B372" t="s">
        <v>656</v>
      </c>
      <c r="C372" t="s">
        <v>252</v>
      </c>
      <c r="D372" t="s">
        <v>253</v>
      </c>
      <c r="E372" t="s">
        <v>657</v>
      </c>
      <c r="F372" s="1">
        <v>7164</v>
      </c>
      <c r="G372" s="1">
        <v>710</v>
      </c>
      <c r="H372" s="1">
        <v>148892</v>
      </c>
    </row>
    <row r="373" spans="1:8" ht="17.25" x14ac:dyDescent="0.35">
      <c r="A373">
        <v>372</v>
      </c>
      <c r="B373" t="s">
        <v>658</v>
      </c>
      <c r="C373" t="s">
        <v>25</v>
      </c>
      <c r="D373" t="s">
        <v>167</v>
      </c>
      <c r="E373" t="s">
        <v>140</v>
      </c>
      <c r="F373" s="1">
        <v>7098</v>
      </c>
      <c r="G373" s="1">
        <v>-93</v>
      </c>
      <c r="H373" s="1">
        <v>77800</v>
      </c>
    </row>
    <row r="374" spans="1:8" ht="17.25" x14ac:dyDescent="0.35">
      <c r="A374">
        <v>373</v>
      </c>
      <c r="B374" t="s">
        <v>659</v>
      </c>
      <c r="C374" t="s">
        <v>282</v>
      </c>
      <c r="D374" t="s">
        <v>660</v>
      </c>
      <c r="E374" t="s">
        <v>661</v>
      </c>
      <c r="F374" s="1">
        <v>7082</v>
      </c>
      <c r="G374" s="1">
        <v>506</v>
      </c>
      <c r="H374" s="1">
        <v>12600</v>
      </c>
    </row>
    <row r="375" spans="1:8" ht="17.25" x14ac:dyDescent="0.35">
      <c r="A375">
        <v>374</v>
      </c>
      <c r="B375" t="s">
        <v>662</v>
      </c>
      <c r="C375" t="s">
        <v>9</v>
      </c>
      <c r="D375" t="s">
        <v>54</v>
      </c>
      <c r="E375" t="s">
        <v>663</v>
      </c>
      <c r="F375" s="1">
        <v>7052</v>
      </c>
      <c r="G375" s="1">
        <v>181</v>
      </c>
      <c r="H375" s="1">
        <v>22408</v>
      </c>
    </row>
    <row r="376" spans="1:8" ht="17.25" x14ac:dyDescent="0.35">
      <c r="A376">
        <v>375</v>
      </c>
      <c r="B376" t="s">
        <v>664</v>
      </c>
      <c r="C376" t="s">
        <v>282</v>
      </c>
      <c r="D376" t="s">
        <v>285</v>
      </c>
      <c r="E376" t="s">
        <v>83</v>
      </c>
      <c r="F376" s="1">
        <v>7032</v>
      </c>
      <c r="G376" s="1">
        <v>335</v>
      </c>
      <c r="H376" s="1">
        <v>23000</v>
      </c>
    </row>
    <row r="377" spans="1:8" ht="17.25" x14ac:dyDescent="0.35">
      <c r="A377">
        <v>376</v>
      </c>
      <c r="B377" t="s">
        <v>665</v>
      </c>
      <c r="C377" t="s">
        <v>21</v>
      </c>
      <c r="D377" t="s">
        <v>74</v>
      </c>
      <c r="E377" t="s">
        <v>60</v>
      </c>
      <c r="F377" s="1">
        <v>7031</v>
      </c>
      <c r="G377" s="1">
        <v>1712</v>
      </c>
      <c r="H377" s="1">
        <v>18261</v>
      </c>
    </row>
    <row r="378" spans="1:8" ht="17.25" x14ac:dyDescent="0.35">
      <c r="A378">
        <v>377</v>
      </c>
      <c r="B378" t="s">
        <v>666</v>
      </c>
      <c r="C378" t="s">
        <v>44</v>
      </c>
      <c r="D378" t="s">
        <v>45</v>
      </c>
      <c r="E378" t="s">
        <v>578</v>
      </c>
      <c r="F378" s="1">
        <v>7029</v>
      </c>
      <c r="G378" s="1">
        <v>870</v>
      </c>
      <c r="H378" s="1">
        <v>26000</v>
      </c>
    </row>
    <row r="379" spans="1:8" ht="17.25" x14ac:dyDescent="0.35">
      <c r="A379">
        <v>378</v>
      </c>
      <c r="B379" t="s">
        <v>667</v>
      </c>
      <c r="C379" t="s">
        <v>76</v>
      </c>
      <c r="D379" t="s">
        <v>77</v>
      </c>
      <c r="E379" t="s">
        <v>668</v>
      </c>
      <c r="F379" s="1">
        <v>7020</v>
      </c>
      <c r="G379" s="1">
        <v>404</v>
      </c>
      <c r="H379" s="1">
        <v>35995</v>
      </c>
    </row>
    <row r="380" spans="1:8" ht="17.25" x14ac:dyDescent="0.35">
      <c r="A380">
        <v>379</v>
      </c>
      <c r="B380" t="s">
        <v>669</v>
      </c>
      <c r="C380" t="s">
        <v>9</v>
      </c>
      <c r="D380" t="s">
        <v>54</v>
      </c>
      <c r="E380" t="s">
        <v>670</v>
      </c>
      <c r="F380" s="1">
        <v>6780</v>
      </c>
      <c r="G380" s="1">
        <v>123</v>
      </c>
      <c r="H380" s="1">
        <v>3700</v>
      </c>
    </row>
    <row r="381" spans="1:8" ht="17.25" x14ac:dyDescent="0.35">
      <c r="A381">
        <v>380</v>
      </c>
      <c r="B381" t="s">
        <v>671</v>
      </c>
      <c r="C381" t="s">
        <v>9</v>
      </c>
      <c r="D381" t="s">
        <v>10</v>
      </c>
      <c r="E381" t="s">
        <v>672</v>
      </c>
      <c r="F381" s="1">
        <v>6755</v>
      </c>
      <c r="G381" s="1">
        <v>269</v>
      </c>
      <c r="H381" s="1">
        <v>30600</v>
      </c>
    </row>
    <row r="382" spans="1:8" ht="17.25" x14ac:dyDescent="0.35">
      <c r="A382">
        <v>381</v>
      </c>
      <c r="B382" t="s">
        <v>673</v>
      </c>
      <c r="C382" t="s">
        <v>335</v>
      </c>
      <c r="D382" t="s">
        <v>336</v>
      </c>
      <c r="E382" t="s">
        <v>327</v>
      </c>
      <c r="F382" s="1">
        <v>6723</v>
      </c>
      <c r="G382" s="1">
        <v>172</v>
      </c>
      <c r="H382" s="1">
        <v>29000</v>
      </c>
    </row>
    <row r="383" spans="1:8" ht="17.25" x14ac:dyDescent="0.35">
      <c r="A383">
        <v>382</v>
      </c>
      <c r="B383" t="s">
        <v>674</v>
      </c>
      <c r="C383" t="s">
        <v>21</v>
      </c>
      <c r="D383" t="s">
        <v>479</v>
      </c>
      <c r="E383" t="s">
        <v>675</v>
      </c>
      <c r="F383" s="1">
        <v>6694</v>
      </c>
      <c r="G383" s="1">
        <v>838</v>
      </c>
      <c r="H383" s="1">
        <v>41000</v>
      </c>
    </row>
    <row r="384" spans="1:8" ht="17.25" x14ac:dyDescent="0.35">
      <c r="A384">
        <v>383</v>
      </c>
      <c r="B384" t="s">
        <v>676</v>
      </c>
      <c r="C384" t="s">
        <v>282</v>
      </c>
      <c r="D384" t="s">
        <v>283</v>
      </c>
      <c r="E384" t="s">
        <v>677</v>
      </c>
      <c r="F384" s="1">
        <v>6693</v>
      </c>
      <c r="G384" s="1">
        <v>-509</v>
      </c>
      <c r="H384" s="1">
        <v>8500</v>
      </c>
    </row>
    <row r="385" spans="1:8" ht="17.25" x14ac:dyDescent="0.35">
      <c r="A385">
        <v>384</v>
      </c>
      <c r="B385" t="s">
        <v>678</v>
      </c>
      <c r="C385" t="s">
        <v>13</v>
      </c>
      <c r="D385" t="s">
        <v>13</v>
      </c>
      <c r="E385" t="s">
        <v>543</v>
      </c>
      <c r="F385" s="1">
        <v>6691</v>
      </c>
      <c r="G385" s="1">
        <v>281</v>
      </c>
      <c r="H385" s="1">
        <v>13570</v>
      </c>
    </row>
    <row r="386" spans="1:8" ht="17.25" x14ac:dyDescent="0.35">
      <c r="A386">
        <v>385</v>
      </c>
      <c r="B386" t="s">
        <v>679</v>
      </c>
      <c r="C386" t="s">
        <v>17</v>
      </c>
      <c r="D386" t="s">
        <v>62</v>
      </c>
      <c r="E386" t="s">
        <v>321</v>
      </c>
      <c r="F386" s="1">
        <v>6672</v>
      </c>
      <c r="G386" s="1">
        <v>765</v>
      </c>
      <c r="H386" s="1">
        <v>18730</v>
      </c>
    </row>
    <row r="387" spans="1:8" ht="17.25" x14ac:dyDescent="0.35">
      <c r="A387">
        <v>386</v>
      </c>
      <c r="B387" t="s">
        <v>680</v>
      </c>
      <c r="C387" t="s">
        <v>17</v>
      </c>
      <c r="D387" t="s">
        <v>80</v>
      </c>
      <c r="E387" t="s">
        <v>27</v>
      </c>
      <c r="F387" s="1">
        <v>6667</v>
      </c>
      <c r="G387" s="1">
        <v>-47</v>
      </c>
      <c r="H387" s="1">
        <v>19742</v>
      </c>
    </row>
    <row r="388" spans="1:8" ht="17.25" x14ac:dyDescent="0.35">
      <c r="A388">
        <v>387</v>
      </c>
      <c r="B388" t="s">
        <v>681</v>
      </c>
      <c r="C388" t="s">
        <v>13</v>
      </c>
      <c r="D388" t="s">
        <v>173</v>
      </c>
      <c r="E388" t="s">
        <v>89</v>
      </c>
      <c r="F388" s="1">
        <v>6659</v>
      </c>
      <c r="G388" s="1">
        <v>58</v>
      </c>
      <c r="H388" s="1">
        <v>1870</v>
      </c>
    </row>
    <row r="389" spans="1:8" ht="17.25" x14ac:dyDescent="0.35">
      <c r="A389">
        <v>388</v>
      </c>
      <c r="B389" t="s">
        <v>682</v>
      </c>
      <c r="C389" t="s">
        <v>13</v>
      </c>
      <c r="D389" t="s">
        <v>219</v>
      </c>
      <c r="E389" t="s">
        <v>89</v>
      </c>
      <c r="F389" s="1">
        <v>6654</v>
      </c>
      <c r="G389" s="1">
        <v>-23119</v>
      </c>
      <c r="H389" s="1">
        <v>3860</v>
      </c>
    </row>
    <row r="390" spans="1:8" ht="17.25" x14ac:dyDescent="0.35">
      <c r="A390">
        <v>389</v>
      </c>
      <c r="B390" t="s">
        <v>683</v>
      </c>
      <c r="C390" t="s">
        <v>76</v>
      </c>
      <c r="D390" t="s">
        <v>77</v>
      </c>
      <c r="E390" t="s">
        <v>684</v>
      </c>
      <c r="F390" s="1">
        <v>6644</v>
      </c>
      <c r="G390" s="1">
        <v>789</v>
      </c>
      <c r="H390" s="1">
        <v>15200</v>
      </c>
    </row>
    <row r="391" spans="1:8" ht="17.25" x14ac:dyDescent="0.35">
      <c r="A391">
        <v>390</v>
      </c>
      <c r="B391" t="s">
        <v>685</v>
      </c>
      <c r="C391" t="s">
        <v>131</v>
      </c>
      <c r="D391" t="s">
        <v>415</v>
      </c>
      <c r="E391" t="s">
        <v>63</v>
      </c>
      <c r="F391" s="1">
        <v>6617</v>
      </c>
      <c r="G391" s="1">
        <v>457</v>
      </c>
      <c r="H391" s="1">
        <v>15397</v>
      </c>
    </row>
    <row r="392" spans="1:8" ht="17.25" x14ac:dyDescent="0.35">
      <c r="A392">
        <v>391</v>
      </c>
      <c r="B392" t="s">
        <v>686</v>
      </c>
      <c r="C392" t="s">
        <v>153</v>
      </c>
      <c r="D392" t="s">
        <v>224</v>
      </c>
      <c r="E392" t="s">
        <v>420</v>
      </c>
      <c r="F392" s="1">
        <v>6596</v>
      </c>
      <c r="G392" s="1">
        <v>128</v>
      </c>
      <c r="H392" s="1">
        <v>8700</v>
      </c>
    </row>
    <row r="393" spans="1:8" ht="17.25" x14ac:dyDescent="0.35">
      <c r="A393">
        <v>392</v>
      </c>
      <c r="B393" t="s">
        <v>687</v>
      </c>
      <c r="C393" t="s">
        <v>315</v>
      </c>
      <c r="D393" t="s">
        <v>408</v>
      </c>
      <c r="E393" t="s">
        <v>462</v>
      </c>
      <c r="F393" s="1">
        <v>6595</v>
      </c>
      <c r="G393" s="1">
        <v>632</v>
      </c>
      <c r="H393" s="1">
        <v>55000</v>
      </c>
    </row>
    <row r="394" spans="1:8" ht="17.25" x14ac:dyDescent="0.35">
      <c r="A394">
        <v>393</v>
      </c>
      <c r="B394" t="s">
        <v>688</v>
      </c>
      <c r="C394" t="s">
        <v>9</v>
      </c>
      <c r="D394" t="s">
        <v>300</v>
      </c>
      <c r="E394" t="s">
        <v>642</v>
      </c>
      <c r="F394" s="1">
        <v>6588</v>
      </c>
      <c r="G394" s="1">
        <v>169</v>
      </c>
      <c r="H394" s="1">
        <v>8600</v>
      </c>
    </row>
    <row r="395" spans="1:8" ht="17.25" x14ac:dyDescent="0.35">
      <c r="A395">
        <v>394</v>
      </c>
      <c r="B395" t="s">
        <v>689</v>
      </c>
      <c r="C395" t="s">
        <v>13</v>
      </c>
      <c r="D395" t="s">
        <v>14</v>
      </c>
      <c r="E395" t="s">
        <v>50</v>
      </c>
      <c r="F395" s="1">
        <v>6575</v>
      </c>
      <c r="G395" s="1">
        <v>-3056</v>
      </c>
      <c r="H395" s="1">
        <v>2770</v>
      </c>
    </row>
    <row r="396" spans="1:8" ht="17.25" x14ac:dyDescent="0.35">
      <c r="A396">
        <v>395</v>
      </c>
      <c r="B396" t="s">
        <v>690</v>
      </c>
      <c r="C396" t="s">
        <v>131</v>
      </c>
      <c r="D396" t="s">
        <v>691</v>
      </c>
      <c r="E396" t="s">
        <v>225</v>
      </c>
      <c r="F396" s="1">
        <v>6572</v>
      </c>
      <c r="G396" s="1">
        <v>305</v>
      </c>
      <c r="H396" s="1">
        <v>33100</v>
      </c>
    </row>
    <row r="397" spans="1:8" ht="17.25" x14ac:dyDescent="0.35">
      <c r="A397">
        <v>396</v>
      </c>
      <c r="B397" t="s">
        <v>692</v>
      </c>
      <c r="C397" t="s">
        <v>44</v>
      </c>
      <c r="D397" t="s">
        <v>158</v>
      </c>
      <c r="E397" t="s">
        <v>693</v>
      </c>
      <c r="F397" s="1">
        <v>6543</v>
      </c>
      <c r="G397" s="1">
        <v>146</v>
      </c>
      <c r="H397" s="1">
        <v>20400</v>
      </c>
    </row>
    <row r="398" spans="1:8" ht="17.25" x14ac:dyDescent="0.35">
      <c r="A398">
        <v>397</v>
      </c>
      <c r="B398" t="s">
        <v>694</v>
      </c>
      <c r="C398" t="s">
        <v>115</v>
      </c>
      <c r="D398" t="s">
        <v>165</v>
      </c>
      <c r="E398" t="s">
        <v>86</v>
      </c>
      <c r="F398" s="1">
        <v>6540</v>
      </c>
      <c r="G398" s="1">
        <v>596</v>
      </c>
      <c r="H398" s="1">
        <v>11500</v>
      </c>
    </row>
    <row r="399" spans="1:8" ht="17.25" x14ac:dyDescent="0.35">
      <c r="A399">
        <v>398</v>
      </c>
      <c r="B399" t="s">
        <v>695</v>
      </c>
      <c r="C399" t="s">
        <v>21</v>
      </c>
      <c r="D399" t="s">
        <v>101</v>
      </c>
      <c r="E399" t="s">
        <v>696</v>
      </c>
      <c r="F399" s="1">
        <v>6517</v>
      </c>
      <c r="G399" s="1">
        <v>815</v>
      </c>
      <c r="H399" s="1">
        <v>4483</v>
      </c>
    </row>
    <row r="400" spans="1:8" ht="17.25" x14ac:dyDescent="0.35">
      <c r="A400">
        <v>399</v>
      </c>
      <c r="B400" t="s">
        <v>697</v>
      </c>
      <c r="C400" t="s">
        <v>41</v>
      </c>
      <c r="D400" t="s">
        <v>41</v>
      </c>
      <c r="E400" t="s">
        <v>698</v>
      </c>
      <c r="F400" s="1">
        <v>6510</v>
      </c>
      <c r="G400" s="1">
        <v>175</v>
      </c>
      <c r="H400" s="1">
        <v>13549</v>
      </c>
    </row>
    <row r="401" spans="1:8" ht="17.25" x14ac:dyDescent="0.35">
      <c r="A401">
        <v>400</v>
      </c>
      <c r="B401" t="s">
        <v>699</v>
      </c>
      <c r="C401" t="s">
        <v>17</v>
      </c>
      <c r="D401" t="s">
        <v>80</v>
      </c>
      <c r="E401" t="s">
        <v>104</v>
      </c>
      <c r="F401" s="1">
        <v>6508</v>
      </c>
      <c r="G401" s="1">
        <v>878</v>
      </c>
      <c r="H401" s="1">
        <v>19000</v>
      </c>
    </row>
    <row r="402" spans="1:8" ht="17.25" x14ac:dyDescent="0.35">
      <c r="A402">
        <v>401</v>
      </c>
      <c r="B402" t="s">
        <v>700</v>
      </c>
      <c r="C402" t="s">
        <v>21</v>
      </c>
      <c r="D402" t="s">
        <v>479</v>
      </c>
      <c r="E402" t="s">
        <v>27</v>
      </c>
      <c r="F402" s="1">
        <v>6501</v>
      </c>
      <c r="G402" s="1">
        <v>1447</v>
      </c>
      <c r="H402" s="1">
        <v>15300</v>
      </c>
    </row>
    <row r="403" spans="1:8" ht="17.25" x14ac:dyDescent="0.35">
      <c r="A403">
        <v>402</v>
      </c>
      <c r="B403" t="s">
        <v>701</v>
      </c>
      <c r="C403" t="s">
        <v>13</v>
      </c>
      <c r="D403" t="s">
        <v>13</v>
      </c>
      <c r="E403" t="s">
        <v>89</v>
      </c>
      <c r="F403" s="1">
        <v>6472</v>
      </c>
      <c r="G403" s="1">
        <v>235</v>
      </c>
      <c r="H403" s="1">
        <v>2209</v>
      </c>
    </row>
    <row r="404" spans="1:8" ht="17.25" x14ac:dyDescent="0.35">
      <c r="A404">
        <v>403</v>
      </c>
      <c r="B404" t="s">
        <v>702</v>
      </c>
      <c r="C404" t="s">
        <v>13</v>
      </c>
      <c r="D404" t="s">
        <v>231</v>
      </c>
      <c r="E404" t="s">
        <v>703</v>
      </c>
      <c r="F404" s="1">
        <v>6456</v>
      </c>
      <c r="G404" s="1">
        <v>523</v>
      </c>
      <c r="H404" s="1">
        <v>7758</v>
      </c>
    </row>
    <row r="405" spans="1:8" ht="17.25" x14ac:dyDescent="0.35">
      <c r="A405">
        <v>404</v>
      </c>
      <c r="B405" t="s">
        <v>704</v>
      </c>
      <c r="C405" t="s">
        <v>315</v>
      </c>
      <c r="D405" t="s">
        <v>408</v>
      </c>
      <c r="E405" t="s">
        <v>444</v>
      </c>
      <c r="F405" s="1">
        <v>6440</v>
      </c>
      <c r="G405" s="1">
        <v>597</v>
      </c>
      <c r="H405" s="1">
        <v>16000</v>
      </c>
    </row>
    <row r="406" spans="1:8" ht="17.25" x14ac:dyDescent="0.35">
      <c r="A406">
        <v>405</v>
      </c>
      <c r="B406" t="s">
        <v>705</v>
      </c>
      <c r="C406" t="s">
        <v>131</v>
      </c>
      <c r="D406" t="s">
        <v>177</v>
      </c>
      <c r="E406" t="s">
        <v>706</v>
      </c>
      <c r="F406" s="1">
        <v>6416</v>
      </c>
      <c r="G406" s="1">
        <v>677</v>
      </c>
      <c r="H406" s="1">
        <v>14537</v>
      </c>
    </row>
    <row r="407" spans="1:8" ht="17.25" x14ac:dyDescent="0.35">
      <c r="A407">
        <v>406</v>
      </c>
      <c r="B407" t="s">
        <v>707</v>
      </c>
      <c r="C407" t="s">
        <v>142</v>
      </c>
      <c r="D407" t="s">
        <v>143</v>
      </c>
      <c r="E407" t="s">
        <v>708</v>
      </c>
      <c r="F407" s="1">
        <v>6394</v>
      </c>
      <c r="G407" s="1">
        <v>1034</v>
      </c>
      <c r="H407" s="1">
        <v>7000</v>
      </c>
    </row>
    <row r="408" spans="1:8" ht="17.25" x14ac:dyDescent="0.35">
      <c r="A408">
        <v>407</v>
      </c>
      <c r="B408" t="s">
        <v>709</v>
      </c>
      <c r="C408" t="s">
        <v>131</v>
      </c>
      <c r="D408" t="s">
        <v>710</v>
      </c>
      <c r="E408" t="s">
        <v>42</v>
      </c>
      <c r="F408" s="1">
        <v>6393</v>
      </c>
      <c r="G408" s="1">
        <v>797</v>
      </c>
      <c r="H408" s="1">
        <v>22030</v>
      </c>
    </row>
    <row r="409" spans="1:8" ht="17.25" x14ac:dyDescent="0.35">
      <c r="A409">
        <v>408</v>
      </c>
      <c r="B409" t="s">
        <v>711</v>
      </c>
      <c r="C409" t="s">
        <v>17</v>
      </c>
      <c r="D409" t="s">
        <v>137</v>
      </c>
      <c r="E409" t="s">
        <v>147</v>
      </c>
      <c r="F409" s="1">
        <v>6375</v>
      </c>
      <c r="G409" s="1">
        <v>377</v>
      </c>
      <c r="H409" s="1">
        <v>38910</v>
      </c>
    </row>
    <row r="410" spans="1:8" ht="17.25" x14ac:dyDescent="0.35">
      <c r="A410">
        <v>409</v>
      </c>
      <c r="B410" t="s">
        <v>712</v>
      </c>
      <c r="C410" t="s">
        <v>17</v>
      </c>
      <c r="D410" t="s">
        <v>18</v>
      </c>
      <c r="E410" t="s">
        <v>642</v>
      </c>
      <c r="F410" s="1">
        <v>6373</v>
      </c>
      <c r="G410" s="1">
        <v>-178</v>
      </c>
      <c r="H410" s="1">
        <v>32600</v>
      </c>
    </row>
    <row r="411" spans="1:8" ht="17.25" x14ac:dyDescent="0.35">
      <c r="A411">
        <v>410</v>
      </c>
      <c r="B411" t="s">
        <v>713</v>
      </c>
      <c r="C411" t="s">
        <v>13</v>
      </c>
      <c r="D411" t="s">
        <v>267</v>
      </c>
      <c r="E411" t="s">
        <v>89</v>
      </c>
      <c r="F411" s="1">
        <v>6363</v>
      </c>
      <c r="G411" s="1">
        <v>393</v>
      </c>
      <c r="H411" s="1">
        <v>17400</v>
      </c>
    </row>
    <row r="412" spans="1:8" ht="17.25" x14ac:dyDescent="0.35">
      <c r="A412">
        <v>411</v>
      </c>
      <c r="B412" t="s">
        <v>714</v>
      </c>
      <c r="C412" t="s">
        <v>21</v>
      </c>
      <c r="D412" t="s">
        <v>22</v>
      </c>
      <c r="E412" t="s">
        <v>715</v>
      </c>
      <c r="F412" s="1">
        <v>6351</v>
      </c>
      <c r="G412" s="1">
        <v>175</v>
      </c>
      <c r="H412" s="1">
        <v>4800</v>
      </c>
    </row>
    <row r="413" spans="1:8" ht="17.25" x14ac:dyDescent="0.35">
      <c r="A413">
        <v>412</v>
      </c>
      <c r="B413" t="s">
        <v>716</v>
      </c>
      <c r="C413" t="s">
        <v>44</v>
      </c>
      <c r="D413" t="s">
        <v>192</v>
      </c>
      <c r="E413" t="s">
        <v>183</v>
      </c>
      <c r="F413" s="1">
        <v>6308</v>
      </c>
      <c r="G413" s="1">
        <v>828</v>
      </c>
      <c r="H413" s="1">
        <v>22500</v>
      </c>
    </row>
    <row r="414" spans="1:8" ht="17.25" x14ac:dyDescent="0.35">
      <c r="A414">
        <v>413</v>
      </c>
      <c r="B414" t="s">
        <v>717</v>
      </c>
      <c r="C414" t="s">
        <v>115</v>
      </c>
      <c r="D414" t="s">
        <v>165</v>
      </c>
      <c r="E414" t="s">
        <v>444</v>
      </c>
      <c r="F414" s="1">
        <v>6282</v>
      </c>
      <c r="G414" s="1">
        <v>764</v>
      </c>
      <c r="H414" s="1">
        <v>19000</v>
      </c>
    </row>
    <row r="415" spans="1:8" ht="17.25" x14ac:dyDescent="0.35">
      <c r="A415">
        <v>414</v>
      </c>
      <c r="B415" t="s">
        <v>718</v>
      </c>
      <c r="C415" t="s">
        <v>142</v>
      </c>
      <c r="D415" t="s">
        <v>143</v>
      </c>
      <c r="E415" t="s">
        <v>94</v>
      </c>
      <c r="F415" s="1">
        <v>6242</v>
      </c>
      <c r="G415" s="1">
        <v>-755</v>
      </c>
      <c r="H415" s="1">
        <v>18700</v>
      </c>
    </row>
    <row r="416" spans="1:8" ht="17.25" x14ac:dyDescent="0.35">
      <c r="A416">
        <v>415</v>
      </c>
      <c r="B416" t="s">
        <v>719</v>
      </c>
      <c r="C416" t="s">
        <v>9</v>
      </c>
      <c r="D416" t="s">
        <v>54</v>
      </c>
      <c r="E416" t="s">
        <v>720</v>
      </c>
      <c r="F416" s="1">
        <v>6227</v>
      </c>
      <c r="G416" s="1">
        <v>410</v>
      </c>
      <c r="H416" s="1">
        <v>17500</v>
      </c>
    </row>
    <row r="417" spans="1:8" ht="17.25" x14ac:dyDescent="0.35">
      <c r="A417">
        <v>416</v>
      </c>
      <c r="B417" t="s">
        <v>721</v>
      </c>
      <c r="C417" t="s">
        <v>131</v>
      </c>
      <c r="D417" t="s">
        <v>691</v>
      </c>
      <c r="E417" t="s">
        <v>722</v>
      </c>
      <c r="F417" s="1">
        <v>6188</v>
      </c>
      <c r="G417" s="1">
        <v>427</v>
      </c>
      <c r="H417" s="1">
        <v>21562</v>
      </c>
    </row>
    <row r="418" spans="1:8" ht="17.25" x14ac:dyDescent="0.35">
      <c r="A418">
        <v>417</v>
      </c>
      <c r="B418" t="s">
        <v>723</v>
      </c>
      <c r="C418" t="s">
        <v>282</v>
      </c>
      <c r="D418" t="s">
        <v>283</v>
      </c>
      <c r="E418" t="s">
        <v>15</v>
      </c>
      <c r="F418" s="1">
        <v>6162</v>
      </c>
      <c r="G418" s="1">
        <v>142</v>
      </c>
      <c r="H418" s="1">
        <v>9126</v>
      </c>
    </row>
    <row r="419" spans="1:8" ht="17.25" x14ac:dyDescent="0.35">
      <c r="A419">
        <v>418</v>
      </c>
      <c r="B419" t="s">
        <v>724</v>
      </c>
      <c r="C419" t="s">
        <v>282</v>
      </c>
      <c r="D419" t="s">
        <v>285</v>
      </c>
      <c r="E419" t="s">
        <v>725</v>
      </c>
      <c r="F419" s="1">
        <v>6156</v>
      </c>
      <c r="G419" s="1">
        <v>-74</v>
      </c>
      <c r="H419" s="1">
        <v>27000</v>
      </c>
    </row>
    <row r="420" spans="1:8" ht="17.25" x14ac:dyDescent="0.35">
      <c r="A420">
        <v>419</v>
      </c>
      <c r="B420" t="s">
        <v>726</v>
      </c>
      <c r="C420" t="s">
        <v>44</v>
      </c>
      <c r="D420" t="s">
        <v>192</v>
      </c>
      <c r="E420" t="s">
        <v>547</v>
      </c>
      <c r="F420" s="1">
        <v>6155</v>
      </c>
      <c r="G420" s="1">
        <v>343</v>
      </c>
      <c r="H420" s="1">
        <v>24197</v>
      </c>
    </row>
    <row r="421" spans="1:8" ht="17.25" x14ac:dyDescent="0.35">
      <c r="A421">
        <v>420</v>
      </c>
      <c r="B421" t="s">
        <v>727</v>
      </c>
      <c r="C421" t="s">
        <v>25</v>
      </c>
      <c r="D421" t="s">
        <v>110</v>
      </c>
      <c r="E421" t="s">
        <v>728</v>
      </c>
      <c r="F421" s="1">
        <v>6149</v>
      </c>
      <c r="G421" s="1">
        <v>956</v>
      </c>
      <c r="H421" s="1">
        <v>17000</v>
      </c>
    </row>
    <row r="422" spans="1:8" ht="17.25" x14ac:dyDescent="0.35">
      <c r="A422">
        <v>421</v>
      </c>
      <c r="B422" t="s">
        <v>729</v>
      </c>
      <c r="C422" t="s">
        <v>21</v>
      </c>
      <c r="D422" t="s">
        <v>22</v>
      </c>
      <c r="E422" t="s">
        <v>60</v>
      </c>
      <c r="F422" s="1">
        <v>6145</v>
      </c>
      <c r="G422" s="1">
        <v>352</v>
      </c>
      <c r="H422" s="1">
        <v>7400</v>
      </c>
    </row>
    <row r="423" spans="1:8" ht="17.25" x14ac:dyDescent="0.35">
      <c r="A423">
        <v>422</v>
      </c>
      <c r="B423" t="s">
        <v>730</v>
      </c>
      <c r="C423" t="s">
        <v>17</v>
      </c>
      <c r="D423" t="s">
        <v>261</v>
      </c>
      <c r="E423" t="s">
        <v>731</v>
      </c>
      <c r="F423" s="1">
        <v>6123</v>
      </c>
      <c r="G423" s="1">
        <v>560</v>
      </c>
      <c r="H423" s="1">
        <v>12810</v>
      </c>
    </row>
    <row r="424" spans="1:8" ht="17.25" x14ac:dyDescent="0.35">
      <c r="A424">
        <v>423</v>
      </c>
      <c r="B424" t="s">
        <v>732</v>
      </c>
      <c r="C424" t="s">
        <v>153</v>
      </c>
      <c r="D424" t="s">
        <v>224</v>
      </c>
      <c r="E424" t="s">
        <v>72</v>
      </c>
      <c r="F424" s="1">
        <v>6110</v>
      </c>
      <c r="G424" s="1">
        <v>91</v>
      </c>
      <c r="H424" s="1">
        <v>8300</v>
      </c>
    </row>
    <row r="425" spans="1:8" ht="17.25" x14ac:dyDescent="0.35">
      <c r="A425">
        <v>424</v>
      </c>
      <c r="B425" t="s">
        <v>733</v>
      </c>
      <c r="C425" t="s">
        <v>35</v>
      </c>
      <c r="D425" t="s">
        <v>36</v>
      </c>
      <c r="E425" t="s">
        <v>734</v>
      </c>
      <c r="F425" s="1">
        <v>6098</v>
      </c>
      <c r="G425" s="1">
        <v>230</v>
      </c>
      <c r="H425" s="1">
        <v>13300</v>
      </c>
    </row>
    <row r="426" spans="1:8" ht="17.25" x14ac:dyDescent="0.35">
      <c r="A426">
        <v>425</v>
      </c>
      <c r="B426" t="s">
        <v>735</v>
      </c>
      <c r="C426" t="s">
        <v>13</v>
      </c>
      <c r="D426" t="s">
        <v>231</v>
      </c>
      <c r="E426" t="s">
        <v>72</v>
      </c>
      <c r="F426" s="1">
        <v>6098</v>
      </c>
      <c r="G426" s="1">
        <v>630</v>
      </c>
      <c r="H426" s="1">
        <v>8527</v>
      </c>
    </row>
    <row r="427" spans="1:8" ht="17.25" x14ac:dyDescent="0.35">
      <c r="A427">
        <v>426</v>
      </c>
      <c r="B427" t="s">
        <v>736</v>
      </c>
      <c r="C427" t="s">
        <v>282</v>
      </c>
      <c r="D427" t="s">
        <v>227</v>
      </c>
      <c r="E427" t="s">
        <v>737</v>
      </c>
      <c r="F427" s="1">
        <v>6070</v>
      </c>
      <c r="G427" s="1">
        <v>7</v>
      </c>
      <c r="H427" s="1">
        <v>52</v>
      </c>
    </row>
    <row r="428" spans="1:8" ht="17.25" x14ac:dyDescent="0.35">
      <c r="A428">
        <v>427</v>
      </c>
      <c r="B428" t="s">
        <v>738</v>
      </c>
      <c r="C428" t="s">
        <v>9</v>
      </c>
      <c r="D428" t="s">
        <v>54</v>
      </c>
      <c r="E428" t="s">
        <v>50</v>
      </c>
      <c r="F428" s="1">
        <v>6070</v>
      </c>
      <c r="G428" s="1">
        <v>37</v>
      </c>
      <c r="H428" s="1">
        <v>37000</v>
      </c>
    </row>
    <row r="429" spans="1:8" ht="17.25" x14ac:dyDescent="0.35">
      <c r="A429">
        <v>428</v>
      </c>
      <c r="B429" t="s">
        <v>739</v>
      </c>
      <c r="C429" t="s">
        <v>35</v>
      </c>
      <c r="D429" t="s">
        <v>36</v>
      </c>
      <c r="E429" t="s">
        <v>740</v>
      </c>
      <c r="F429" s="1">
        <v>6060</v>
      </c>
      <c r="G429" s="1">
        <v>159</v>
      </c>
      <c r="H429" s="1">
        <v>23100</v>
      </c>
    </row>
    <row r="430" spans="1:8" ht="17.25" x14ac:dyDescent="0.35">
      <c r="A430">
        <v>429</v>
      </c>
      <c r="B430" t="s">
        <v>741</v>
      </c>
      <c r="C430" t="s">
        <v>115</v>
      </c>
      <c r="D430" t="s">
        <v>165</v>
      </c>
      <c r="E430" t="s">
        <v>742</v>
      </c>
      <c r="F430" s="1">
        <v>6028</v>
      </c>
      <c r="G430" s="1">
        <v>839</v>
      </c>
      <c r="H430" s="1">
        <v>7200</v>
      </c>
    </row>
    <row r="431" spans="1:8" ht="17.25" x14ac:dyDescent="0.35">
      <c r="A431">
        <v>430</v>
      </c>
      <c r="B431" t="s">
        <v>743</v>
      </c>
      <c r="C431" t="s">
        <v>25</v>
      </c>
      <c r="D431" t="s">
        <v>167</v>
      </c>
      <c r="E431" t="s">
        <v>720</v>
      </c>
      <c r="F431" s="1">
        <v>6014</v>
      </c>
      <c r="G431" s="1">
        <v>182</v>
      </c>
      <c r="H431" s="1">
        <v>40000</v>
      </c>
    </row>
    <row r="432" spans="1:8" ht="17.25" x14ac:dyDescent="0.35">
      <c r="A432">
        <v>431</v>
      </c>
      <c r="B432" t="s">
        <v>744</v>
      </c>
      <c r="C432" t="s">
        <v>25</v>
      </c>
      <c r="D432" t="s">
        <v>305</v>
      </c>
      <c r="E432" t="s">
        <v>745</v>
      </c>
      <c r="F432" s="1">
        <v>5998</v>
      </c>
      <c r="G432" s="1">
        <v>147</v>
      </c>
      <c r="H432" s="1">
        <v>17500</v>
      </c>
    </row>
    <row r="433" spans="1:8" ht="17.25" x14ac:dyDescent="0.35">
      <c r="A433">
        <v>432</v>
      </c>
      <c r="B433" t="s">
        <v>746</v>
      </c>
      <c r="C433" t="s">
        <v>131</v>
      </c>
      <c r="D433" t="s">
        <v>710</v>
      </c>
      <c r="E433" t="s">
        <v>183</v>
      </c>
      <c r="F433" s="1">
        <v>5995</v>
      </c>
      <c r="G433" s="1">
        <v>752</v>
      </c>
      <c r="H433" s="1">
        <v>6300</v>
      </c>
    </row>
    <row r="434" spans="1:8" ht="17.25" x14ac:dyDescent="0.35">
      <c r="A434">
        <v>433</v>
      </c>
      <c r="B434" t="s">
        <v>747</v>
      </c>
      <c r="C434" t="s">
        <v>335</v>
      </c>
      <c r="D434" t="s">
        <v>495</v>
      </c>
      <c r="E434" t="s">
        <v>86</v>
      </c>
      <c r="F434" s="1">
        <v>5982</v>
      </c>
      <c r="G434" s="1">
        <v>494</v>
      </c>
      <c r="H434" s="1">
        <v>4542</v>
      </c>
    </row>
    <row r="435" spans="1:8" ht="17.25" x14ac:dyDescent="0.35">
      <c r="A435">
        <v>434</v>
      </c>
      <c r="B435" t="s">
        <v>748</v>
      </c>
      <c r="C435" t="s">
        <v>98</v>
      </c>
      <c r="D435" t="s">
        <v>487</v>
      </c>
      <c r="E435" t="s">
        <v>86</v>
      </c>
      <c r="F435" s="1">
        <v>5972</v>
      </c>
      <c r="G435" s="1">
        <v>350</v>
      </c>
      <c r="H435" s="1">
        <v>17200</v>
      </c>
    </row>
    <row r="436" spans="1:8" ht="17.25" x14ac:dyDescent="0.35">
      <c r="A436">
        <v>435</v>
      </c>
      <c r="B436" t="s">
        <v>749</v>
      </c>
      <c r="C436" t="s">
        <v>282</v>
      </c>
      <c r="D436" t="s">
        <v>285</v>
      </c>
      <c r="E436" t="s">
        <v>750</v>
      </c>
      <c r="F436" s="1">
        <v>5967</v>
      </c>
      <c r="G436" s="1">
        <v>274</v>
      </c>
      <c r="H436" s="1">
        <v>25000</v>
      </c>
    </row>
    <row r="437" spans="1:8" ht="17.25" x14ac:dyDescent="0.35">
      <c r="A437">
        <v>436</v>
      </c>
      <c r="B437" t="s">
        <v>751</v>
      </c>
      <c r="C437" t="s">
        <v>21</v>
      </c>
      <c r="D437" t="s">
        <v>493</v>
      </c>
      <c r="E437" t="s">
        <v>78</v>
      </c>
      <c r="F437" s="1">
        <v>5966</v>
      </c>
      <c r="G437" s="1">
        <v>439</v>
      </c>
      <c r="H437" s="1">
        <v>61500</v>
      </c>
    </row>
    <row r="438" spans="1:8" ht="17.25" x14ac:dyDescent="0.35">
      <c r="A438">
        <v>437</v>
      </c>
      <c r="B438" t="s">
        <v>752</v>
      </c>
      <c r="C438" t="s">
        <v>13</v>
      </c>
      <c r="D438" t="s">
        <v>231</v>
      </c>
      <c r="E438" t="s">
        <v>183</v>
      </c>
      <c r="F438" s="1">
        <v>5926</v>
      </c>
      <c r="G438" s="1">
        <v>640</v>
      </c>
      <c r="H438" s="1">
        <v>8211</v>
      </c>
    </row>
    <row r="439" spans="1:8" ht="17.25" x14ac:dyDescent="0.35">
      <c r="A439">
        <v>438</v>
      </c>
      <c r="B439" t="s">
        <v>753</v>
      </c>
      <c r="C439" t="s">
        <v>13</v>
      </c>
      <c r="D439" t="s">
        <v>219</v>
      </c>
      <c r="E439" t="s">
        <v>89</v>
      </c>
      <c r="F439" s="1">
        <v>5861</v>
      </c>
      <c r="G439" s="1">
        <v>-2204</v>
      </c>
      <c r="H439" s="1">
        <v>2611</v>
      </c>
    </row>
    <row r="440" spans="1:8" ht="17.25" x14ac:dyDescent="0.35">
      <c r="A440">
        <v>439</v>
      </c>
      <c r="B440" t="s">
        <v>754</v>
      </c>
      <c r="C440" t="s">
        <v>9</v>
      </c>
      <c r="D440" t="s">
        <v>54</v>
      </c>
      <c r="E440" t="s">
        <v>755</v>
      </c>
      <c r="F440" s="1">
        <v>5851</v>
      </c>
      <c r="G440" s="1">
        <v>28</v>
      </c>
      <c r="H440" s="1">
        <v>18450</v>
      </c>
    </row>
    <row r="441" spans="1:8" ht="17.25" x14ac:dyDescent="0.35">
      <c r="A441">
        <v>440</v>
      </c>
      <c r="B441" t="s">
        <v>756</v>
      </c>
      <c r="C441" t="s">
        <v>315</v>
      </c>
      <c r="D441" t="s">
        <v>227</v>
      </c>
      <c r="E441" t="s">
        <v>547</v>
      </c>
      <c r="F441" s="1">
        <v>5817</v>
      </c>
      <c r="G441" s="1">
        <v>585</v>
      </c>
      <c r="H441" s="1">
        <v>12700</v>
      </c>
    </row>
    <row r="442" spans="1:8" ht="17.25" x14ac:dyDescent="0.35">
      <c r="A442">
        <v>441</v>
      </c>
      <c r="B442" t="s">
        <v>757</v>
      </c>
      <c r="C442" t="s">
        <v>98</v>
      </c>
      <c r="D442" t="s">
        <v>99</v>
      </c>
      <c r="E442" t="s">
        <v>50</v>
      </c>
      <c r="F442" s="1">
        <v>5816</v>
      </c>
      <c r="G442" s="1">
        <v>-557</v>
      </c>
      <c r="H442" s="1">
        <v>15922</v>
      </c>
    </row>
    <row r="443" spans="1:8" ht="17.25" x14ac:dyDescent="0.35">
      <c r="A443">
        <v>442</v>
      </c>
      <c r="B443" t="s">
        <v>758</v>
      </c>
      <c r="C443" t="s">
        <v>21</v>
      </c>
      <c r="D443" t="s">
        <v>22</v>
      </c>
      <c r="E443" t="s">
        <v>78</v>
      </c>
      <c r="F443" s="1">
        <v>5766</v>
      </c>
      <c r="G443" s="1">
        <v>422</v>
      </c>
      <c r="H443" s="1">
        <v>8200</v>
      </c>
    </row>
    <row r="444" spans="1:8" ht="17.25" x14ac:dyDescent="0.35">
      <c r="A444">
        <v>443</v>
      </c>
      <c r="B444" t="s">
        <v>759</v>
      </c>
      <c r="C444" t="s">
        <v>41</v>
      </c>
      <c r="D444" t="s">
        <v>41</v>
      </c>
      <c r="E444" t="s">
        <v>672</v>
      </c>
      <c r="F444" s="1">
        <v>5765</v>
      </c>
      <c r="G444" s="1">
        <v>27</v>
      </c>
      <c r="H444" s="1">
        <v>12326</v>
      </c>
    </row>
    <row r="445" spans="1:8" ht="17.25" x14ac:dyDescent="0.35">
      <c r="A445">
        <v>444</v>
      </c>
      <c r="B445" t="s">
        <v>760</v>
      </c>
      <c r="C445" t="s">
        <v>252</v>
      </c>
      <c r="D445" t="s">
        <v>393</v>
      </c>
      <c r="E445" t="s">
        <v>547</v>
      </c>
      <c r="F445" s="1">
        <v>5763</v>
      </c>
      <c r="G445" s="1">
        <v>489</v>
      </c>
      <c r="H445" s="1">
        <v>188000</v>
      </c>
    </row>
    <row r="446" spans="1:8" ht="17.25" x14ac:dyDescent="0.35">
      <c r="A446">
        <v>445</v>
      </c>
      <c r="B446" t="s">
        <v>761</v>
      </c>
      <c r="C446" t="s">
        <v>13</v>
      </c>
      <c r="D446" t="s">
        <v>14</v>
      </c>
      <c r="E446" t="s">
        <v>720</v>
      </c>
      <c r="F446" s="1">
        <v>5762</v>
      </c>
      <c r="G446" s="1">
        <v>19</v>
      </c>
      <c r="H446" s="1">
        <v>4584</v>
      </c>
    </row>
    <row r="447" spans="1:8" ht="17.25" x14ac:dyDescent="0.35">
      <c r="A447">
        <v>446</v>
      </c>
      <c r="B447" t="s">
        <v>762</v>
      </c>
      <c r="C447" t="s">
        <v>282</v>
      </c>
      <c r="D447" t="s">
        <v>285</v>
      </c>
      <c r="E447" t="s">
        <v>534</v>
      </c>
      <c r="F447" s="1">
        <v>5742</v>
      </c>
      <c r="G447" s="1">
        <v>437</v>
      </c>
      <c r="H447" s="1">
        <v>13000</v>
      </c>
    </row>
    <row r="448" spans="1:8" ht="17.25" x14ac:dyDescent="0.35">
      <c r="A448">
        <v>447</v>
      </c>
      <c r="B448" t="s">
        <v>763</v>
      </c>
      <c r="C448" t="s">
        <v>25</v>
      </c>
      <c r="D448" t="s">
        <v>71</v>
      </c>
      <c r="E448" t="s">
        <v>764</v>
      </c>
      <c r="F448" s="1">
        <v>5738</v>
      </c>
      <c r="G448" s="1">
        <v>387</v>
      </c>
      <c r="H448" s="1">
        <v>36100</v>
      </c>
    </row>
    <row r="449" spans="1:8" ht="17.25" x14ac:dyDescent="0.35">
      <c r="A449">
        <v>448</v>
      </c>
      <c r="B449" t="s">
        <v>765</v>
      </c>
      <c r="C449" t="s">
        <v>221</v>
      </c>
      <c r="D449" t="s">
        <v>221</v>
      </c>
      <c r="E449" t="s">
        <v>505</v>
      </c>
      <c r="F449" s="1">
        <v>5732</v>
      </c>
      <c r="G449" s="1">
        <v>429</v>
      </c>
      <c r="H449" s="1">
        <v>65300</v>
      </c>
    </row>
    <row r="450" spans="1:8" ht="17.25" x14ac:dyDescent="0.35">
      <c r="A450">
        <v>449</v>
      </c>
      <c r="B450" t="s">
        <v>766</v>
      </c>
      <c r="C450" t="s">
        <v>21</v>
      </c>
      <c r="D450" t="s">
        <v>493</v>
      </c>
      <c r="E450" t="s">
        <v>638</v>
      </c>
      <c r="F450" s="1">
        <v>5706</v>
      </c>
      <c r="G450" s="1">
        <v>184</v>
      </c>
      <c r="H450" s="1">
        <v>11400</v>
      </c>
    </row>
    <row r="451" spans="1:8" ht="17.25" x14ac:dyDescent="0.35">
      <c r="A451">
        <v>450</v>
      </c>
      <c r="B451" t="s">
        <v>767</v>
      </c>
      <c r="C451" t="s">
        <v>98</v>
      </c>
      <c r="D451" t="s">
        <v>227</v>
      </c>
      <c r="E451" t="s">
        <v>768</v>
      </c>
      <c r="F451" s="1">
        <v>5703</v>
      </c>
      <c r="G451" s="1">
        <v>369</v>
      </c>
      <c r="H451" s="1">
        <v>31000</v>
      </c>
    </row>
    <row r="452" spans="1:8" ht="17.25" x14ac:dyDescent="0.35">
      <c r="A452">
        <v>451</v>
      </c>
      <c r="B452" t="s">
        <v>769</v>
      </c>
      <c r="C452" t="s">
        <v>17</v>
      </c>
      <c r="D452" t="s">
        <v>146</v>
      </c>
      <c r="E452" t="s">
        <v>770</v>
      </c>
      <c r="F452" s="1">
        <v>5695</v>
      </c>
      <c r="G452" s="1">
        <v>610</v>
      </c>
      <c r="H452" s="1">
        <v>14000</v>
      </c>
    </row>
    <row r="453" spans="1:8" ht="17.25" x14ac:dyDescent="0.35">
      <c r="A453">
        <v>452</v>
      </c>
      <c r="B453" t="s">
        <v>771</v>
      </c>
      <c r="C453" t="s">
        <v>115</v>
      </c>
      <c r="D453" t="s">
        <v>122</v>
      </c>
      <c r="E453" t="s">
        <v>772</v>
      </c>
      <c r="F453" s="1">
        <v>5693</v>
      </c>
      <c r="G453" s="1">
        <v>345</v>
      </c>
      <c r="H453" s="1">
        <v>7370</v>
      </c>
    </row>
    <row r="454" spans="1:8" ht="17.25" x14ac:dyDescent="0.35">
      <c r="A454">
        <v>453</v>
      </c>
      <c r="B454" t="s">
        <v>773</v>
      </c>
      <c r="C454" t="s">
        <v>21</v>
      </c>
      <c r="D454" t="s">
        <v>74</v>
      </c>
      <c r="E454" t="s">
        <v>774</v>
      </c>
      <c r="F454" s="1">
        <v>5674</v>
      </c>
      <c r="G454" s="1">
        <v>1062</v>
      </c>
      <c r="H454" s="1">
        <v>23916</v>
      </c>
    </row>
    <row r="455" spans="1:8" ht="17.25" x14ac:dyDescent="0.35">
      <c r="A455">
        <v>453</v>
      </c>
      <c r="B455" t="s">
        <v>773</v>
      </c>
      <c r="C455" t="s">
        <v>21</v>
      </c>
      <c r="D455" t="s">
        <v>74</v>
      </c>
      <c r="E455" t="s">
        <v>774</v>
      </c>
      <c r="F455" s="1">
        <v>5674</v>
      </c>
      <c r="G455" s="1">
        <v>1062</v>
      </c>
      <c r="H455" s="1">
        <v>23916</v>
      </c>
    </row>
    <row r="456" spans="1:8" ht="17.25" x14ac:dyDescent="0.35">
      <c r="A456">
        <v>455</v>
      </c>
      <c r="B456" t="s">
        <v>775</v>
      </c>
      <c r="C456" t="s">
        <v>98</v>
      </c>
      <c r="D456" t="s">
        <v>99</v>
      </c>
      <c r="E456" t="s">
        <v>776</v>
      </c>
      <c r="F456" s="1">
        <v>5666</v>
      </c>
      <c r="G456" s="1">
        <v>580</v>
      </c>
      <c r="H456" s="1">
        <v>7700</v>
      </c>
    </row>
    <row r="457" spans="1:8" ht="17.25" x14ac:dyDescent="0.35">
      <c r="A457">
        <v>456</v>
      </c>
      <c r="B457" t="s">
        <v>777</v>
      </c>
      <c r="C457" t="s">
        <v>115</v>
      </c>
      <c r="D457" t="s">
        <v>116</v>
      </c>
      <c r="E457" t="s">
        <v>778</v>
      </c>
      <c r="F457" s="1">
        <v>5621</v>
      </c>
      <c r="G457" s="1">
        <v>402</v>
      </c>
      <c r="H457" s="1">
        <v>11500</v>
      </c>
    </row>
    <row r="458" spans="1:8" ht="17.25" x14ac:dyDescent="0.35">
      <c r="A458">
        <v>457</v>
      </c>
      <c r="B458" t="s">
        <v>779</v>
      </c>
      <c r="C458" t="s">
        <v>25</v>
      </c>
      <c r="D458" t="s">
        <v>167</v>
      </c>
      <c r="E458" t="s">
        <v>780</v>
      </c>
      <c r="F458" s="1">
        <v>5619</v>
      </c>
      <c r="G458" s="1">
        <v>-426</v>
      </c>
      <c r="H458" s="1">
        <v>88700</v>
      </c>
    </row>
    <row r="459" spans="1:8" ht="17.25" x14ac:dyDescent="0.35">
      <c r="A459">
        <v>458</v>
      </c>
      <c r="B459" t="s">
        <v>781</v>
      </c>
      <c r="C459" t="s">
        <v>13</v>
      </c>
      <c r="D459" t="s">
        <v>219</v>
      </c>
      <c r="E459" t="s">
        <v>72</v>
      </c>
      <c r="F459" s="1">
        <v>5609</v>
      </c>
      <c r="G459" s="1">
        <v>-1996</v>
      </c>
      <c r="H459" s="1">
        <v>7600</v>
      </c>
    </row>
    <row r="460" spans="1:8" ht="17.25" x14ac:dyDescent="0.35">
      <c r="A460">
        <v>459</v>
      </c>
      <c r="B460" t="s">
        <v>782</v>
      </c>
      <c r="C460" t="s">
        <v>131</v>
      </c>
      <c r="D460" t="s">
        <v>177</v>
      </c>
      <c r="E460" t="s">
        <v>63</v>
      </c>
      <c r="F460" s="1">
        <v>5598</v>
      </c>
      <c r="G460" s="1">
        <v>848</v>
      </c>
      <c r="H460" s="1">
        <v>13858</v>
      </c>
    </row>
    <row r="461" spans="1:8" ht="17.25" x14ac:dyDescent="0.35">
      <c r="A461">
        <v>460</v>
      </c>
      <c r="B461" t="s">
        <v>783</v>
      </c>
      <c r="C461" t="s">
        <v>115</v>
      </c>
      <c r="D461" t="s">
        <v>116</v>
      </c>
      <c r="E461" t="s">
        <v>784</v>
      </c>
      <c r="F461" s="1">
        <v>5594</v>
      </c>
      <c r="G461" s="1">
        <v>171</v>
      </c>
      <c r="H461" s="1">
        <v>10772</v>
      </c>
    </row>
    <row r="462" spans="1:8" ht="17.25" x14ac:dyDescent="0.35">
      <c r="A462">
        <v>461</v>
      </c>
      <c r="B462" t="s">
        <v>785</v>
      </c>
      <c r="C462" t="s">
        <v>41</v>
      </c>
      <c r="D462" t="s">
        <v>41</v>
      </c>
      <c r="E462" t="s">
        <v>327</v>
      </c>
      <c r="F462" s="1">
        <v>5576</v>
      </c>
      <c r="G462" s="1">
        <v>-196</v>
      </c>
      <c r="H462" s="1">
        <v>19200</v>
      </c>
    </row>
    <row r="463" spans="1:8" ht="17.25" x14ac:dyDescent="0.35">
      <c r="A463">
        <v>462</v>
      </c>
      <c r="B463" t="s">
        <v>786</v>
      </c>
      <c r="C463" t="s">
        <v>17</v>
      </c>
      <c r="D463" t="s">
        <v>146</v>
      </c>
      <c r="E463" t="s">
        <v>787</v>
      </c>
      <c r="F463" s="1">
        <v>5569</v>
      </c>
      <c r="G463" s="1">
        <v>764</v>
      </c>
      <c r="H463" s="1">
        <v>50700</v>
      </c>
    </row>
    <row r="464" spans="1:8" ht="17.25" x14ac:dyDescent="0.35">
      <c r="A464">
        <v>463</v>
      </c>
      <c r="B464" t="s">
        <v>788</v>
      </c>
      <c r="C464" t="s">
        <v>153</v>
      </c>
      <c r="D464" t="s">
        <v>224</v>
      </c>
      <c r="E464" t="s">
        <v>789</v>
      </c>
      <c r="F464" s="1">
        <v>5565</v>
      </c>
      <c r="G464" s="1">
        <v>35</v>
      </c>
      <c r="H464" s="1">
        <v>500</v>
      </c>
    </row>
    <row r="465" spans="1:8" ht="17.25" x14ac:dyDescent="0.35">
      <c r="A465">
        <v>464</v>
      </c>
      <c r="B465" t="s">
        <v>790</v>
      </c>
      <c r="C465" t="s">
        <v>17</v>
      </c>
      <c r="D465" t="s">
        <v>137</v>
      </c>
      <c r="E465" t="s">
        <v>791</v>
      </c>
      <c r="F465" s="1">
        <v>5565</v>
      </c>
      <c r="G465" s="1">
        <v>389</v>
      </c>
      <c r="H465" s="1">
        <v>8790</v>
      </c>
    </row>
    <row r="466" spans="1:8" ht="17.25" x14ac:dyDescent="0.35">
      <c r="A466">
        <v>465</v>
      </c>
      <c r="B466" t="s">
        <v>792</v>
      </c>
      <c r="C466" t="s">
        <v>25</v>
      </c>
      <c r="D466" t="s">
        <v>305</v>
      </c>
      <c r="E466" t="s">
        <v>228</v>
      </c>
      <c r="F466" s="1">
        <v>5541</v>
      </c>
      <c r="G466" s="1">
        <v>880</v>
      </c>
      <c r="H466" s="1">
        <v>18000</v>
      </c>
    </row>
    <row r="467" spans="1:8" ht="17.25" x14ac:dyDescent="0.35">
      <c r="A467">
        <v>466</v>
      </c>
      <c r="B467" t="s">
        <v>793</v>
      </c>
      <c r="C467" t="s">
        <v>252</v>
      </c>
      <c r="D467" t="s">
        <v>393</v>
      </c>
      <c r="E467" t="s">
        <v>430</v>
      </c>
      <c r="F467" s="1">
        <v>5536</v>
      </c>
      <c r="G467" s="1">
        <v>612</v>
      </c>
      <c r="H467" s="1">
        <v>37700</v>
      </c>
    </row>
    <row r="468" spans="1:8" ht="17.25" x14ac:dyDescent="0.35">
      <c r="A468">
        <v>467</v>
      </c>
      <c r="B468" t="s">
        <v>794</v>
      </c>
      <c r="C468" t="s">
        <v>315</v>
      </c>
      <c r="D468" t="s">
        <v>316</v>
      </c>
      <c r="E468" t="s">
        <v>795</v>
      </c>
      <c r="F468" s="1">
        <v>5518</v>
      </c>
      <c r="G468" s="1">
        <v>54</v>
      </c>
      <c r="H468" s="1">
        <v>8100</v>
      </c>
    </row>
    <row r="469" spans="1:8" ht="17.25" x14ac:dyDescent="0.35">
      <c r="A469">
        <v>468</v>
      </c>
      <c r="B469" t="s">
        <v>796</v>
      </c>
      <c r="C469" t="s">
        <v>315</v>
      </c>
      <c r="D469" t="s">
        <v>408</v>
      </c>
      <c r="E469" t="s">
        <v>382</v>
      </c>
      <c r="F469" s="1">
        <v>5484</v>
      </c>
      <c r="G469" s="1">
        <v>838</v>
      </c>
      <c r="H469" s="1">
        <v>10000</v>
      </c>
    </row>
    <row r="470" spans="1:8" ht="17.25" x14ac:dyDescent="0.35">
      <c r="A470">
        <v>469</v>
      </c>
      <c r="B470" t="s">
        <v>797</v>
      </c>
      <c r="C470" t="s">
        <v>25</v>
      </c>
      <c r="D470" t="s">
        <v>71</v>
      </c>
      <c r="E470" t="s">
        <v>625</v>
      </c>
      <c r="F470" s="1">
        <v>5448</v>
      </c>
      <c r="G470" s="1">
        <v>145</v>
      </c>
      <c r="H470" s="1">
        <v>40888</v>
      </c>
    </row>
    <row r="471" spans="1:8" ht="17.25" x14ac:dyDescent="0.35">
      <c r="A471">
        <v>470</v>
      </c>
      <c r="B471" t="s">
        <v>798</v>
      </c>
      <c r="C471" t="s">
        <v>35</v>
      </c>
      <c r="D471" t="s">
        <v>36</v>
      </c>
      <c r="E471" t="s">
        <v>799</v>
      </c>
      <c r="F471" s="1">
        <v>5444</v>
      </c>
      <c r="G471" s="1">
        <v>2284</v>
      </c>
      <c r="H471" s="1">
        <v>11000</v>
      </c>
    </row>
    <row r="472" spans="1:8" ht="17.25" x14ac:dyDescent="0.35">
      <c r="A472">
        <v>471</v>
      </c>
      <c r="B472" t="s">
        <v>800</v>
      </c>
      <c r="C472" t="s">
        <v>21</v>
      </c>
      <c r="D472" t="s">
        <v>57</v>
      </c>
      <c r="E472" t="s">
        <v>801</v>
      </c>
      <c r="F472" s="1">
        <v>5392</v>
      </c>
      <c r="G472" s="1">
        <v>357</v>
      </c>
      <c r="H472" s="1">
        <v>21537</v>
      </c>
    </row>
    <row r="473" spans="1:8" ht="17.25" x14ac:dyDescent="0.35">
      <c r="A473">
        <v>472</v>
      </c>
      <c r="B473" t="s">
        <v>802</v>
      </c>
      <c r="C473" t="s">
        <v>21</v>
      </c>
      <c r="D473" t="s">
        <v>493</v>
      </c>
      <c r="E473" t="s">
        <v>161</v>
      </c>
      <c r="F473" s="1">
        <v>5387</v>
      </c>
      <c r="G473" s="1">
        <v>558</v>
      </c>
      <c r="H473" s="1">
        <v>240</v>
      </c>
    </row>
    <row r="474" spans="1:8" ht="17.25" x14ac:dyDescent="0.35">
      <c r="A474">
        <v>472</v>
      </c>
      <c r="B474" t="s">
        <v>802</v>
      </c>
      <c r="C474" t="s">
        <v>21</v>
      </c>
      <c r="D474" t="s">
        <v>493</v>
      </c>
      <c r="E474" t="s">
        <v>161</v>
      </c>
      <c r="F474" s="1">
        <v>5387</v>
      </c>
      <c r="G474" s="1">
        <v>558</v>
      </c>
      <c r="H474" s="1">
        <v>240</v>
      </c>
    </row>
    <row r="475" spans="1:8" ht="17.25" x14ac:dyDescent="0.35">
      <c r="A475">
        <v>474</v>
      </c>
      <c r="B475" t="s">
        <v>803</v>
      </c>
      <c r="C475" t="s">
        <v>153</v>
      </c>
      <c r="D475" t="s">
        <v>170</v>
      </c>
      <c r="E475" t="s">
        <v>804</v>
      </c>
      <c r="F475" s="1">
        <v>5373</v>
      </c>
      <c r="G475" s="1">
        <v>76</v>
      </c>
      <c r="H475" s="1">
        <v>5761</v>
      </c>
    </row>
    <row r="476" spans="1:8" ht="17.25" x14ac:dyDescent="0.35">
      <c r="A476">
        <v>475</v>
      </c>
      <c r="B476" t="s">
        <v>805</v>
      </c>
      <c r="C476" t="s">
        <v>13</v>
      </c>
      <c r="D476" t="s">
        <v>13</v>
      </c>
      <c r="E476" t="s">
        <v>42</v>
      </c>
      <c r="F476" s="1">
        <v>5370</v>
      </c>
      <c r="G476" s="1">
        <v>-5342</v>
      </c>
      <c r="H476" s="1">
        <v>8860</v>
      </c>
    </row>
    <row r="477" spans="1:8" ht="17.25" x14ac:dyDescent="0.35">
      <c r="A477">
        <v>476</v>
      </c>
      <c r="B477" t="s">
        <v>806</v>
      </c>
      <c r="C477" t="s">
        <v>21</v>
      </c>
      <c r="D477" t="s">
        <v>22</v>
      </c>
      <c r="E477" t="s">
        <v>807</v>
      </c>
      <c r="F477" s="1">
        <v>5370</v>
      </c>
      <c r="G477" s="1">
        <v>583</v>
      </c>
      <c r="H477" s="1">
        <v>10600</v>
      </c>
    </row>
    <row r="478" spans="1:8" ht="17.25" x14ac:dyDescent="0.35">
      <c r="A478">
        <v>477</v>
      </c>
      <c r="B478" t="s">
        <v>808</v>
      </c>
      <c r="C478" t="s">
        <v>153</v>
      </c>
      <c r="D478" t="s">
        <v>170</v>
      </c>
      <c r="E478" t="s">
        <v>65</v>
      </c>
      <c r="F478" s="1">
        <v>5363</v>
      </c>
      <c r="G478" s="1">
        <v>-44</v>
      </c>
      <c r="H478" s="1">
        <v>6400</v>
      </c>
    </row>
    <row r="479" spans="1:8" ht="17.25" x14ac:dyDescent="0.35">
      <c r="A479">
        <v>478</v>
      </c>
      <c r="B479" t="s">
        <v>809</v>
      </c>
      <c r="C479" t="s">
        <v>335</v>
      </c>
      <c r="D479" t="s">
        <v>336</v>
      </c>
      <c r="E479" t="s">
        <v>382</v>
      </c>
      <c r="F479" s="1">
        <v>5362</v>
      </c>
      <c r="G479" s="1">
        <v>80</v>
      </c>
      <c r="H479" s="1">
        <v>22000</v>
      </c>
    </row>
    <row r="480" spans="1:8" ht="17.25" x14ac:dyDescent="0.35">
      <c r="A480">
        <v>479</v>
      </c>
      <c r="B480" t="s">
        <v>810</v>
      </c>
      <c r="C480" t="s">
        <v>21</v>
      </c>
      <c r="D480" t="s">
        <v>163</v>
      </c>
      <c r="E480" t="s">
        <v>60</v>
      </c>
      <c r="F480" s="1">
        <v>5356</v>
      </c>
      <c r="G480" s="1">
        <v>457</v>
      </c>
      <c r="H480" s="1">
        <v>2168</v>
      </c>
    </row>
    <row r="481" spans="1:8" ht="17.25" x14ac:dyDescent="0.35">
      <c r="A481">
        <v>480</v>
      </c>
      <c r="B481" t="s">
        <v>811</v>
      </c>
      <c r="C481" t="s">
        <v>282</v>
      </c>
      <c r="D481" t="s">
        <v>812</v>
      </c>
      <c r="E481" t="s">
        <v>813</v>
      </c>
      <c r="F481" s="1">
        <v>5350</v>
      </c>
      <c r="G481" s="1">
        <v>330</v>
      </c>
      <c r="H481" s="1">
        <v>15000</v>
      </c>
    </row>
    <row r="482" spans="1:8" ht="17.25" x14ac:dyDescent="0.35">
      <c r="A482">
        <v>481</v>
      </c>
      <c r="B482" t="s">
        <v>814</v>
      </c>
      <c r="C482" t="s">
        <v>315</v>
      </c>
      <c r="D482" t="s">
        <v>408</v>
      </c>
      <c r="E482" t="s">
        <v>50</v>
      </c>
      <c r="F482" s="1">
        <v>5313</v>
      </c>
      <c r="G482" s="1">
        <v>1156</v>
      </c>
      <c r="H482" s="1">
        <v>20400</v>
      </c>
    </row>
    <row r="483" spans="1:8" ht="17.25" x14ac:dyDescent="0.35">
      <c r="A483">
        <v>482</v>
      </c>
      <c r="B483" t="s">
        <v>815</v>
      </c>
      <c r="C483" t="s">
        <v>21</v>
      </c>
      <c r="D483" t="s">
        <v>479</v>
      </c>
      <c r="E483" t="s">
        <v>342</v>
      </c>
      <c r="F483" s="1">
        <v>5308</v>
      </c>
      <c r="G483" s="1">
        <v>502</v>
      </c>
      <c r="H483" s="1">
        <v>11000</v>
      </c>
    </row>
    <row r="484" spans="1:8" ht="17.25" x14ac:dyDescent="0.35">
      <c r="A484">
        <v>483</v>
      </c>
      <c r="B484" t="s">
        <v>816</v>
      </c>
      <c r="C484" t="s">
        <v>13</v>
      </c>
      <c r="D484" t="s">
        <v>231</v>
      </c>
      <c r="E484" t="s">
        <v>817</v>
      </c>
      <c r="F484" s="1">
        <v>5308</v>
      </c>
      <c r="G484" s="1">
        <v>287</v>
      </c>
      <c r="H484" s="1">
        <v>7596</v>
      </c>
    </row>
    <row r="485" spans="1:8" ht="17.25" x14ac:dyDescent="0.35">
      <c r="A485">
        <v>484</v>
      </c>
      <c r="B485" t="s">
        <v>818</v>
      </c>
      <c r="C485" t="s">
        <v>153</v>
      </c>
      <c r="D485" t="s">
        <v>224</v>
      </c>
      <c r="E485" t="s">
        <v>410</v>
      </c>
      <c r="F485" s="1">
        <v>5305</v>
      </c>
      <c r="G485" s="1">
        <v>368</v>
      </c>
      <c r="H485" s="1">
        <v>17000</v>
      </c>
    </row>
    <row r="486" spans="1:8" ht="17.25" x14ac:dyDescent="0.35">
      <c r="A486">
        <v>485</v>
      </c>
      <c r="B486" t="s">
        <v>819</v>
      </c>
      <c r="C486" t="s">
        <v>315</v>
      </c>
      <c r="D486" t="s">
        <v>399</v>
      </c>
      <c r="E486" t="s">
        <v>50</v>
      </c>
      <c r="F486" s="1">
        <v>5291</v>
      </c>
      <c r="G486" s="1">
        <v>76</v>
      </c>
      <c r="H486" s="1">
        <v>120000</v>
      </c>
    </row>
    <row r="487" spans="1:8" ht="17.25" x14ac:dyDescent="0.35">
      <c r="A487">
        <v>486</v>
      </c>
      <c r="B487" t="s">
        <v>820</v>
      </c>
      <c r="C487" t="s">
        <v>21</v>
      </c>
      <c r="D487" t="s">
        <v>74</v>
      </c>
      <c r="E487" t="s">
        <v>417</v>
      </c>
      <c r="F487" s="1">
        <v>5276</v>
      </c>
      <c r="G487" s="1">
        <v>840</v>
      </c>
      <c r="H487" s="1">
        <v>17700</v>
      </c>
    </row>
    <row r="488" spans="1:8" ht="17.25" x14ac:dyDescent="0.35">
      <c r="A488">
        <v>487</v>
      </c>
      <c r="B488" t="s">
        <v>821</v>
      </c>
      <c r="C488" t="s">
        <v>17</v>
      </c>
      <c r="D488" t="s">
        <v>91</v>
      </c>
      <c r="E488" t="s">
        <v>120</v>
      </c>
      <c r="F488" s="1">
        <v>5275</v>
      </c>
      <c r="G488" s="1">
        <v>233</v>
      </c>
      <c r="H488" s="1">
        <v>22500</v>
      </c>
    </row>
    <row r="489" spans="1:8" ht="17.25" x14ac:dyDescent="0.35">
      <c r="A489">
        <v>488</v>
      </c>
      <c r="B489" t="s">
        <v>822</v>
      </c>
      <c r="C489" t="s">
        <v>21</v>
      </c>
      <c r="D489" t="s">
        <v>493</v>
      </c>
      <c r="E489" t="s">
        <v>96</v>
      </c>
      <c r="F489" s="1">
        <v>5266</v>
      </c>
      <c r="G489" s="1">
        <v>1828</v>
      </c>
      <c r="H489" s="1">
        <v>4075</v>
      </c>
    </row>
    <row r="490" spans="1:8" ht="17.25" x14ac:dyDescent="0.35">
      <c r="A490">
        <v>489</v>
      </c>
      <c r="B490" t="s">
        <v>823</v>
      </c>
      <c r="C490" t="s">
        <v>282</v>
      </c>
      <c r="D490" t="s">
        <v>660</v>
      </c>
      <c r="E490" t="s">
        <v>824</v>
      </c>
      <c r="F490" s="1">
        <v>5264</v>
      </c>
      <c r="G490" s="1">
        <v>142</v>
      </c>
      <c r="H490" s="1">
        <v>9850</v>
      </c>
    </row>
    <row r="491" spans="1:8" ht="17.25" x14ac:dyDescent="0.35">
      <c r="A491">
        <v>490</v>
      </c>
      <c r="B491" t="s">
        <v>825</v>
      </c>
      <c r="C491" t="s">
        <v>76</v>
      </c>
      <c r="D491" t="s">
        <v>77</v>
      </c>
      <c r="E491" t="s">
        <v>826</v>
      </c>
      <c r="F491" s="1">
        <v>5262</v>
      </c>
      <c r="G491" s="1">
        <v>686</v>
      </c>
      <c r="H491" s="1">
        <v>19500</v>
      </c>
    </row>
    <row r="492" spans="1:8" ht="17.25" x14ac:dyDescent="0.35">
      <c r="A492">
        <v>491</v>
      </c>
      <c r="B492" t="s">
        <v>827</v>
      </c>
      <c r="C492" t="s">
        <v>17</v>
      </c>
      <c r="D492" t="s">
        <v>137</v>
      </c>
      <c r="E492" t="s">
        <v>422</v>
      </c>
      <c r="F492" s="1">
        <v>5259</v>
      </c>
      <c r="G492" s="1">
        <v>656</v>
      </c>
      <c r="H492" s="1">
        <v>7300</v>
      </c>
    </row>
    <row r="493" spans="1:8" ht="17.25" x14ac:dyDescent="0.35">
      <c r="A493">
        <v>492</v>
      </c>
      <c r="B493" t="s">
        <v>828</v>
      </c>
      <c r="C493" t="s">
        <v>315</v>
      </c>
      <c r="D493" t="s">
        <v>408</v>
      </c>
      <c r="E493" t="s">
        <v>829</v>
      </c>
      <c r="F493" s="1">
        <v>5254</v>
      </c>
      <c r="G493" s="1">
        <v>712</v>
      </c>
      <c r="H493" s="1">
        <v>22000</v>
      </c>
    </row>
    <row r="494" spans="1:8" ht="17.25" x14ac:dyDescent="0.35">
      <c r="A494">
        <v>493</v>
      </c>
      <c r="B494" t="s">
        <v>830</v>
      </c>
      <c r="C494" t="s">
        <v>13</v>
      </c>
      <c r="D494" t="s">
        <v>173</v>
      </c>
      <c r="E494" t="s">
        <v>89</v>
      </c>
      <c r="F494" s="1">
        <v>5234</v>
      </c>
      <c r="G494" s="1">
        <v>196</v>
      </c>
      <c r="H494" s="1">
        <v>6250</v>
      </c>
    </row>
    <row r="495" spans="1:8" ht="17.25" x14ac:dyDescent="0.35">
      <c r="A495">
        <v>494</v>
      </c>
      <c r="B495" t="s">
        <v>831</v>
      </c>
      <c r="C495" t="s">
        <v>21</v>
      </c>
      <c r="D495" t="s">
        <v>57</v>
      </c>
      <c r="E495" t="s">
        <v>239</v>
      </c>
      <c r="F495" s="1">
        <v>5197</v>
      </c>
      <c r="G495" s="1">
        <v>997</v>
      </c>
      <c r="H495" s="1">
        <v>7300</v>
      </c>
    </row>
    <row r="496" spans="1:8" ht="17.25" x14ac:dyDescent="0.35">
      <c r="A496">
        <v>495</v>
      </c>
      <c r="B496" t="s">
        <v>832</v>
      </c>
      <c r="C496" t="s">
        <v>9</v>
      </c>
      <c r="D496" t="s">
        <v>54</v>
      </c>
      <c r="E496" t="s">
        <v>181</v>
      </c>
      <c r="F496" s="1">
        <v>5191</v>
      </c>
      <c r="G496" s="1">
        <v>143</v>
      </c>
      <c r="H496" s="1">
        <v>23650</v>
      </c>
    </row>
    <row r="497" spans="1:8" ht="17.25" x14ac:dyDescent="0.35">
      <c r="A497">
        <v>496</v>
      </c>
      <c r="B497" t="s">
        <v>833</v>
      </c>
      <c r="C497" t="s">
        <v>41</v>
      </c>
      <c r="D497" t="s">
        <v>41</v>
      </c>
      <c r="E497" t="s">
        <v>78</v>
      </c>
      <c r="F497" s="1">
        <v>5176</v>
      </c>
      <c r="G497" s="1">
        <v>219</v>
      </c>
      <c r="H497" s="1">
        <v>10400</v>
      </c>
    </row>
    <row r="498" spans="1:8" ht="17.25" x14ac:dyDescent="0.35">
      <c r="A498">
        <v>497</v>
      </c>
      <c r="B498" t="s">
        <v>834</v>
      </c>
      <c r="C498" t="s">
        <v>21</v>
      </c>
      <c r="D498" t="s">
        <v>22</v>
      </c>
      <c r="E498" t="s">
        <v>835</v>
      </c>
      <c r="F498" s="1">
        <v>5176</v>
      </c>
      <c r="G498" s="1">
        <v>288</v>
      </c>
      <c r="H498" s="1">
        <v>17955</v>
      </c>
    </row>
    <row r="499" spans="1:8" ht="17.25" x14ac:dyDescent="0.35">
      <c r="A499">
        <v>498</v>
      </c>
      <c r="B499" t="s">
        <v>836</v>
      </c>
      <c r="C499" t="s">
        <v>335</v>
      </c>
      <c r="D499" t="s">
        <v>495</v>
      </c>
      <c r="E499" t="s">
        <v>837</v>
      </c>
      <c r="F499" s="1">
        <v>5170</v>
      </c>
      <c r="G499" s="1">
        <v>383</v>
      </c>
      <c r="H499" s="1">
        <v>4300</v>
      </c>
    </row>
    <row r="500" spans="1:8" ht="17.25" x14ac:dyDescent="0.35">
      <c r="A500">
        <v>499</v>
      </c>
      <c r="B500" t="s">
        <v>838</v>
      </c>
      <c r="C500" t="s">
        <v>21</v>
      </c>
      <c r="D500" t="s">
        <v>22</v>
      </c>
      <c r="E500" t="s">
        <v>839</v>
      </c>
      <c r="F500" s="1">
        <v>5142</v>
      </c>
      <c r="G500" s="1">
        <v>634</v>
      </c>
      <c r="H500" s="1">
        <v>4493</v>
      </c>
    </row>
    <row r="501" spans="1:8" ht="17.25" x14ac:dyDescent="0.35">
      <c r="A501">
        <v>500</v>
      </c>
      <c r="B501" t="s">
        <v>840</v>
      </c>
      <c r="C501" t="s">
        <v>9</v>
      </c>
      <c r="D501" t="s">
        <v>216</v>
      </c>
      <c r="E501" t="s">
        <v>841</v>
      </c>
      <c r="F501" s="1">
        <v>5130</v>
      </c>
      <c r="G501" s="1">
        <v>151</v>
      </c>
      <c r="H501" s="1">
        <v>37500</v>
      </c>
    </row>
    <row r="502" spans="1:8" ht="17.25" x14ac:dyDescent="0.35">
      <c r="A502">
        <v>501</v>
      </c>
      <c r="B502" t="s">
        <v>842</v>
      </c>
      <c r="C502" t="s">
        <v>335</v>
      </c>
      <c r="D502" t="s">
        <v>336</v>
      </c>
      <c r="E502" t="s">
        <v>89</v>
      </c>
      <c r="F502" s="1">
        <v>5096</v>
      </c>
      <c r="G502" s="1">
        <v>203</v>
      </c>
      <c r="H502" s="1">
        <v>22000</v>
      </c>
    </row>
    <row r="503" spans="1:8" ht="17.25" x14ac:dyDescent="0.35">
      <c r="A503">
        <v>502</v>
      </c>
      <c r="B503" t="s">
        <v>843</v>
      </c>
      <c r="C503" t="s">
        <v>9</v>
      </c>
      <c r="D503" t="s">
        <v>216</v>
      </c>
      <c r="E503" t="s">
        <v>42</v>
      </c>
      <c r="F503" s="1">
        <v>5095</v>
      </c>
      <c r="G503" s="1">
        <v>15</v>
      </c>
      <c r="H503" s="1">
        <v>15100</v>
      </c>
    </row>
    <row r="504" spans="1:8" ht="17.25" x14ac:dyDescent="0.35">
      <c r="A504">
        <v>503</v>
      </c>
      <c r="B504" t="s">
        <v>844</v>
      </c>
      <c r="C504" t="s">
        <v>315</v>
      </c>
      <c r="D504" t="s">
        <v>316</v>
      </c>
      <c r="E504" t="s">
        <v>340</v>
      </c>
      <c r="F504" s="1">
        <v>5095</v>
      </c>
      <c r="G504" s="1">
        <v>358</v>
      </c>
      <c r="H504" s="1">
        <v>16100</v>
      </c>
    </row>
    <row r="505" spans="1:8" ht="17.25" x14ac:dyDescent="0.35">
      <c r="A505">
        <v>504</v>
      </c>
      <c r="B505" t="s">
        <v>845</v>
      </c>
      <c r="C505" t="s">
        <v>17</v>
      </c>
      <c r="D505" t="s">
        <v>91</v>
      </c>
      <c r="E505" t="s">
        <v>837</v>
      </c>
      <c r="F505" s="1">
        <v>5086</v>
      </c>
      <c r="G505" s="1">
        <v>254</v>
      </c>
      <c r="H505" s="1">
        <v>18000</v>
      </c>
    </row>
    <row r="506" spans="1:8" ht="17.25" x14ac:dyDescent="0.35">
      <c r="A506">
        <v>505</v>
      </c>
      <c r="B506" t="s">
        <v>846</v>
      </c>
      <c r="C506" t="s">
        <v>17</v>
      </c>
      <c r="D506" t="s">
        <v>146</v>
      </c>
      <c r="E506" t="s">
        <v>847</v>
      </c>
      <c r="F506" s="1">
        <v>5083</v>
      </c>
      <c r="G506" s="1">
        <v>334</v>
      </c>
      <c r="H506" s="1">
        <v>22300</v>
      </c>
    </row>
    <row r="507" spans="1:8" ht="17.25" x14ac:dyDescent="0.35">
      <c r="A507">
        <v>506</v>
      </c>
      <c r="B507" t="s">
        <v>848</v>
      </c>
      <c r="C507" t="s">
        <v>21</v>
      </c>
      <c r="D507" t="s">
        <v>22</v>
      </c>
      <c r="E507" t="s">
        <v>849</v>
      </c>
      <c r="F507" s="1">
        <v>5034</v>
      </c>
      <c r="G507" s="1">
        <v>332</v>
      </c>
      <c r="H507" s="1">
        <v>4800</v>
      </c>
    </row>
    <row r="508" spans="1:8" ht="17.25" x14ac:dyDescent="0.35">
      <c r="A508">
        <v>507</v>
      </c>
      <c r="B508" t="s">
        <v>850</v>
      </c>
      <c r="C508" t="s">
        <v>13</v>
      </c>
      <c r="D508" t="s">
        <v>231</v>
      </c>
      <c r="E508" t="s">
        <v>58</v>
      </c>
      <c r="F508" s="1">
        <v>5023</v>
      </c>
      <c r="G508" s="1">
        <v>327</v>
      </c>
      <c r="H508" s="1">
        <v>5184</v>
      </c>
    </row>
    <row r="509" spans="1:8" ht="17.25" x14ac:dyDescent="0.35">
      <c r="A509">
        <v>508</v>
      </c>
      <c r="B509" t="s">
        <v>851</v>
      </c>
      <c r="C509" t="s">
        <v>17</v>
      </c>
      <c r="D509" t="s">
        <v>137</v>
      </c>
      <c r="E509" t="s">
        <v>138</v>
      </c>
      <c r="F509" s="1">
        <v>5010</v>
      </c>
      <c r="G509" s="1">
        <v>614</v>
      </c>
      <c r="H509" s="1">
        <v>9227</v>
      </c>
    </row>
    <row r="510" spans="1:8" ht="17.25" x14ac:dyDescent="0.35">
      <c r="A510">
        <v>509</v>
      </c>
      <c r="B510" t="s">
        <v>852</v>
      </c>
      <c r="C510" t="s">
        <v>21</v>
      </c>
      <c r="D510" t="s">
        <v>22</v>
      </c>
      <c r="E510" t="s">
        <v>50</v>
      </c>
      <c r="F510" s="1">
        <v>5000</v>
      </c>
      <c r="G510" s="1">
        <v>560</v>
      </c>
      <c r="H510" s="1">
        <v>3135</v>
      </c>
    </row>
    <row r="511" spans="1:8" ht="17.25" x14ac:dyDescent="0.35">
      <c r="A511">
        <v>510</v>
      </c>
      <c r="B511" t="s">
        <v>853</v>
      </c>
      <c r="C511" t="s">
        <v>21</v>
      </c>
      <c r="D511" t="s">
        <v>74</v>
      </c>
      <c r="E511" t="s">
        <v>854</v>
      </c>
      <c r="F511" s="1">
        <v>4996</v>
      </c>
      <c r="G511" s="1">
        <v>1080</v>
      </c>
      <c r="H511" s="1">
        <v>16904</v>
      </c>
    </row>
    <row r="512" spans="1:8" ht="17.25" x14ac:dyDescent="0.35">
      <c r="A512">
        <v>511</v>
      </c>
      <c r="B512" t="s">
        <v>855</v>
      </c>
      <c r="C512" t="s">
        <v>9</v>
      </c>
      <c r="D512" t="s">
        <v>300</v>
      </c>
      <c r="E512" t="s">
        <v>856</v>
      </c>
      <c r="F512" s="1">
        <v>4980</v>
      </c>
      <c r="G512" s="1">
        <v>66</v>
      </c>
      <c r="H512" s="1">
        <v>6700</v>
      </c>
    </row>
    <row r="513" spans="1:8" ht="17.25" x14ac:dyDescent="0.35">
      <c r="A513">
        <v>512</v>
      </c>
      <c r="B513" t="s">
        <v>857</v>
      </c>
      <c r="C513" t="s">
        <v>9</v>
      </c>
      <c r="D513" t="s">
        <v>54</v>
      </c>
      <c r="E513" t="s">
        <v>27</v>
      </c>
      <c r="F513" s="1">
        <v>4976</v>
      </c>
      <c r="G513" s="1">
        <v>310</v>
      </c>
      <c r="H513" s="1">
        <v>19850</v>
      </c>
    </row>
    <row r="514" spans="1:8" ht="17.25" x14ac:dyDescent="0.35">
      <c r="A514">
        <v>513</v>
      </c>
      <c r="B514" t="s">
        <v>858</v>
      </c>
      <c r="C514" t="s">
        <v>17</v>
      </c>
      <c r="D514" t="s">
        <v>62</v>
      </c>
      <c r="E514" t="s">
        <v>731</v>
      </c>
      <c r="F514" s="1">
        <v>4968</v>
      </c>
      <c r="G514" s="1">
        <v>-4359</v>
      </c>
      <c r="H514" s="1">
        <v>10400</v>
      </c>
    </row>
    <row r="515" spans="1:8" ht="17.25" x14ac:dyDescent="0.35">
      <c r="A515">
        <v>514</v>
      </c>
      <c r="B515" t="s">
        <v>859</v>
      </c>
      <c r="C515" t="s">
        <v>282</v>
      </c>
      <c r="D515" t="s">
        <v>285</v>
      </c>
      <c r="E515" t="s">
        <v>860</v>
      </c>
      <c r="F515" s="1">
        <v>4964</v>
      </c>
      <c r="G515" s="1">
        <v>250</v>
      </c>
      <c r="H515" s="1">
        <v>21000</v>
      </c>
    </row>
    <row r="516" spans="1:8" ht="17.25" x14ac:dyDescent="0.35">
      <c r="A516">
        <v>515</v>
      </c>
      <c r="B516" t="s">
        <v>861</v>
      </c>
      <c r="C516" t="s">
        <v>25</v>
      </c>
      <c r="D516" t="s">
        <v>167</v>
      </c>
      <c r="E516" t="s">
        <v>720</v>
      </c>
      <c r="F516" s="1">
        <v>4961</v>
      </c>
      <c r="G516" s="1">
        <v>-458</v>
      </c>
      <c r="H516" s="1">
        <v>67500</v>
      </c>
    </row>
    <row r="517" spans="1:8" ht="17.25" x14ac:dyDescent="0.35">
      <c r="A517">
        <v>516</v>
      </c>
      <c r="B517" t="s">
        <v>862</v>
      </c>
      <c r="C517" t="s">
        <v>335</v>
      </c>
      <c r="D517" t="s">
        <v>336</v>
      </c>
      <c r="E517" t="s">
        <v>863</v>
      </c>
      <c r="F517" s="1">
        <v>4921</v>
      </c>
      <c r="G517" s="1">
        <v>45</v>
      </c>
      <c r="H517" s="1">
        <v>10626</v>
      </c>
    </row>
    <row r="518" spans="1:8" ht="17.25" x14ac:dyDescent="0.35">
      <c r="A518">
        <v>517</v>
      </c>
      <c r="B518" t="s">
        <v>864</v>
      </c>
      <c r="C518" t="s">
        <v>9</v>
      </c>
      <c r="D518" t="s">
        <v>54</v>
      </c>
      <c r="E518" t="s">
        <v>15</v>
      </c>
      <c r="F518" s="1">
        <v>4913</v>
      </c>
      <c r="G518" s="1">
        <v>363</v>
      </c>
      <c r="H518" s="1">
        <v>31500</v>
      </c>
    </row>
    <row r="519" spans="1:8" ht="17.25" x14ac:dyDescent="0.35">
      <c r="A519">
        <v>518</v>
      </c>
      <c r="B519" t="s">
        <v>865</v>
      </c>
      <c r="C519" t="s">
        <v>282</v>
      </c>
      <c r="D519" t="s">
        <v>285</v>
      </c>
      <c r="E519" t="s">
        <v>866</v>
      </c>
      <c r="F519" s="1">
        <v>4881</v>
      </c>
      <c r="G519" s="1">
        <v>86</v>
      </c>
      <c r="H519" s="1">
        <v>16000</v>
      </c>
    </row>
    <row r="520" spans="1:8" ht="17.25" x14ac:dyDescent="0.35">
      <c r="A520">
        <v>519</v>
      </c>
      <c r="B520" t="s">
        <v>867</v>
      </c>
      <c r="C520" t="s">
        <v>17</v>
      </c>
      <c r="D520" t="s">
        <v>146</v>
      </c>
      <c r="E520" t="s">
        <v>731</v>
      </c>
      <c r="F520" s="1">
        <v>4858</v>
      </c>
      <c r="G520" s="1">
        <v>634</v>
      </c>
      <c r="H520" s="1">
        <v>9058</v>
      </c>
    </row>
    <row r="521" spans="1:8" ht="17.25" x14ac:dyDescent="0.35">
      <c r="A521">
        <v>520</v>
      </c>
      <c r="B521" t="s">
        <v>868</v>
      </c>
      <c r="C521" t="s">
        <v>21</v>
      </c>
      <c r="D521" t="s">
        <v>74</v>
      </c>
      <c r="E521" t="s">
        <v>78</v>
      </c>
      <c r="F521" s="1">
        <v>4857</v>
      </c>
      <c r="G521" s="1">
        <v>974</v>
      </c>
      <c r="H521" s="1">
        <v>16200</v>
      </c>
    </row>
    <row r="522" spans="1:8" ht="17.25" x14ac:dyDescent="0.35">
      <c r="A522">
        <v>521</v>
      </c>
      <c r="B522" t="s">
        <v>869</v>
      </c>
      <c r="C522" t="s">
        <v>131</v>
      </c>
      <c r="D522" t="s">
        <v>691</v>
      </c>
      <c r="E522" t="s">
        <v>789</v>
      </c>
      <c r="F522" s="1">
        <v>4832</v>
      </c>
      <c r="G522" s="1">
        <v>1</v>
      </c>
      <c r="H522" s="1">
        <v>32000</v>
      </c>
    </row>
    <row r="523" spans="1:8" ht="17.25" x14ac:dyDescent="0.35">
      <c r="A523">
        <v>522</v>
      </c>
      <c r="B523" t="s">
        <v>870</v>
      </c>
      <c r="C523" t="s">
        <v>13</v>
      </c>
      <c r="D523" t="s">
        <v>219</v>
      </c>
      <c r="E523" t="s">
        <v>15</v>
      </c>
      <c r="F523" s="1">
        <v>4826</v>
      </c>
      <c r="G523" s="1">
        <v>-273</v>
      </c>
      <c r="H523" s="1">
        <v>3732</v>
      </c>
    </row>
    <row r="524" spans="1:8" ht="17.25" x14ac:dyDescent="0.35">
      <c r="A524">
        <v>523</v>
      </c>
      <c r="B524" t="s">
        <v>871</v>
      </c>
      <c r="C524" t="s">
        <v>9</v>
      </c>
      <c r="D524" t="s">
        <v>216</v>
      </c>
      <c r="E524" t="s">
        <v>872</v>
      </c>
      <c r="F524" s="1">
        <v>4803</v>
      </c>
      <c r="G524" s="1">
        <v>-237</v>
      </c>
      <c r="H524" s="1">
        <v>31000</v>
      </c>
    </row>
    <row r="525" spans="1:8" ht="17.25" x14ac:dyDescent="0.35">
      <c r="A525">
        <v>524</v>
      </c>
      <c r="B525" t="s">
        <v>873</v>
      </c>
      <c r="C525" t="s">
        <v>17</v>
      </c>
      <c r="D525" t="s">
        <v>80</v>
      </c>
      <c r="E525" t="s">
        <v>147</v>
      </c>
      <c r="F525" s="1">
        <v>4796</v>
      </c>
      <c r="G525" s="1">
        <v>630</v>
      </c>
      <c r="H525" s="1">
        <v>13893</v>
      </c>
    </row>
    <row r="526" spans="1:8" ht="17.25" x14ac:dyDescent="0.35">
      <c r="A526">
        <v>525</v>
      </c>
      <c r="B526" t="s">
        <v>874</v>
      </c>
      <c r="C526" t="s">
        <v>142</v>
      </c>
      <c r="D526" t="s">
        <v>143</v>
      </c>
      <c r="E526" t="s">
        <v>382</v>
      </c>
      <c r="F526" s="1">
        <v>4795</v>
      </c>
      <c r="G526" s="1">
        <v>64</v>
      </c>
      <c r="H526" s="1">
        <v>3503</v>
      </c>
    </row>
    <row r="527" spans="1:8" ht="17.25" x14ac:dyDescent="0.35">
      <c r="A527">
        <v>526</v>
      </c>
      <c r="B527" t="s">
        <v>875</v>
      </c>
      <c r="C527" t="s">
        <v>41</v>
      </c>
      <c r="D527" t="s">
        <v>41</v>
      </c>
      <c r="E527" t="s">
        <v>189</v>
      </c>
      <c r="F527" s="1">
        <v>4772</v>
      </c>
      <c r="G527" s="1">
        <v>685</v>
      </c>
      <c r="H527" s="1">
        <v>3371</v>
      </c>
    </row>
    <row r="528" spans="1:8" ht="17.25" x14ac:dyDescent="0.35">
      <c r="A528">
        <v>527</v>
      </c>
      <c r="B528" t="s">
        <v>876</v>
      </c>
      <c r="C528" t="s">
        <v>25</v>
      </c>
      <c r="D528" t="s">
        <v>110</v>
      </c>
      <c r="E528" t="s">
        <v>877</v>
      </c>
      <c r="F528" s="1">
        <v>4765</v>
      </c>
      <c r="G528" s="1">
        <v>339</v>
      </c>
      <c r="H528" s="1">
        <v>9000</v>
      </c>
    </row>
    <row r="529" spans="1:8" ht="17.25" x14ac:dyDescent="0.35">
      <c r="A529">
        <v>528</v>
      </c>
      <c r="B529" t="s">
        <v>878</v>
      </c>
      <c r="C529" t="s">
        <v>131</v>
      </c>
      <c r="D529" t="s">
        <v>710</v>
      </c>
      <c r="E529" t="s">
        <v>879</v>
      </c>
      <c r="F529" s="1">
        <v>4719</v>
      </c>
      <c r="G529" s="1">
        <v>455</v>
      </c>
      <c r="H529" s="1">
        <v>8100</v>
      </c>
    </row>
    <row r="530" spans="1:8" ht="17.25" x14ac:dyDescent="0.35">
      <c r="A530">
        <v>529</v>
      </c>
      <c r="B530" t="s">
        <v>880</v>
      </c>
      <c r="C530" t="s">
        <v>21</v>
      </c>
      <c r="D530" t="s">
        <v>479</v>
      </c>
      <c r="E530" t="s">
        <v>86</v>
      </c>
      <c r="F530" s="1">
        <v>4682</v>
      </c>
      <c r="G530" s="1">
        <v>1274</v>
      </c>
      <c r="H530" s="1">
        <v>5549</v>
      </c>
    </row>
    <row r="531" spans="1:8" ht="17.25" x14ac:dyDescent="0.35">
      <c r="A531">
        <v>530</v>
      </c>
      <c r="B531" t="s">
        <v>881</v>
      </c>
      <c r="C531" t="s">
        <v>142</v>
      </c>
      <c r="D531" t="s">
        <v>485</v>
      </c>
      <c r="E531" t="s">
        <v>882</v>
      </c>
      <c r="F531" s="1">
        <v>4678</v>
      </c>
      <c r="G531" s="1">
        <v>-642</v>
      </c>
      <c r="H531" s="1">
        <v>22500</v>
      </c>
    </row>
    <row r="532" spans="1:8" ht="17.25" x14ac:dyDescent="0.35">
      <c r="A532">
        <v>531</v>
      </c>
      <c r="B532" t="s">
        <v>883</v>
      </c>
      <c r="C532" t="s">
        <v>21</v>
      </c>
      <c r="D532" t="s">
        <v>22</v>
      </c>
      <c r="E532" t="s">
        <v>50</v>
      </c>
      <c r="F532" s="1">
        <v>4664</v>
      </c>
      <c r="G532" s="1">
        <v>504</v>
      </c>
      <c r="H532" s="1">
        <v>6200</v>
      </c>
    </row>
    <row r="533" spans="1:8" ht="17.25" x14ac:dyDescent="0.35">
      <c r="A533">
        <v>532</v>
      </c>
      <c r="B533" t="s">
        <v>884</v>
      </c>
      <c r="C533" t="s">
        <v>17</v>
      </c>
      <c r="D533" t="s">
        <v>80</v>
      </c>
      <c r="E533" t="s">
        <v>737</v>
      </c>
      <c r="F533" s="1">
        <v>4664</v>
      </c>
      <c r="G533" s="1">
        <v>892</v>
      </c>
      <c r="H533" s="1">
        <v>7300</v>
      </c>
    </row>
    <row r="534" spans="1:8" ht="17.25" x14ac:dyDescent="0.35">
      <c r="A534">
        <v>533</v>
      </c>
      <c r="B534" t="s">
        <v>885</v>
      </c>
      <c r="C534" t="s">
        <v>98</v>
      </c>
      <c r="D534" t="s">
        <v>487</v>
      </c>
      <c r="E534" t="s">
        <v>65</v>
      </c>
      <c r="F534" s="1">
        <v>4658</v>
      </c>
      <c r="G534" s="1">
        <v>315</v>
      </c>
      <c r="H534" s="1">
        <v>21400</v>
      </c>
    </row>
    <row r="535" spans="1:8" ht="17.25" x14ac:dyDescent="0.35">
      <c r="A535">
        <v>534</v>
      </c>
      <c r="B535" t="s">
        <v>886</v>
      </c>
      <c r="C535" t="s">
        <v>252</v>
      </c>
      <c r="D535" t="s">
        <v>393</v>
      </c>
      <c r="E535" t="s">
        <v>466</v>
      </c>
      <c r="F535" s="1">
        <v>4654</v>
      </c>
      <c r="G535" s="1">
        <v>5920</v>
      </c>
      <c r="H535" s="1">
        <v>33000</v>
      </c>
    </row>
    <row r="536" spans="1:8" ht="17.25" x14ac:dyDescent="0.35">
      <c r="A536">
        <v>535</v>
      </c>
      <c r="B536" t="s">
        <v>887</v>
      </c>
      <c r="C536" t="s">
        <v>115</v>
      </c>
      <c r="D536" t="s">
        <v>122</v>
      </c>
      <c r="E536" t="s">
        <v>72</v>
      </c>
      <c r="F536" s="1">
        <v>4648</v>
      </c>
      <c r="G536" s="1">
        <v>-115</v>
      </c>
      <c r="H536" s="1">
        <v>8500</v>
      </c>
    </row>
    <row r="537" spans="1:8" ht="17.25" x14ac:dyDescent="0.35">
      <c r="A537">
        <v>536</v>
      </c>
      <c r="B537" t="s">
        <v>888</v>
      </c>
      <c r="C537" t="s">
        <v>21</v>
      </c>
      <c r="D537" t="s">
        <v>57</v>
      </c>
      <c r="E537" t="s">
        <v>50</v>
      </c>
      <c r="F537" s="1">
        <v>4647</v>
      </c>
      <c r="G537" s="1">
        <v>710</v>
      </c>
      <c r="H537" s="1">
        <v>2060</v>
      </c>
    </row>
    <row r="538" spans="1:8" ht="17.25" x14ac:dyDescent="0.35">
      <c r="A538">
        <v>537</v>
      </c>
      <c r="B538" t="s">
        <v>889</v>
      </c>
      <c r="C538" t="s">
        <v>25</v>
      </c>
      <c r="D538" t="s">
        <v>29</v>
      </c>
      <c r="E538" t="s">
        <v>890</v>
      </c>
      <c r="F538" s="1">
        <v>4597</v>
      </c>
      <c r="G538" s="1">
        <v>31</v>
      </c>
      <c r="H538" s="1">
        <v>6900</v>
      </c>
    </row>
    <row r="539" spans="1:8" ht="17.25" x14ac:dyDescent="0.35">
      <c r="A539">
        <v>538</v>
      </c>
      <c r="B539" t="s">
        <v>891</v>
      </c>
      <c r="C539" t="s">
        <v>150</v>
      </c>
      <c r="D539" t="s">
        <v>150</v>
      </c>
      <c r="E539" t="s">
        <v>892</v>
      </c>
      <c r="F539" s="1">
        <v>4595</v>
      </c>
      <c r="G539" s="1">
        <v>240</v>
      </c>
      <c r="H539" s="1">
        <v>12864</v>
      </c>
    </row>
    <row r="540" spans="1:8" ht="17.25" x14ac:dyDescent="0.35">
      <c r="A540">
        <v>539</v>
      </c>
      <c r="B540" t="s">
        <v>893</v>
      </c>
      <c r="C540" t="s">
        <v>44</v>
      </c>
      <c r="D540" t="s">
        <v>45</v>
      </c>
      <c r="E540" t="s">
        <v>15</v>
      </c>
      <c r="F540" s="1">
        <v>4561</v>
      </c>
      <c r="G540" s="1">
        <v>268</v>
      </c>
      <c r="H540" s="1">
        <v>19000</v>
      </c>
    </row>
    <row r="541" spans="1:8" ht="17.25" x14ac:dyDescent="0.35">
      <c r="A541">
        <v>540</v>
      </c>
      <c r="B541" t="s">
        <v>894</v>
      </c>
      <c r="C541" t="s">
        <v>21</v>
      </c>
      <c r="D541" t="s">
        <v>74</v>
      </c>
      <c r="E541" t="s">
        <v>439</v>
      </c>
      <c r="F541" s="1">
        <v>4542</v>
      </c>
      <c r="G541" s="1">
        <v>916</v>
      </c>
      <c r="H541" s="1">
        <v>13483</v>
      </c>
    </row>
    <row r="542" spans="1:8" ht="17.25" x14ac:dyDescent="0.35">
      <c r="A542">
        <v>541</v>
      </c>
      <c r="B542" t="s">
        <v>895</v>
      </c>
      <c r="C542" t="s">
        <v>13</v>
      </c>
      <c r="D542" t="s">
        <v>267</v>
      </c>
      <c r="E542" t="s">
        <v>89</v>
      </c>
      <c r="F542" s="1">
        <v>4529</v>
      </c>
      <c r="G542" s="1">
        <v>-332</v>
      </c>
      <c r="H542" s="1">
        <v>4100</v>
      </c>
    </row>
    <row r="543" spans="1:8" ht="17.25" x14ac:dyDescent="0.35">
      <c r="A543">
        <v>542</v>
      </c>
      <c r="B543" t="s">
        <v>896</v>
      </c>
      <c r="C543" t="s">
        <v>115</v>
      </c>
      <c r="D543" t="s">
        <v>165</v>
      </c>
      <c r="E543" t="s">
        <v>897</v>
      </c>
      <c r="F543" s="1">
        <v>4520</v>
      </c>
      <c r="G543" s="1">
        <v>498</v>
      </c>
      <c r="H543" s="1">
        <v>6000</v>
      </c>
    </row>
    <row r="544" spans="1:8" ht="17.25" x14ac:dyDescent="0.35">
      <c r="A544">
        <v>543</v>
      </c>
      <c r="B544" t="s">
        <v>898</v>
      </c>
      <c r="C544" t="s">
        <v>17</v>
      </c>
      <c r="D544" t="s">
        <v>80</v>
      </c>
      <c r="E544" t="s">
        <v>197</v>
      </c>
      <c r="F544" s="1">
        <v>4515</v>
      </c>
      <c r="G544" s="1">
        <v>875</v>
      </c>
      <c r="H544" s="1">
        <v>8400</v>
      </c>
    </row>
    <row r="545" spans="1:8" ht="17.25" x14ac:dyDescent="0.35">
      <c r="A545">
        <v>544</v>
      </c>
      <c r="B545" t="s">
        <v>899</v>
      </c>
      <c r="C545" t="s">
        <v>44</v>
      </c>
      <c r="D545" t="s">
        <v>192</v>
      </c>
      <c r="E545" t="s">
        <v>900</v>
      </c>
      <c r="F545" s="1">
        <v>4515</v>
      </c>
      <c r="G545" s="1">
        <v>-122</v>
      </c>
      <c r="H545" s="1">
        <v>12000</v>
      </c>
    </row>
    <row r="546" spans="1:8" ht="17.25" x14ac:dyDescent="0.35">
      <c r="A546">
        <v>545</v>
      </c>
      <c r="B546" t="s">
        <v>901</v>
      </c>
      <c r="C546" t="s">
        <v>315</v>
      </c>
      <c r="D546" t="s">
        <v>399</v>
      </c>
      <c r="E546" t="s">
        <v>60</v>
      </c>
      <c r="F546" s="1">
        <v>4508</v>
      </c>
      <c r="G546" s="1">
        <v>431</v>
      </c>
      <c r="H546" s="1">
        <v>32000</v>
      </c>
    </row>
    <row r="547" spans="1:8" ht="17.25" x14ac:dyDescent="0.35">
      <c r="A547">
        <v>546</v>
      </c>
      <c r="B547" t="s">
        <v>902</v>
      </c>
      <c r="C547" t="s">
        <v>252</v>
      </c>
      <c r="D547" t="s">
        <v>253</v>
      </c>
      <c r="E547" t="s">
        <v>401</v>
      </c>
      <c r="F547" s="1">
        <v>4501</v>
      </c>
      <c r="G547" s="1">
        <v>476</v>
      </c>
      <c r="H547" s="1">
        <v>59330</v>
      </c>
    </row>
    <row r="548" spans="1:8" ht="17.25" x14ac:dyDescent="0.35">
      <c r="A548">
        <v>547</v>
      </c>
      <c r="B548" t="s">
        <v>903</v>
      </c>
      <c r="C548" t="s">
        <v>221</v>
      </c>
      <c r="D548" t="s">
        <v>221</v>
      </c>
      <c r="E548" t="s">
        <v>27</v>
      </c>
      <c r="F548" s="1">
        <v>4495</v>
      </c>
      <c r="G548" s="1">
        <v>209</v>
      </c>
      <c r="H548" s="1">
        <v>12500</v>
      </c>
    </row>
    <row r="549" spans="1:8" ht="17.25" x14ac:dyDescent="0.35">
      <c r="A549">
        <v>548</v>
      </c>
      <c r="B549" t="s">
        <v>904</v>
      </c>
      <c r="C549" t="s">
        <v>13</v>
      </c>
      <c r="D549" t="s">
        <v>231</v>
      </c>
      <c r="E549" t="s">
        <v>539</v>
      </c>
      <c r="F549" s="1">
        <v>4481</v>
      </c>
      <c r="G549" s="1">
        <v>-341</v>
      </c>
      <c r="H549" s="1">
        <v>4981</v>
      </c>
    </row>
    <row r="550" spans="1:8" ht="17.25" x14ac:dyDescent="0.35">
      <c r="A550">
        <v>549</v>
      </c>
      <c r="B550" t="s">
        <v>905</v>
      </c>
      <c r="C550" t="s">
        <v>150</v>
      </c>
      <c r="D550" t="s">
        <v>150</v>
      </c>
      <c r="E550" t="s">
        <v>89</v>
      </c>
      <c r="F550" s="1">
        <v>4463</v>
      </c>
      <c r="G550" s="1">
        <v>646</v>
      </c>
      <c r="H550" s="1">
        <v>4225</v>
      </c>
    </row>
    <row r="551" spans="1:8" ht="17.25" x14ac:dyDescent="0.35">
      <c r="A551">
        <v>550</v>
      </c>
      <c r="B551" t="s">
        <v>906</v>
      </c>
      <c r="C551" t="s">
        <v>98</v>
      </c>
      <c r="D551" t="s">
        <v>227</v>
      </c>
      <c r="E551" t="s">
        <v>907</v>
      </c>
      <c r="F551" s="1">
        <v>4448</v>
      </c>
      <c r="G551" s="1">
        <v>452</v>
      </c>
      <c r="H551" s="1">
        <v>5000</v>
      </c>
    </row>
    <row r="552" spans="1:8" ht="17.25" x14ac:dyDescent="0.35">
      <c r="A552">
        <v>551</v>
      </c>
      <c r="B552" t="s">
        <v>908</v>
      </c>
      <c r="C552" t="s">
        <v>21</v>
      </c>
      <c r="D552" t="s">
        <v>113</v>
      </c>
      <c r="E552" t="s">
        <v>228</v>
      </c>
      <c r="F552" s="1">
        <v>4434</v>
      </c>
      <c r="G552" s="1">
        <v>281</v>
      </c>
      <c r="H552" s="1">
        <v>5000</v>
      </c>
    </row>
    <row r="553" spans="1:8" ht="17.25" x14ac:dyDescent="0.35">
      <c r="A553">
        <v>552</v>
      </c>
      <c r="B553" t="s">
        <v>909</v>
      </c>
      <c r="C553" t="s">
        <v>17</v>
      </c>
      <c r="D553" t="s">
        <v>80</v>
      </c>
      <c r="E553" t="s">
        <v>104</v>
      </c>
      <c r="F553" s="1">
        <v>4428</v>
      </c>
      <c r="G553" s="1">
        <v>365</v>
      </c>
      <c r="H553" s="1">
        <v>8193</v>
      </c>
    </row>
    <row r="554" spans="1:8" ht="17.25" x14ac:dyDescent="0.35">
      <c r="A554">
        <v>553</v>
      </c>
      <c r="B554" t="s">
        <v>910</v>
      </c>
      <c r="C554" t="s">
        <v>25</v>
      </c>
      <c r="D554" t="s">
        <v>71</v>
      </c>
      <c r="E554" t="s">
        <v>911</v>
      </c>
      <c r="F554" s="1">
        <v>4425</v>
      </c>
      <c r="G554" s="1">
        <v>539</v>
      </c>
      <c r="H554" s="1">
        <v>22200</v>
      </c>
    </row>
    <row r="555" spans="1:8" ht="17.25" x14ac:dyDescent="0.35">
      <c r="A555">
        <v>554</v>
      </c>
      <c r="B555" t="s">
        <v>912</v>
      </c>
      <c r="C555" t="s">
        <v>98</v>
      </c>
      <c r="D555" t="s">
        <v>99</v>
      </c>
      <c r="E555" t="s">
        <v>50</v>
      </c>
      <c r="F555" s="1">
        <v>4395</v>
      </c>
      <c r="G555" s="1">
        <v>233</v>
      </c>
      <c r="H555" s="1">
        <v>8100</v>
      </c>
    </row>
    <row r="556" spans="1:8" ht="17.25" x14ac:dyDescent="0.35">
      <c r="A556">
        <v>555</v>
      </c>
      <c r="B556" t="s">
        <v>913</v>
      </c>
      <c r="C556" t="s">
        <v>150</v>
      </c>
      <c r="D556" t="s">
        <v>150</v>
      </c>
      <c r="E556" t="s">
        <v>108</v>
      </c>
      <c r="F556" s="1">
        <v>4393</v>
      </c>
      <c r="G556" s="1">
        <v>400</v>
      </c>
      <c r="H556" s="1">
        <v>11130</v>
      </c>
    </row>
    <row r="557" spans="1:8" ht="17.25" x14ac:dyDescent="0.35">
      <c r="A557">
        <v>556</v>
      </c>
      <c r="B557" t="s">
        <v>914</v>
      </c>
      <c r="C557" t="s">
        <v>13</v>
      </c>
      <c r="D557" t="s">
        <v>231</v>
      </c>
      <c r="E557" t="s">
        <v>915</v>
      </c>
      <c r="F557" s="1">
        <v>4380</v>
      </c>
      <c r="G557" s="1">
        <v>746</v>
      </c>
      <c r="H557" s="1">
        <v>5829</v>
      </c>
    </row>
    <row r="558" spans="1:8" ht="17.25" x14ac:dyDescent="0.35">
      <c r="A558">
        <v>557</v>
      </c>
      <c r="B558" t="s">
        <v>916</v>
      </c>
      <c r="C558" t="s">
        <v>252</v>
      </c>
      <c r="D558" t="s">
        <v>253</v>
      </c>
      <c r="E558" t="s">
        <v>405</v>
      </c>
      <c r="F558" s="1">
        <v>4378</v>
      </c>
      <c r="G558" s="1">
        <v>127</v>
      </c>
      <c r="H558" s="1">
        <v>100000</v>
      </c>
    </row>
    <row r="559" spans="1:8" ht="17.25" x14ac:dyDescent="0.35">
      <c r="A559">
        <v>558</v>
      </c>
      <c r="B559" t="s">
        <v>917</v>
      </c>
      <c r="C559" t="s">
        <v>13</v>
      </c>
      <c r="D559" t="s">
        <v>13</v>
      </c>
      <c r="E559" t="s">
        <v>918</v>
      </c>
      <c r="F559" s="1">
        <v>4376</v>
      </c>
      <c r="G559" s="1">
        <v>-622</v>
      </c>
      <c r="H559" s="1">
        <v>8689</v>
      </c>
    </row>
    <row r="560" spans="1:8" ht="17.25" x14ac:dyDescent="0.35">
      <c r="A560">
        <v>559</v>
      </c>
      <c r="B560" t="s">
        <v>919</v>
      </c>
      <c r="C560" t="s">
        <v>25</v>
      </c>
      <c r="D560" t="s">
        <v>26</v>
      </c>
      <c r="E560" t="s">
        <v>228</v>
      </c>
      <c r="F560" s="1">
        <v>4375</v>
      </c>
      <c r="G560" s="1">
        <v>223</v>
      </c>
      <c r="H560" s="1">
        <v>7000</v>
      </c>
    </row>
    <row r="561" spans="1:8" ht="17.25" x14ac:dyDescent="0.35">
      <c r="A561">
        <v>560</v>
      </c>
      <c r="B561" t="s">
        <v>920</v>
      </c>
      <c r="C561" t="s">
        <v>76</v>
      </c>
      <c r="D561" t="s">
        <v>77</v>
      </c>
      <c r="E561" t="s">
        <v>921</v>
      </c>
      <c r="F561" s="1">
        <v>4369</v>
      </c>
      <c r="G561" s="1">
        <v>159</v>
      </c>
      <c r="H561" s="1">
        <v>12300</v>
      </c>
    </row>
    <row r="562" spans="1:8" ht="17.25" x14ac:dyDescent="0.35">
      <c r="A562">
        <v>561</v>
      </c>
      <c r="B562" t="s">
        <v>922</v>
      </c>
      <c r="C562" t="s">
        <v>21</v>
      </c>
      <c r="D562" t="s">
        <v>22</v>
      </c>
      <c r="E562" t="s">
        <v>923</v>
      </c>
      <c r="F562" s="1">
        <v>4343</v>
      </c>
      <c r="G562" s="1">
        <v>738</v>
      </c>
      <c r="H562" s="1">
        <v>5483</v>
      </c>
    </row>
    <row r="563" spans="1:8" ht="17.25" x14ac:dyDescent="0.35">
      <c r="A563">
        <v>562</v>
      </c>
      <c r="B563" t="s">
        <v>924</v>
      </c>
      <c r="C563" t="s">
        <v>252</v>
      </c>
      <c r="D563" t="s">
        <v>393</v>
      </c>
      <c r="E563" t="s">
        <v>78</v>
      </c>
      <c r="F563" s="1">
        <v>4328</v>
      </c>
      <c r="G563" s="1">
        <v>124</v>
      </c>
      <c r="H563" s="1">
        <v>45000</v>
      </c>
    </row>
    <row r="564" spans="1:8" ht="17.25" x14ac:dyDescent="0.35">
      <c r="A564">
        <v>563</v>
      </c>
      <c r="B564" t="s">
        <v>925</v>
      </c>
      <c r="C564" t="s">
        <v>17</v>
      </c>
      <c r="D564" t="s">
        <v>80</v>
      </c>
      <c r="E564" t="s">
        <v>50</v>
      </c>
      <c r="F564" s="1">
        <v>4324</v>
      </c>
      <c r="G564" s="1">
        <v>846</v>
      </c>
      <c r="H564" s="1">
        <v>11600</v>
      </c>
    </row>
    <row r="565" spans="1:8" ht="17.25" x14ac:dyDescent="0.35">
      <c r="A565">
        <v>564</v>
      </c>
      <c r="B565" t="s">
        <v>926</v>
      </c>
      <c r="C565" t="s">
        <v>153</v>
      </c>
      <c r="D565" t="s">
        <v>224</v>
      </c>
      <c r="E565" t="s">
        <v>410</v>
      </c>
      <c r="F565" s="1">
        <v>4319</v>
      </c>
      <c r="G565" s="1">
        <v>154</v>
      </c>
      <c r="H565" s="1">
        <v>9300</v>
      </c>
    </row>
    <row r="566" spans="1:8" ht="17.25" x14ac:dyDescent="0.35">
      <c r="A566">
        <v>565</v>
      </c>
      <c r="B566" t="s">
        <v>927</v>
      </c>
      <c r="C566" t="s">
        <v>17</v>
      </c>
      <c r="D566" t="s">
        <v>91</v>
      </c>
      <c r="E566" t="s">
        <v>120</v>
      </c>
      <c r="F566" s="1">
        <v>4315</v>
      </c>
      <c r="G566" s="1">
        <v>117</v>
      </c>
      <c r="H566" s="1">
        <v>15342</v>
      </c>
    </row>
    <row r="567" spans="1:8" ht="17.25" x14ac:dyDescent="0.35">
      <c r="A567">
        <v>566</v>
      </c>
      <c r="B567" t="s">
        <v>928</v>
      </c>
      <c r="C567" t="s">
        <v>150</v>
      </c>
      <c r="D567" t="s">
        <v>150</v>
      </c>
      <c r="E567" t="s">
        <v>65</v>
      </c>
      <c r="F567" s="1">
        <v>4308</v>
      </c>
      <c r="G567" s="1">
        <v>700</v>
      </c>
      <c r="H567" s="1">
        <v>2850</v>
      </c>
    </row>
    <row r="568" spans="1:8" ht="17.25" x14ac:dyDescent="0.35">
      <c r="A568">
        <v>567</v>
      </c>
      <c r="B568" t="s">
        <v>929</v>
      </c>
      <c r="C568" t="s">
        <v>115</v>
      </c>
      <c r="D568" t="s">
        <v>122</v>
      </c>
      <c r="E568" t="s">
        <v>930</v>
      </c>
      <c r="F568" s="1">
        <v>4296</v>
      </c>
      <c r="G568" s="1">
        <v>402</v>
      </c>
      <c r="H568" s="1">
        <v>10600</v>
      </c>
    </row>
    <row r="569" spans="1:8" ht="17.25" x14ac:dyDescent="0.35">
      <c r="A569">
        <v>568</v>
      </c>
      <c r="B569" t="s">
        <v>931</v>
      </c>
      <c r="C569" t="s">
        <v>21</v>
      </c>
      <c r="D569" t="s">
        <v>479</v>
      </c>
      <c r="E569" t="s">
        <v>189</v>
      </c>
      <c r="F569" s="1">
        <v>4275</v>
      </c>
      <c r="G569" s="1">
        <v>169</v>
      </c>
      <c r="H569" s="1">
        <v>3410</v>
      </c>
    </row>
    <row r="570" spans="1:8" ht="17.25" x14ac:dyDescent="0.35">
      <c r="A570">
        <v>569</v>
      </c>
      <c r="B570" t="s">
        <v>932</v>
      </c>
      <c r="C570" t="s">
        <v>13</v>
      </c>
      <c r="D570" t="s">
        <v>14</v>
      </c>
      <c r="E570" t="s">
        <v>42</v>
      </c>
      <c r="F570" s="1">
        <v>4260</v>
      </c>
      <c r="G570" s="1">
        <v>53</v>
      </c>
      <c r="H570" s="1">
        <v>2860</v>
      </c>
    </row>
    <row r="571" spans="1:8" ht="17.25" x14ac:dyDescent="0.35">
      <c r="A571">
        <v>570</v>
      </c>
      <c r="B571" t="s">
        <v>933</v>
      </c>
      <c r="C571" t="s">
        <v>131</v>
      </c>
      <c r="D571" t="s">
        <v>691</v>
      </c>
      <c r="E571" t="s">
        <v>241</v>
      </c>
      <c r="F571" s="1">
        <v>4229</v>
      </c>
      <c r="G571" s="1">
        <v>198</v>
      </c>
      <c r="H571" s="1">
        <v>20900</v>
      </c>
    </row>
    <row r="572" spans="1:8" ht="17.25" x14ac:dyDescent="0.35">
      <c r="A572">
        <v>571</v>
      </c>
      <c r="B572" t="s">
        <v>934</v>
      </c>
      <c r="C572" t="s">
        <v>13</v>
      </c>
      <c r="D572" t="s">
        <v>14</v>
      </c>
      <c r="E572" t="s">
        <v>96</v>
      </c>
      <c r="F572" s="1">
        <v>4213</v>
      </c>
      <c r="G572" s="1">
        <v>-139</v>
      </c>
      <c r="H572" s="1">
        <v>2175</v>
      </c>
    </row>
    <row r="573" spans="1:8" ht="17.25" x14ac:dyDescent="0.35">
      <c r="A573">
        <v>572</v>
      </c>
      <c r="B573" t="s">
        <v>935</v>
      </c>
      <c r="C573" t="s">
        <v>335</v>
      </c>
      <c r="D573" t="s">
        <v>336</v>
      </c>
      <c r="E573" t="s">
        <v>936</v>
      </c>
      <c r="F573" s="1">
        <v>4208</v>
      </c>
      <c r="G573" s="1">
        <v>-79</v>
      </c>
      <c r="H573" s="1">
        <v>15900</v>
      </c>
    </row>
    <row r="574" spans="1:8" ht="17.25" x14ac:dyDescent="0.35">
      <c r="A574">
        <v>573</v>
      </c>
      <c r="B574" t="s">
        <v>937</v>
      </c>
      <c r="C574" t="s">
        <v>21</v>
      </c>
      <c r="D574" t="s">
        <v>479</v>
      </c>
      <c r="E574" t="s">
        <v>938</v>
      </c>
      <c r="F574" s="1">
        <v>4201</v>
      </c>
      <c r="G574" s="1">
        <v>1223</v>
      </c>
      <c r="H574" s="1">
        <v>5999</v>
      </c>
    </row>
    <row r="575" spans="1:8" ht="17.25" x14ac:dyDescent="0.35">
      <c r="A575">
        <v>574</v>
      </c>
      <c r="B575" t="s">
        <v>939</v>
      </c>
      <c r="C575" t="s">
        <v>115</v>
      </c>
      <c r="D575" t="s">
        <v>116</v>
      </c>
      <c r="E575" t="s">
        <v>740</v>
      </c>
      <c r="F575" s="1">
        <v>4199</v>
      </c>
      <c r="G575" s="1">
        <v>-13</v>
      </c>
      <c r="H575" s="1">
        <v>2954</v>
      </c>
    </row>
    <row r="576" spans="1:8" ht="17.25" x14ac:dyDescent="0.35">
      <c r="A576">
        <v>575</v>
      </c>
      <c r="B576" t="s">
        <v>940</v>
      </c>
      <c r="C576" t="s">
        <v>221</v>
      </c>
      <c r="D576" t="s">
        <v>221</v>
      </c>
      <c r="E576" t="s">
        <v>50</v>
      </c>
      <c r="F576" s="1">
        <v>4192</v>
      </c>
      <c r="G576" s="1">
        <v>402</v>
      </c>
      <c r="H576" s="1">
        <v>12950</v>
      </c>
    </row>
    <row r="577" spans="1:8" ht="17.25" x14ac:dyDescent="0.35">
      <c r="A577">
        <v>576</v>
      </c>
      <c r="B577" t="s">
        <v>941</v>
      </c>
      <c r="C577" t="s">
        <v>335</v>
      </c>
      <c r="D577" t="s">
        <v>495</v>
      </c>
      <c r="E577" t="s">
        <v>942</v>
      </c>
      <c r="F577" s="1">
        <v>4171</v>
      </c>
      <c r="G577" s="1">
        <v>363</v>
      </c>
      <c r="H577" s="1">
        <v>3900</v>
      </c>
    </row>
    <row r="578" spans="1:8" ht="17.25" x14ac:dyDescent="0.35">
      <c r="A578">
        <v>577</v>
      </c>
      <c r="B578" t="s">
        <v>943</v>
      </c>
      <c r="C578" t="s">
        <v>282</v>
      </c>
      <c r="D578" t="s">
        <v>285</v>
      </c>
      <c r="E578" t="s">
        <v>86</v>
      </c>
      <c r="F578" s="1">
        <v>4160</v>
      </c>
      <c r="G578" s="1">
        <v>230</v>
      </c>
      <c r="H578" s="1">
        <v>12000</v>
      </c>
    </row>
    <row r="579" spans="1:8" ht="17.25" x14ac:dyDescent="0.35">
      <c r="A579">
        <v>578</v>
      </c>
      <c r="B579" t="s">
        <v>944</v>
      </c>
      <c r="C579" t="s">
        <v>131</v>
      </c>
      <c r="D579" t="s">
        <v>710</v>
      </c>
      <c r="E579" t="s">
        <v>534</v>
      </c>
      <c r="F579" s="1">
        <v>4143</v>
      </c>
      <c r="G579" s="1">
        <v>241</v>
      </c>
      <c r="H579" s="1">
        <v>12607</v>
      </c>
    </row>
    <row r="580" spans="1:8" ht="17.25" x14ac:dyDescent="0.35">
      <c r="A580">
        <v>579</v>
      </c>
      <c r="B580" t="s">
        <v>945</v>
      </c>
      <c r="C580" t="s">
        <v>13</v>
      </c>
      <c r="D580" t="s">
        <v>231</v>
      </c>
      <c r="E580" t="s">
        <v>42</v>
      </c>
      <c r="F580" s="1">
        <v>4142</v>
      </c>
      <c r="G580" s="1">
        <v>315</v>
      </c>
      <c r="H580" s="1">
        <v>4753</v>
      </c>
    </row>
    <row r="581" spans="1:8" ht="17.25" x14ac:dyDescent="0.35">
      <c r="A581">
        <v>580</v>
      </c>
      <c r="B581" t="s">
        <v>946</v>
      </c>
      <c r="C581" t="s">
        <v>150</v>
      </c>
      <c r="D581" t="s">
        <v>150</v>
      </c>
      <c r="E581" t="s">
        <v>181</v>
      </c>
      <c r="F581" s="1">
        <v>4140</v>
      </c>
      <c r="G581" s="1">
        <v>-40</v>
      </c>
      <c r="H581" s="1">
        <v>5100</v>
      </c>
    </row>
    <row r="582" spans="1:8" ht="17.25" x14ac:dyDescent="0.35">
      <c r="A582">
        <v>581</v>
      </c>
      <c r="B582" t="s">
        <v>947</v>
      </c>
      <c r="C582" t="s">
        <v>153</v>
      </c>
      <c r="D582" t="s">
        <v>224</v>
      </c>
      <c r="E582" t="s">
        <v>225</v>
      </c>
      <c r="F582" s="1">
        <v>4113</v>
      </c>
      <c r="G582" s="1">
        <v>173</v>
      </c>
      <c r="H582" s="1">
        <v>5000</v>
      </c>
    </row>
    <row r="583" spans="1:8" ht="17.25" x14ac:dyDescent="0.35">
      <c r="A583">
        <v>582</v>
      </c>
      <c r="B583" t="s">
        <v>948</v>
      </c>
      <c r="C583" t="s">
        <v>9</v>
      </c>
      <c r="D583" t="s">
        <v>54</v>
      </c>
      <c r="E583" t="s">
        <v>50</v>
      </c>
      <c r="F583" s="1">
        <v>4105</v>
      </c>
      <c r="G583" s="1">
        <v>464</v>
      </c>
      <c r="H583" s="1">
        <v>12200</v>
      </c>
    </row>
    <row r="584" spans="1:8" ht="17.25" x14ac:dyDescent="0.35">
      <c r="A584">
        <v>583</v>
      </c>
      <c r="B584" t="s">
        <v>949</v>
      </c>
      <c r="C584" t="s">
        <v>25</v>
      </c>
      <c r="D584" t="s">
        <v>110</v>
      </c>
      <c r="E584" t="s">
        <v>950</v>
      </c>
      <c r="F584" s="1">
        <v>4104</v>
      </c>
      <c r="G584" s="1">
        <v>636</v>
      </c>
      <c r="H584" s="1">
        <v>4300</v>
      </c>
    </row>
    <row r="585" spans="1:8" ht="17.25" x14ac:dyDescent="0.35">
      <c r="A585">
        <v>584</v>
      </c>
      <c r="B585" t="s">
        <v>951</v>
      </c>
      <c r="C585" t="s">
        <v>17</v>
      </c>
      <c r="D585" t="s">
        <v>146</v>
      </c>
      <c r="E585" t="s">
        <v>138</v>
      </c>
      <c r="F585" s="1">
        <v>4081</v>
      </c>
      <c r="G585" s="1">
        <v>-144</v>
      </c>
      <c r="H585" s="1">
        <v>11656</v>
      </c>
    </row>
    <row r="586" spans="1:8" ht="17.25" x14ac:dyDescent="0.35">
      <c r="A586">
        <v>585</v>
      </c>
      <c r="B586" t="s">
        <v>952</v>
      </c>
      <c r="C586" t="s">
        <v>252</v>
      </c>
      <c r="D586" t="s">
        <v>393</v>
      </c>
      <c r="E586" t="s">
        <v>466</v>
      </c>
      <c r="F586" s="1">
        <v>4076</v>
      </c>
      <c r="G586" s="1">
        <v>195</v>
      </c>
      <c r="H586" s="1">
        <v>20800</v>
      </c>
    </row>
    <row r="587" spans="1:8" ht="17.25" x14ac:dyDescent="0.35">
      <c r="A587">
        <v>586</v>
      </c>
      <c r="B587" t="s">
        <v>953</v>
      </c>
      <c r="C587" t="s">
        <v>282</v>
      </c>
      <c r="D587" t="s">
        <v>285</v>
      </c>
      <c r="E587" t="s">
        <v>954</v>
      </c>
      <c r="F587" s="1">
        <v>4071</v>
      </c>
      <c r="G587" s="1">
        <v>239</v>
      </c>
      <c r="H587" s="1">
        <v>17696</v>
      </c>
    </row>
    <row r="588" spans="1:8" ht="17.25" x14ac:dyDescent="0.35">
      <c r="A588">
        <v>587</v>
      </c>
      <c r="B588" t="s">
        <v>955</v>
      </c>
      <c r="C588" t="s">
        <v>115</v>
      </c>
      <c r="D588" t="s">
        <v>122</v>
      </c>
      <c r="E588" t="s">
        <v>420</v>
      </c>
      <c r="F588" s="1">
        <v>4071</v>
      </c>
      <c r="G588" s="1">
        <v>654</v>
      </c>
      <c r="H588" s="1">
        <v>7660</v>
      </c>
    </row>
    <row r="589" spans="1:8" ht="17.25" x14ac:dyDescent="0.35">
      <c r="A589">
        <v>588</v>
      </c>
      <c r="B589" t="s">
        <v>956</v>
      </c>
      <c r="C589" t="s">
        <v>35</v>
      </c>
      <c r="D589" t="s">
        <v>36</v>
      </c>
      <c r="E589" t="s">
        <v>67</v>
      </c>
      <c r="F589" s="1">
        <v>4046</v>
      </c>
      <c r="G589" s="1">
        <v>-889</v>
      </c>
      <c r="H589" s="1">
        <v>13058</v>
      </c>
    </row>
    <row r="590" spans="1:8" ht="17.25" x14ac:dyDescent="0.35">
      <c r="A590">
        <v>589</v>
      </c>
      <c r="B590" t="s">
        <v>957</v>
      </c>
      <c r="C590" t="s">
        <v>17</v>
      </c>
      <c r="D590" t="s">
        <v>294</v>
      </c>
      <c r="E590" t="s">
        <v>138</v>
      </c>
      <c r="F590" s="1">
        <v>4038</v>
      </c>
      <c r="G590" s="1">
        <v>401</v>
      </c>
      <c r="H590" s="1">
        <v>11800</v>
      </c>
    </row>
    <row r="591" spans="1:8" ht="17.25" x14ac:dyDescent="0.35">
      <c r="A591">
        <v>590</v>
      </c>
      <c r="B591" t="s">
        <v>958</v>
      </c>
      <c r="C591" t="s">
        <v>21</v>
      </c>
      <c r="D591" t="s">
        <v>113</v>
      </c>
      <c r="E591" t="s">
        <v>959</v>
      </c>
      <c r="F591" s="1">
        <v>4027</v>
      </c>
      <c r="G591" s="1">
        <v>527</v>
      </c>
      <c r="H591" s="1">
        <v>3115</v>
      </c>
    </row>
    <row r="592" spans="1:8" ht="17.25" x14ac:dyDescent="0.35">
      <c r="A592">
        <v>591</v>
      </c>
      <c r="B592" t="s">
        <v>960</v>
      </c>
      <c r="C592" t="s">
        <v>35</v>
      </c>
      <c r="D592" t="s">
        <v>36</v>
      </c>
      <c r="E592" t="s">
        <v>961</v>
      </c>
      <c r="F592" s="1">
        <v>4007</v>
      </c>
      <c r="G592" s="1">
        <v>199</v>
      </c>
      <c r="H592" s="1">
        <v>10450</v>
      </c>
    </row>
    <row r="593" spans="1:8" ht="17.25" x14ac:dyDescent="0.35">
      <c r="A593">
        <v>592</v>
      </c>
      <c r="B593" t="s">
        <v>962</v>
      </c>
      <c r="C593" t="s">
        <v>9</v>
      </c>
      <c r="D593" t="s">
        <v>54</v>
      </c>
      <c r="E593" t="s">
        <v>963</v>
      </c>
      <c r="F593" s="1">
        <v>3998</v>
      </c>
      <c r="G593" s="1">
        <v>189</v>
      </c>
      <c r="H593" s="1">
        <v>19700</v>
      </c>
    </row>
    <row r="594" spans="1:8" ht="17.25" x14ac:dyDescent="0.35">
      <c r="A594">
        <v>593</v>
      </c>
      <c r="B594" t="s">
        <v>964</v>
      </c>
      <c r="C594" t="s">
        <v>17</v>
      </c>
      <c r="D594" t="s">
        <v>137</v>
      </c>
      <c r="E594" t="s">
        <v>731</v>
      </c>
      <c r="F594" s="1">
        <v>3991</v>
      </c>
      <c r="G594" s="1">
        <v>-660</v>
      </c>
      <c r="H594" s="1">
        <v>9100</v>
      </c>
    </row>
    <row r="595" spans="1:8" ht="17.25" x14ac:dyDescent="0.35">
      <c r="A595">
        <v>594</v>
      </c>
      <c r="B595" t="s">
        <v>965</v>
      </c>
      <c r="C595" t="s">
        <v>17</v>
      </c>
      <c r="D595" t="s">
        <v>294</v>
      </c>
      <c r="E595" t="s">
        <v>966</v>
      </c>
      <c r="F595" s="1">
        <v>3974</v>
      </c>
      <c r="G595" s="1">
        <v>591</v>
      </c>
      <c r="H595" s="1">
        <v>15400</v>
      </c>
    </row>
    <row r="596" spans="1:8" ht="17.25" x14ac:dyDescent="0.35">
      <c r="A596">
        <v>595</v>
      </c>
      <c r="B596" t="s">
        <v>967</v>
      </c>
      <c r="C596" t="s">
        <v>32</v>
      </c>
      <c r="D596" t="s">
        <v>32</v>
      </c>
      <c r="E596" t="s">
        <v>968</v>
      </c>
      <c r="F596" s="1">
        <v>3971</v>
      </c>
      <c r="G596" s="1">
        <v>38</v>
      </c>
      <c r="H596" s="1">
        <v>6939</v>
      </c>
    </row>
    <row r="597" spans="1:8" ht="17.25" x14ac:dyDescent="0.35">
      <c r="A597">
        <v>596</v>
      </c>
      <c r="B597" t="s">
        <v>969</v>
      </c>
      <c r="C597" t="s">
        <v>44</v>
      </c>
      <c r="D597" t="s">
        <v>45</v>
      </c>
      <c r="E597" t="s">
        <v>970</v>
      </c>
      <c r="F597" s="1">
        <v>3967</v>
      </c>
      <c r="G597" s="1">
        <v>168</v>
      </c>
      <c r="H597" s="1">
        <v>17087</v>
      </c>
    </row>
    <row r="598" spans="1:8" ht="17.25" x14ac:dyDescent="0.35">
      <c r="A598">
        <v>597</v>
      </c>
      <c r="B598" t="s">
        <v>971</v>
      </c>
      <c r="C598" t="s">
        <v>221</v>
      </c>
      <c r="D598" t="s">
        <v>221</v>
      </c>
      <c r="E598" t="s">
        <v>938</v>
      </c>
      <c r="F598" s="1">
        <v>3963</v>
      </c>
      <c r="G598" s="1">
        <v>233</v>
      </c>
      <c r="H598" s="1">
        <v>9600</v>
      </c>
    </row>
    <row r="599" spans="1:8" ht="17.25" x14ac:dyDescent="0.35">
      <c r="A599">
        <v>598</v>
      </c>
      <c r="B599" t="s">
        <v>972</v>
      </c>
      <c r="C599" t="s">
        <v>13</v>
      </c>
      <c r="D599" t="s">
        <v>219</v>
      </c>
      <c r="E599" t="s">
        <v>401</v>
      </c>
      <c r="F599" s="1">
        <v>3955</v>
      </c>
      <c r="G599" s="1">
        <v>941</v>
      </c>
      <c r="H599" s="1">
        <v>480</v>
      </c>
    </row>
    <row r="600" spans="1:8" ht="17.25" x14ac:dyDescent="0.35">
      <c r="A600">
        <v>599</v>
      </c>
      <c r="B600" t="s">
        <v>973</v>
      </c>
      <c r="C600" t="s">
        <v>153</v>
      </c>
      <c r="D600" t="s">
        <v>224</v>
      </c>
      <c r="E600" t="s">
        <v>521</v>
      </c>
      <c r="F600" s="1">
        <v>3949</v>
      </c>
      <c r="G600" s="1">
        <v>20</v>
      </c>
      <c r="H600" s="1">
        <v>2450</v>
      </c>
    </row>
    <row r="601" spans="1:8" ht="17.25" x14ac:dyDescent="0.35">
      <c r="A601">
        <v>600</v>
      </c>
      <c r="B601" t="s">
        <v>974</v>
      </c>
      <c r="C601" t="s">
        <v>13</v>
      </c>
      <c r="D601" t="s">
        <v>231</v>
      </c>
      <c r="E601" t="s">
        <v>86</v>
      </c>
      <c r="F601" s="1">
        <v>3941</v>
      </c>
      <c r="G601" s="1">
        <v>353</v>
      </c>
      <c r="H601" s="1">
        <v>5203</v>
      </c>
    </row>
    <row r="602" spans="1:8" ht="17.25" x14ac:dyDescent="0.35">
      <c r="A602">
        <v>601</v>
      </c>
      <c r="B602" t="s">
        <v>975</v>
      </c>
      <c r="C602" t="s">
        <v>98</v>
      </c>
      <c r="D602" t="s">
        <v>487</v>
      </c>
      <c r="E602" t="s">
        <v>976</v>
      </c>
      <c r="F602" s="1">
        <v>3937</v>
      </c>
      <c r="G602" s="1">
        <v>325</v>
      </c>
      <c r="H602" s="1">
        <v>20000</v>
      </c>
    </row>
    <row r="603" spans="1:8" ht="17.25" x14ac:dyDescent="0.35">
      <c r="A603">
        <v>602</v>
      </c>
      <c r="B603" t="s">
        <v>977</v>
      </c>
      <c r="C603" t="s">
        <v>9</v>
      </c>
      <c r="D603" t="s">
        <v>54</v>
      </c>
      <c r="E603" t="s">
        <v>978</v>
      </c>
      <c r="F603" s="1">
        <v>3924</v>
      </c>
      <c r="G603" s="1">
        <v>320</v>
      </c>
      <c r="H603" s="1">
        <v>18100</v>
      </c>
    </row>
    <row r="604" spans="1:8" ht="17.25" x14ac:dyDescent="0.35">
      <c r="A604">
        <v>603</v>
      </c>
      <c r="B604" t="s">
        <v>979</v>
      </c>
      <c r="C604" t="s">
        <v>21</v>
      </c>
      <c r="D604" t="s">
        <v>74</v>
      </c>
      <c r="E604" t="s">
        <v>50</v>
      </c>
      <c r="F604" s="1">
        <v>3906</v>
      </c>
      <c r="G604" s="1">
        <v>1057</v>
      </c>
      <c r="H604" s="1">
        <v>4900</v>
      </c>
    </row>
    <row r="605" spans="1:8" ht="17.25" x14ac:dyDescent="0.35">
      <c r="A605">
        <v>604</v>
      </c>
      <c r="B605" t="s">
        <v>980</v>
      </c>
      <c r="C605" t="s">
        <v>35</v>
      </c>
      <c r="D605" t="s">
        <v>36</v>
      </c>
      <c r="E605" t="s">
        <v>37</v>
      </c>
      <c r="F605" s="1">
        <v>3903</v>
      </c>
      <c r="G605" s="1">
        <v>236</v>
      </c>
      <c r="H605" s="1">
        <v>13054</v>
      </c>
    </row>
    <row r="606" spans="1:8" ht="17.25" x14ac:dyDescent="0.35">
      <c r="A606">
        <v>605</v>
      </c>
      <c r="B606" t="s">
        <v>981</v>
      </c>
      <c r="C606" t="s">
        <v>76</v>
      </c>
      <c r="D606" t="s">
        <v>77</v>
      </c>
      <c r="E606" t="s">
        <v>966</v>
      </c>
      <c r="F606" s="1">
        <v>3889</v>
      </c>
      <c r="G606" s="1">
        <v>239</v>
      </c>
      <c r="H606" s="1">
        <v>15153</v>
      </c>
    </row>
    <row r="607" spans="1:8" ht="17.25" x14ac:dyDescent="0.35">
      <c r="A607">
        <v>606</v>
      </c>
      <c r="B607" t="s">
        <v>982</v>
      </c>
      <c r="C607" t="s">
        <v>13</v>
      </c>
      <c r="D607" t="s">
        <v>13</v>
      </c>
      <c r="E607" t="s">
        <v>89</v>
      </c>
      <c r="F607" s="1">
        <v>3870</v>
      </c>
      <c r="G607" s="1">
        <v>50</v>
      </c>
      <c r="H607" s="1">
        <v>2591</v>
      </c>
    </row>
    <row r="608" spans="1:8" ht="17.25" x14ac:dyDescent="0.35">
      <c r="A608">
        <v>607</v>
      </c>
      <c r="B608" t="s">
        <v>983</v>
      </c>
      <c r="C608" t="s">
        <v>9</v>
      </c>
      <c r="D608" t="s">
        <v>54</v>
      </c>
      <c r="E608" t="s">
        <v>984</v>
      </c>
      <c r="F608" s="1">
        <v>3869</v>
      </c>
      <c r="G608" s="1">
        <v>516</v>
      </c>
      <c r="H608" s="1">
        <v>20746</v>
      </c>
    </row>
    <row r="609" spans="1:8" ht="17.25" x14ac:dyDescent="0.35">
      <c r="A609">
        <v>608</v>
      </c>
      <c r="B609" t="s">
        <v>985</v>
      </c>
      <c r="C609" t="s">
        <v>115</v>
      </c>
      <c r="D609" t="s">
        <v>122</v>
      </c>
      <c r="E609" t="s">
        <v>401</v>
      </c>
      <c r="F609" s="1">
        <v>3866</v>
      </c>
      <c r="G609" s="1">
        <v>168</v>
      </c>
      <c r="H609" s="1">
        <v>5300</v>
      </c>
    </row>
    <row r="610" spans="1:8" ht="17.25" x14ac:dyDescent="0.35">
      <c r="A610">
        <v>609</v>
      </c>
      <c r="B610" t="s">
        <v>986</v>
      </c>
      <c r="C610" t="s">
        <v>21</v>
      </c>
      <c r="D610" t="s">
        <v>493</v>
      </c>
      <c r="E610" t="s">
        <v>813</v>
      </c>
      <c r="F610" s="1">
        <v>3860</v>
      </c>
      <c r="G610" s="1">
        <v>884</v>
      </c>
      <c r="H610" s="1">
        <v>462</v>
      </c>
    </row>
    <row r="611" spans="1:8" ht="17.25" x14ac:dyDescent="0.35">
      <c r="A611">
        <v>610</v>
      </c>
      <c r="B611" t="s">
        <v>987</v>
      </c>
      <c r="C611" t="s">
        <v>9</v>
      </c>
      <c r="D611" t="s">
        <v>54</v>
      </c>
      <c r="E611" t="s">
        <v>988</v>
      </c>
      <c r="F611" s="1">
        <v>3834</v>
      </c>
      <c r="G611" s="1">
        <v>235</v>
      </c>
      <c r="H611" s="1">
        <v>21033</v>
      </c>
    </row>
    <row r="612" spans="1:8" ht="17.25" x14ac:dyDescent="0.35">
      <c r="A612">
        <v>611</v>
      </c>
      <c r="B612" t="s">
        <v>989</v>
      </c>
      <c r="C612" t="s">
        <v>21</v>
      </c>
      <c r="D612" t="s">
        <v>113</v>
      </c>
      <c r="E612" t="s">
        <v>990</v>
      </c>
      <c r="F612" s="1">
        <v>3812</v>
      </c>
      <c r="G612" s="1">
        <v>271</v>
      </c>
      <c r="H612" s="1">
        <v>3500</v>
      </c>
    </row>
    <row r="613" spans="1:8" ht="17.25" x14ac:dyDescent="0.35">
      <c r="A613">
        <v>612</v>
      </c>
      <c r="B613" t="s">
        <v>991</v>
      </c>
      <c r="C613" t="s">
        <v>17</v>
      </c>
      <c r="D613" t="s">
        <v>146</v>
      </c>
      <c r="E613" t="s">
        <v>992</v>
      </c>
      <c r="F613" s="1">
        <v>3808</v>
      </c>
      <c r="G613" s="1">
        <v>-71</v>
      </c>
      <c r="H613" s="1">
        <v>23000</v>
      </c>
    </row>
    <row r="614" spans="1:8" ht="17.25" x14ac:dyDescent="0.35">
      <c r="A614">
        <v>613</v>
      </c>
      <c r="B614" t="s">
        <v>993</v>
      </c>
      <c r="C614" t="s">
        <v>150</v>
      </c>
      <c r="D614" t="s">
        <v>150</v>
      </c>
      <c r="E614" t="s">
        <v>86</v>
      </c>
      <c r="F614" s="1">
        <v>3787</v>
      </c>
      <c r="G614" s="1">
        <v>-816</v>
      </c>
      <c r="H614" s="1">
        <v>5830</v>
      </c>
    </row>
    <row r="615" spans="1:8" ht="17.25" x14ac:dyDescent="0.35">
      <c r="A615">
        <v>614</v>
      </c>
      <c r="B615" t="s">
        <v>994</v>
      </c>
      <c r="C615" t="s">
        <v>32</v>
      </c>
      <c r="D615" t="s">
        <v>32</v>
      </c>
      <c r="E615" t="s">
        <v>995</v>
      </c>
      <c r="F615" s="1">
        <v>3779</v>
      </c>
      <c r="G615" s="1">
        <v>59</v>
      </c>
      <c r="H615" s="1">
        <v>17125</v>
      </c>
    </row>
    <row r="616" spans="1:8" ht="17.25" x14ac:dyDescent="0.35">
      <c r="A616">
        <v>615</v>
      </c>
      <c r="B616" t="s">
        <v>996</v>
      </c>
      <c r="C616" t="s">
        <v>115</v>
      </c>
      <c r="D616" t="s">
        <v>122</v>
      </c>
      <c r="E616" t="s">
        <v>997</v>
      </c>
      <c r="F616" s="1">
        <v>3779</v>
      </c>
      <c r="G616" s="1">
        <v>189</v>
      </c>
      <c r="H616" s="1">
        <v>10900</v>
      </c>
    </row>
    <row r="617" spans="1:8" ht="17.25" x14ac:dyDescent="0.35">
      <c r="A617">
        <v>616</v>
      </c>
      <c r="B617" t="s">
        <v>998</v>
      </c>
      <c r="C617" t="s">
        <v>282</v>
      </c>
      <c r="D617" t="s">
        <v>812</v>
      </c>
      <c r="E617" t="s">
        <v>78</v>
      </c>
      <c r="F617" s="1">
        <v>3776</v>
      </c>
      <c r="G617" s="1">
        <v>991</v>
      </c>
      <c r="H617" s="1">
        <v>8900</v>
      </c>
    </row>
    <row r="618" spans="1:8" ht="17.25" x14ac:dyDescent="0.35">
      <c r="A618">
        <v>617</v>
      </c>
      <c r="B618" t="s">
        <v>999</v>
      </c>
      <c r="C618" t="s">
        <v>282</v>
      </c>
      <c r="D618" t="s">
        <v>285</v>
      </c>
      <c r="E618" t="s">
        <v>547</v>
      </c>
      <c r="F618" s="1">
        <v>3764</v>
      </c>
      <c r="G618" s="1">
        <v>172</v>
      </c>
      <c r="H618" s="1">
        <v>9600</v>
      </c>
    </row>
    <row r="619" spans="1:8" ht="17.25" x14ac:dyDescent="0.35">
      <c r="A619">
        <v>618</v>
      </c>
      <c r="B619" t="s">
        <v>1000</v>
      </c>
      <c r="C619" t="s">
        <v>25</v>
      </c>
      <c r="D619" t="s">
        <v>167</v>
      </c>
      <c r="E619" t="s">
        <v>1001</v>
      </c>
      <c r="F619" s="1">
        <v>3743</v>
      </c>
      <c r="G619" s="1">
        <v>131</v>
      </c>
      <c r="H619" s="1">
        <v>34700</v>
      </c>
    </row>
    <row r="620" spans="1:8" ht="17.25" x14ac:dyDescent="0.35">
      <c r="A620">
        <v>619</v>
      </c>
      <c r="B620" t="s">
        <v>1002</v>
      </c>
      <c r="C620" t="s">
        <v>41</v>
      </c>
      <c r="D620" t="s">
        <v>41</v>
      </c>
      <c r="E620" t="s">
        <v>89</v>
      </c>
      <c r="F620" s="1">
        <v>3729</v>
      </c>
      <c r="G620" s="1">
        <v>1521</v>
      </c>
      <c r="H620" s="1">
        <v>2700</v>
      </c>
    </row>
    <row r="621" spans="1:8" ht="17.25" x14ac:dyDescent="0.35">
      <c r="A621">
        <v>620</v>
      </c>
      <c r="B621" t="s">
        <v>1003</v>
      </c>
      <c r="C621" t="s">
        <v>282</v>
      </c>
      <c r="D621" t="s">
        <v>283</v>
      </c>
      <c r="E621" t="s">
        <v>331</v>
      </c>
      <c r="F621" s="1">
        <v>3720</v>
      </c>
      <c r="G621" s="1">
        <v>-378</v>
      </c>
      <c r="H621" s="1">
        <v>9200</v>
      </c>
    </row>
    <row r="622" spans="1:8" ht="17.25" x14ac:dyDescent="0.35">
      <c r="A622">
        <v>621</v>
      </c>
      <c r="B622" t="s">
        <v>1004</v>
      </c>
      <c r="C622" t="s">
        <v>9</v>
      </c>
      <c r="D622" t="s">
        <v>54</v>
      </c>
      <c r="E622" t="s">
        <v>342</v>
      </c>
      <c r="F622" s="1">
        <v>3691</v>
      </c>
      <c r="G622" s="1">
        <v>169</v>
      </c>
      <c r="H622" s="1">
        <v>6600</v>
      </c>
    </row>
    <row r="623" spans="1:8" ht="17.25" x14ac:dyDescent="0.35">
      <c r="A623">
        <v>622</v>
      </c>
      <c r="B623" t="s">
        <v>1005</v>
      </c>
      <c r="C623" t="s">
        <v>44</v>
      </c>
      <c r="D623" t="s">
        <v>45</v>
      </c>
      <c r="E623" t="s">
        <v>1006</v>
      </c>
      <c r="F623" s="1">
        <v>3653</v>
      </c>
      <c r="G623" s="1">
        <v>340</v>
      </c>
      <c r="H623" s="1">
        <v>12700</v>
      </c>
    </row>
    <row r="624" spans="1:8" ht="17.25" x14ac:dyDescent="0.35">
      <c r="A624">
        <v>623</v>
      </c>
      <c r="B624" t="s">
        <v>1007</v>
      </c>
      <c r="C624" t="s">
        <v>44</v>
      </c>
      <c r="D624" t="s">
        <v>192</v>
      </c>
      <c r="E624" t="s">
        <v>434</v>
      </c>
      <c r="F624" s="1">
        <v>3652</v>
      </c>
      <c r="G624" s="1">
        <v>-137</v>
      </c>
      <c r="H624" s="1">
        <v>7000</v>
      </c>
    </row>
    <row r="625" spans="1:8" ht="17.25" x14ac:dyDescent="0.35">
      <c r="A625">
        <v>624</v>
      </c>
      <c r="B625" t="s">
        <v>1008</v>
      </c>
      <c r="C625" t="s">
        <v>150</v>
      </c>
      <c r="D625" t="s">
        <v>150</v>
      </c>
      <c r="E625" t="s">
        <v>1009</v>
      </c>
      <c r="F625" s="1">
        <v>3651</v>
      </c>
      <c r="G625" s="1">
        <v>335</v>
      </c>
      <c r="H625" s="1">
        <v>6963</v>
      </c>
    </row>
    <row r="626" spans="1:8" ht="17.25" x14ac:dyDescent="0.35">
      <c r="A626">
        <v>625</v>
      </c>
      <c r="B626" t="s">
        <v>1010</v>
      </c>
      <c r="C626" t="s">
        <v>282</v>
      </c>
      <c r="D626" t="s">
        <v>660</v>
      </c>
      <c r="E626" t="s">
        <v>1011</v>
      </c>
      <c r="F626" s="1">
        <v>3645</v>
      </c>
      <c r="G626" s="1">
        <v>-257</v>
      </c>
      <c r="H626" s="1">
        <v>8000</v>
      </c>
    </row>
    <row r="627" spans="1:8" ht="17.25" x14ac:dyDescent="0.35">
      <c r="A627">
        <v>626</v>
      </c>
      <c r="B627" t="s">
        <v>1012</v>
      </c>
      <c r="C627" t="s">
        <v>315</v>
      </c>
      <c r="D627" t="s">
        <v>399</v>
      </c>
      <c r="E627" t="s">
        <v>386</v>
      </c>
      <c r="F627" s="1">
        <v>3645</v>
      </c>
      <c r="G627" s="1">
        <v>385</v>
      </c>
      <c r="H627" s="1">
        <v>16300</v>
      </c>
    </row>
    <row r="628" spans="1:8" ht="17.25" x14ac:dyDescent="0.35">
      <c r="A628">
        <v>627</v>
      </c>
      <c r="B628" t="s">
        <v>1013</v>
      </c>
      <c r="C628" t="s">
        <v>153</v>
      </c>
      <c r="D628" t="s">
        <v>224</v>
      </c>
      <c r="E628" t="s">
        <v>364</v>
      </c>
      <c r="F628" s="1">
        <v>3633</v>
      </c>
      <c r="G628" s="1">
        <v>52</v>
      </c>
      <c r="H628" s="1">
        <v>5830</v>
      </c>
    </row>
    <row r="629" spans="1:8" ht="17.25" x14ac:dyDescent="0.35">
      <c r="A629">
        <v>628</v>
      </c>
      <c r="B629" t="s">
        <v>1014</v>
      </c>
      <c r="C629" t="s">
        <v>282</v>
      </c>
      <c r="D629" t="s">
        <v>285</v>
      </c>
      <c r="E629" t="s">
        <v>1015</v>
      </c>
      <c r="F629" s="1">
        <v>3617</v>
      </c>
      <c r="G629" s="1">
        <v>72</v>
      </c>
      <c r="H629" s="1">
        <v>13150</v>
      </c>
    </row>
    <row r="630" spans="1:8" ht="17.25" x14ac:dyDescent="0.35">
      <c r="A630">
        <v>629</v>
      </c>
      <c r="B630" t="s">
        <v>1016</v>
      </c>
      <c r="C630" t="s">
        <v>25</v>
      </c>
      <c r="D630" t="s">
        <v>71</v>
      </c>
      <c r="E630" t="s">
        <v>1017</v>
      </c>
      <c r="F630" s="1">
        <v>3597</v>
      </c>
      <c r="G630" s="1">
        <v>83</v>
      </c>
      <c r="H630" s="1">
        <v>18800</v>
      </c>
    </row>
    <row r="631" spans="1:8" ht="17.25" x14ac:dyDescent="0.35">
      <c r="A631">
        <v>630</v>
      </c>
      <c r="B631" t="s">
        <v>1018</v>
      </c>
      <c r="C631" t="s">
        <v>44</v>
      </c>
      <c r="D631" t="s">
        <v>45</v>
      </c>
      <c r="E631" t="s">
        <v>1019</v>
      </c>
      <c r="F631" s="1">
        <v>3593</v>
      </c>
      <c r="G631" s="1">
        <v>479</v>
      </c>
      <c r="H631" s="1">
        <v>11500</v>
      </c>
    </row>
    <row r="632" spans="1:8" ht="17.25" x14ac:dyDescent="0.35">
      <c r="A632">
        <v>631</v>
      </c>
      <c r="B632" t="s">
        <v>1020</v>
      </c>
      <c r="C632" t="s">
        <v>32</v>
      </c>
      <c r="D632" t="s">
        <v>32</v>
      </c>
      <c r="E632" t="s">
        <v>241</v>
      </c>
      <c r="F632" s="1">
        <v>3593</v>
      </c>
      <c r="G632" s="1">
        <v>129</v>
      </c>
      <c r="H632" s="1">
        <v>20000</v>
      </c>
    </row>
    <row r="633" spans="1:8" ht="17.25" x14ac:dyDescent="0.35">
      <c r="A633">
        <v>632</v>
      </c>
      <c r="B633" t="s">
        <v>1021</v>
      </c>
      <c r="C633" t="s">
        <v>17</v>
      </c>
      <c r="D633" t="s">
        <v>294</v>
      </c>
      <c r="E633" t="s">
        <v>1022</v>
      </c>
      <c r="F633" s="1">
        <v>3582</v>
      </c>
      <c r="G633" s="1">
        <v>696</v>
      </c>
      <c r="H633" s="1">
        <v>10806</v>
      </c>
    </row>
    <row r="634" spans="1:8" ht="17.25" x14ac:dyDescent="0.35">
      <c r="A634">
        <v>633</v>
      </c>
      <c r="B634" t="s">
        <v>1023</v>
      </c>
      <c r="C634" t="s">
        <v>13</v>
      </c>
      <c r="D634" t="s">
        <v>13</v>
      </c>
      <c r="E634" t="s">
        <v>804</v>
      </c>
      <c r="F634" s="1">
        <v>3579</v>
      </c>
      <c r="G634" s="1">
        <v>546</v>
      </c>
      <c r="H634" s="1">
        <v>6350</v>
      </c>
    </row>
    <row r="635" spans="1:8" ht="17.25" x14ac:dyDescent="0.35">
      <c r="A635">
        <v>634</v>
      </c>
      <c r="B635" t="s">
        <v>1024</v>
      </c>
      <c r="C635" t="s">
        <v>17</v>
      </c>
      <c r="D635" t="s">
        <v>18</v>
      </c>
      <c r="E635" t="s">
        <v>547</v>
      </c>
      <c r="F635" s="1">
        <v>3578</v>
      </c>
      <c r="G635" s="1">
        <v>408</v>
      </c>
      <c r="H635" s="1">
        <v>14800</v>
      </c>
    </row>
    <row r="636" spans="1:8" ht="17.25" x14ac:dyDescent="0.35">
      <c r="A636">
        <v>635</v>
      </c>
      <c r="B636" t="s">
        <v>1025</v>
      </c>
      <c r="C636" t="s">
        <v>315</v>
      </c>
      <c r="D636" t="s">
        <v>399</v>
      </c>
      <c r="E636" t="s">
        <v>395</v>
      </c>
      <c r="F636" s="1">
        <v>3574</v>
      </c>
      <c r="G636" s="1">
        <v>296</v>
      </c>
      <c r="H636" s="1">
        <v>17100</v>
      </c>
    </row>
    <row r="637" spans="1:8" ht="17.25" x14ac:dyDescent="0.35">
      <c r="A637">
        <v>636</v>
      </c>
      <c r="B637" t="s">
        <v>1026</v>
      </c>
      <c r="C637" t="s">
        <v>115</v>
      </c>
      <c r="D637" t="s">
        <v>165</v>
      </c>
      <c r="E637" t="s">
        <v>401</v>
      </c>
      <c r="F637" s="1">
        <v>3568</v>
      </c>
      <c r="G637" s="1">
        <v>360</v>
      </c>
      <c r="H637" s="1">
        <v>17500</v>
      </c>
    </row>
    <row r="638" spans="1:8" ht="17.25" x14ac:dyDescent="0.35">
      <c r="A638">
        <v>637</v>
      </c>
      <c r="B638" t="s">
        <v>1027</v>
      </c>
      <c r="C638" t="s">
        <v>282</v>
      </c>
      <c r="D638" t="s">
        <v>812</v>
      </c>
      <c r="E638" t="s">
        <v>42</v>
      </c>
      <c r="F638" s="1">
        <v>3564</v>
      </c>
      <c r="G638" s="1">
        <v>-23</v>
      </c>
      <c r="H638" s="1">
        <v>14000</v>
      </c>
    </row>
    <row r="639" spans="1:8" ht="17.25" x14ac:dyDescent="0.35">
      <c r="A639">
        <v>638</v>
      </c>
      <c r="B639" t="s">
        <v>1028</v>
      </c>
      <c r="C639" t="s">
        <v>17</v>
      </c>
      <c r="D639" t="s">
        <v>261</v>
      </c>
      <c r="E639" t="s">
        <v>1029</v>
      </c>
      <c r="F639" s="1">
        <v>3551</v>
      </c>
      <c r="G639" s="1">
        <v>-40</v>
      </c>
      <c r="H639" s="1">
        <v>14000</v>
      </c>
    </row>
    <row r="640" spans="1:8" ht="17.25" x14ac:dyDescent="0.35">
      <c r="A640">
        <v>639</v>
      </c>
      <c r="B640" t="s">
        <v>1030</v>
      </c>
      <c r="C640" t="s">
        <v>282</v>
      </c>
      <c r="D640" t="s">
        <v>812</v>
      </c>
      <c r="E640" t="s">
        <v>83</v>
      </c>
      <c r="F640" s="1">
        <v>3543</v>
      </c>
      <c r="G640" s="1">
        <v>320</v>
      </c>
      <c r="H640" s="1">
        <v>12000</v>
      </c>
    </row>
    <row r="641" spans="1:8" ht="17.25" x14ac:dyDescent="0.35">
      <c r="A641">
        <v>640</v>
      </c>
      <c r="B641" t="s">
        <v>1031</v>
      </c>
      <c r="C641" t="s">
        <v>335</v>
      </c>
      <c r="D641" t="s">
        <v>495</v>
      </c>
      <c r="E641" t="s">
        <v>171</v>
      </c>
      <c r="F641" s="1">
        <v>3540</v>
      </c>
      <c r="G641" s="1">
        <v>214</v>
      </c>
      <c r="H641" s="1">
        <v>2855</v>
      </c>
    </row>
    <row r="642" spans="1:8" ht="17.25" x14ac:dyDescent="0.35">
      <c r="A642">
        <v>641</v>
      </c>
      <c r="B642" t="s">
        <v>1032</v>
      </c>
      <c r="C642" t="s">
        <v>282</v>
      </c>
      <c r="D642" t="s">
        <v>812</v>
      </c>
      <c r="E642" t="s">
        <v>1033</v>
      </c>
      <c r="F642" s="1">
        <v>3540</v>
      </c>
      <c r="G642" s="1">
        <v>289</v>
      </c>
      <c r="H642" s="1">
        <v>7299</v>
      </c>
    </row>
    <row r="643" spans="1:8" ht="17.25" x14ac:dyDescent="0.35">
      <c r="A643">
        <v>642</v>
      </c>
      <c r="B643" t="s">
        <v>1034</v>
      </c>
      <c r="C643" t="s">
        <v>131</v>
      </c>
      <c r="D643" t="s">
        <v>415</v>
      </c>
      <c r="E643" t="s">
        <v>254</v>
      </c>
      <c r="F643" s="1">
        <v>3526</v>
      </c>
      <c r="G643" s="1">
        <v>71</v>
      </c>
      <c r="H643" s="1">
        <v>2633</v>
      </c>
    </row>
    <row r="644" spans="1:8" ht="17.25" x14ac:dyDescent="0.35">
      <c r="A644">
        <v>643</v>
      </c>
      <c r="B644" t="s">
        <v>1035</v>
      </c>
      <c r="C644" t="s">
        <v>9</v>
      </c>
      <c r="D644" t="s">
        <v>216</v>
      </c>
      <c r="E644" t="s">
        <v>331</v>
      </c>
      <c r="F644" s="1">
        <v>3522</v>
      </c>
      <c r="G644" s="1">
        <v>218</v>
      </c>
      <c r="H644" s="1">
        <v>22150</v>
      </c>
    </row>
    <row r="645" spans="1:8" ht="17.25" x14ac:dyDescent="0.35">
      <c r="A645">
        <v>644</v>
      </c>
      <c r="B645" t="s">
        <v>1036</v>
      </c>
      <c r="C645" t="s">
        <v>9</v>
      </c>
      <c r="D645" t="s">
        <v>216</v>
      </c>
      <c r="E645" t="s">
        <v>1037</v>
      </c>
      <c r="F645" s="1">
        <v>3519</v>
      </c>
      <c r="G645" s="1">
        <v>36</v>
      </c>
      <c r="H645" s="1">
        <v>28500</v>
      </c>
    </row>
    <row r="646" spans="1:8" ht="17.25" x14ac:dyDescent="0.35">
      <c r="A646">
        <v>645</v>
      </c>
      <c r="B646" t="s">
        <v>1038</v>
      </c>
      <c r="C646" t="s">
        <v>44</v>
      </c>
      <c r="D646" t="s">
        <v>192</v>
      </c>
      <c r="E646" t="s">
        <v>1039</v>
      </c>
      <c r="F646" s="1">
        <v>3510</v>
      </c>
      <c r="G646" s="1">
        <v>143</v>
      </c>
      <c r="H646" s="1">
        <v>26200</v>
      </c>
    </row>
    <row r="647" spans="1:8" ht="17.25" x14ac:dyDescent="0.35">
      <c r="A647">
        <v>646</v>
      </c>
      <c r="B647" t="s">
        <v>1040</v>
      </c>
      <c r="C647" t="s">
        <v>21</v>
      </c>
      <c r="D647" t="s">
        <v>101</v>
      </c>
      <c r="E647" t="s">
        <v>102</v>
      </c>
      <c r="F647" s="1">
        <v>3506</v>
      </c>
      <c r="G647" s="1">
        <v>173</v>
      </c>
      <c r="H647" s="1">
        <v>3343</v>
      </c>
    </row>
    <row r="648" spans="1:8" ht="17.25" x14ac:dyDescent="0.35">
      <c r="A648">
        <v>647</v>
      </c>
      <c r="B648" t="s">
        <v>1041</v>
      </c>
      <c r="C648" t="s">
        <v>35</v>
      </c>
      <c r="D648" t="s">
        <v>36</v>
      </c>
      <c r="E648" t="s">
        <v>795</v>
      </c>
      <c r="F648" s="1">
        <v>3506</v>
      </c>
      <c r="G648" s="1">
        <v>64</v>
      </c>
      <c r="H648" s="1">
        <v>8400</v>
      </c>
    </row>
    <row r="649" spans="1:8" ht="17.25" x14ac:dyDescent="0.35">
      <c r="A649">
        <v>648</v>
      </c>
      <c r="B649" t="s">
        <v>1042</v>
      </c>
      <c r="C649" t="s">
        <v>9</v>
      </c>
      <c r="D649" t="s">
        <v>216</v>
      </c>
      <c r="E649" t="s">
        <v>89</v>
      </c>
      <c r="F649" s="1">
        <v>3496</v>
      </c>
      <c r="G649" s="1">
        <v>-1027</v>
      </c>
      <c r="H649" s="1">
        <v>21250</v>
      </c>
    </row>
    <row r="650" spans="1:8" ht="17.25" x14ac:dyDescent="0.35">
      <c r="A650">
        <v>649</v>
      </c>
      <c r="B650" t="s">
        <v>1043</v>
      </c>
      <c r="C650" t="s">
        <v>17</v>
      </c>
      <c r="D650" t="s">
        <v>137</v>
      </c>
      <c r="E650" t="s">
        <v>241</v>
      </c>
      <c r="F650" s="1">
        <v>3496</v>
      </c>
      <c r="G650" s="1">
        <v>206</v>
      </c>
      <c r="H650" s="1">
        <v>24500</v>
      </c>
    </row>
    <row r="651" spans="1:8" ht="17.25" x14ac:dyDescent="0.35">
      <c r="A651">
        <v>650</v>
      </c>
      <c r="B651" t="s">
        <v>1044</v>
      </c>
      <c r="C651" t="s">
        <v>13</v>
      </c>
      <c r="D651" t="s">
        <v>231</v>
      </c>
      <c r="E651" t="s">
        <v>241</v>
      </c>
      <c r="F651" s="1">
        <v>3495</v>
      </c>
      <c r="G651" s="1">
        <v>437</v>
      </c>
      <c r="H651" s="1">
        <v>6407</v>
      </c>
    </row>
    <row r="652" spans="1:8" ht="17.25" x14ac:dyDescent="0.35">
      <c r="A652">
        <v>651</v>
      </c>
      <c r="B652" t="s">
        <v>1045</v>
      </c>
      <c r="C652" t="s">
        <v>21</v>
      </c>
      <c r="D652" t="s">
        <v>493</v>
      </c>
      <c r="E652" t="s">
        <v>78</v>
      </c>
      <c r="F652" s="1">
        <v>3486</v>
      </c>
      <c r="G652" s="1">
        <v>418</v>
      </c>
      <c r="H652" s="1">
        <v>466</v>
      </c>
    </row>
    <row r="653" spans="1:8" ht="17.25" x14ac:dyDescent="0.35">
      <c r="A653">
        <v>652</v>
      </c>
      <c r="B653" t="s">
        <v>1046</v>
      </c>
      <c r="C653" t="s">
        <v>315</v>
      </c>
      <c r="D653" t="s">
        <v>408</v>
      </c>
      <c r="E653" t="s">
        <v>50</v>
      </c>
      <c r="F653" s="1">
        <v>3485</v>
      </c>
      <c r="G653" s="1">
        <v>941</v>
      </c>
      <c r="H653" s="1">
        <v>10400</v>
      </c>
    </row>
    <row r="654" spans="1:8" ht="17.25" x14ac:dyDescent="0.35">
      <c r="A654">
        <v>653</v>
      </c>
      <c r="B654" t="s">
        <v>1047</v>
      </c>
      <c r="C654" t="s">
        <v>153</v>
      </c>
      <c r="D654" t="s">
        <v>224</v>
      </c>
      <c r="E654" t="s">
        <v>1048</v>
      </c>
      <c r="F654" s="1">
        <v>3482</v>
      </c>
      <c r="G654" s="1">
        <v>78</v>
      </c>
      <c r="H654" s="1">
        <v>590</v>
      </c>
    </row>
    <row r="655" spans="1:8" ht="17.25" x14ac:dyDescent="0.35">
      <c r="A655">
        <v>654</v>
      </c>
      <c r="B655" t="s">
        <v>1049</v>
      </c>
      <c r="C655" t="s">
        <v>150</v>
      </c>
      <c r="D655" t="s">
        <v>150</v>
      </c>
      <c r="E655" t="s">
        <v>106</v>
      </c>
      <c r="F655" s="1">
        <v>3471</v>
      </c>
      <c r="G655" s="1">
        <v>489</v>
      </c>
      <c r="H655" s="1">
        <v>6000</v>
      </c>
    </row>
    <row r="656" spans="1:8" ht="17.25" x14ac:dyDescent="0.35">
      <c r="A656">
        <v>655</v>
      </c>
      <c r="B656" t="s">
        <v>1050</v>
      </c>
      <c r="C656" t="s">
        <v>44</v>
      </c>
      <c r="D656" t="s">
        <v>45</v>
      </c>
      <c r="E656" t="s">
        <v>1051</v>
      </c>
      <c r="F656" s="1">
        <v>3467</v>
      </c>
      <c r="G656" s="1">
        <v>187</v>
      </c>
      <c r="H656" s="1">
        <v>10000</v>
      </c>
    </row>
    <row r="657" spans="1:8" ht="17.25" x14ac:dyDescent="0.35">
      <c r="A657">
        <v>656</v>
      </c>
      <c r="B657" t="s">
        <v>1052</v>
      </c>
      <c r="C657" t="s">
        <v>13</v>
      </c>
      <c r="D657" t="s">
        <v>173</v>
      </c>
      <c r="E657" t="s">
        <v>89</v>
      </c>
      <c r="F657" s="1">
        <v>3453</v>
      </c>
      <c r="G657" s="1">
        <v>437</v>
      </c>
      <c r="H657" s="1">
        <v>1765</v>
      </c>
    </row>
    <row r="658" spans="1:8" ht="17.25" x14ac:dyDescent="0.35">
      <c r="A658">
        <v>657</v>
      </c>
      <c r="B658" t="s">
        <v>1053</v>
      </c>
      <c r="C658" t="s">
        <v>9</v>
      </c>
      <c r="D658" t="s">
        <v>216</v>
      </c>
      <c r="E658" t="s">
        <v>106</v>
      </c>
      <c r="F658" s="1">
        <v>3445</v>
      </c>
      <c r="G658" s="1">
        <v>225</v>
      </c>
      <c r="H658" s="1">
        <v>16680</v>
      </c>
    </row>
    <row r="659" spans="1:8" ht="17.25" x14ac:dyDescent="0.35">
      <c r="A659">
        <v>658</v>
      </c>
      <c r="B659" t="s">
        <v>1054</v>
      </c>
      <c r="C659" t="s">
        <v>44</v>
      </c>
      <c r="D659" t="s">
        <v>158</v>
      </c>
      <c r="E659" t="s">
        <v>1055</v>
      </c>
      <c r="F659" s="1">
        <v>3436</v>
      </c>
      <c r="G659" s="1">
        <v>64</v>
      </c>
      <c r="H659" s="1">
        <v>11430</v>
      </c>
    </row>
    <row r="660" spans="1:8" ht="17.25" x14ac:dyDescent="0.35">
      <c r="A660">
        <v>659</v>
      </c>
      <c r="B660" t="s">
        <v>1056</v>
      </c>
      <c r="C660" t="s">
        <v>17</v>
      </c>
      <c r="D660" t="s">
        <v>137</v>
      </c>
      <c r="E660" t="s">
        <v>1057</v>
      </c>
      <c r="F660" s="1">
        <v>3435</v>
      </c>
      <c r="G660" s="1">
        <v>697</v>
      </c>
      <c r="H660" s="1">
        <v>9700</v>
      </c>
    </row>
    <row r="661" spans="1:8" ht="17.25" x14ac:dyDescent="0.35">
      <c r="A661">
        <v>660</v>
      </c>
      <c r="B661" t="s">
        <v>1058</v>
      </c>
      <c r="C661" t="s">
        <v>282</v>
      </c>
      <c r="D661" t="s">
        <v>812</v>
      </c>
      <c r="E661" t="s">
        <v>774</v>
      </c>
      <c r="F661" s="1">
        <v>3422</v>
      </c>
      <c r="G661" s="1">
        <v>221</v>
      </c>
      <c r="H661" s="1">
        <v>7187</v>
      </c>
    </row>
    <row r="662" spans="1:8" ht="17.25" x14ac:dyDescent="0.35">
      <c r="A662">
        <v>661</v>
      </c>
      <c r="B662" t="s">
        <v>1059</v>
      </c>
      <c r="C662" t="s">
        <v>25</v>
      </c>
      <c r="D662" t="s">
        <v>305</v>
      </c>
      <c r="E662" t="s">
        <v>1060</v>
      </c>
      <c r="F662" s="1">
        <v>3416</v>
      </c>
      <c r="G662" s="1">
        <v>135</v>
      </c>
      <c r="H662" s="1">
        <v>15000</v>
      </c>
    </row>
    <row r="663" spans="1:8" ht="17.25" x14ac:dyDescent="0.35">
      <c r="A663">
        <v>662</v>
      </c>
      <c r="B663" t="s">
        <v>1061</v>
      </c>
      <c r="C663" t="s">
        <v>13</v>
      </c>
      <c r="D663" t="s">
        <v>219</v>
      </c>
      <c r="E663" t="s">
        <v>491</v>
      </c>
      <c r="F663" s="1">
        <v>3415</v>
      </c>
      <c r="G663" s="1">
        <v>-2271</v>
      </c>
      <c r="H663" s="1">
        <v>1258</v>
      </c>
    </row>
    <row r="664" spans="1:8" ht="17.25" x14ac:dyDescent="0.35">
      <c r="A664">
        <v>663</v>
      </c>
      <c r="B664" t="s">
        <v>1062</v>
      </c>
      <c r="C664" t="s">
        <v>21</v>
      </c>
      <c r="D664" t="s">
        <v>479</v>
      </c>
      <c r="E664" t="s">
        <v>50</v>
      </c>
      <c r="F664" s="1">
        <v>3403</v>
      </c>
      <c r="G664" s="1">
        <v>428</v>
      </c>
      <c r="H664" s="1">
        <v>3824</v>
      </c>
    </row>
    <row r="665" spans="1:8" ht="17.25" x14ac:dyDescent="0.35">
      <c r="A665">
        <v>664</v>
      </c>
      <c r="B665" t="s">
        <v>1063</v>
      </c>
      <c r="C665" t="s">
        <v>115</v>
      </c>
      <c r="D665" t="s">
        <v>116</v>
      </c>
      <c r="E665" t="s">
        <v>15</v>
      </c>
      <c r="F665" s="1">
        <v>3397</v>
      </c>
      <c r="G665" s="1">
        <v>79</v>
      </c>
      <c r="H665" s="1">
        <v>10000</v>
      </c>
    </row>
    <row r="666" spans="1:8" ht="17.25" x14ac:dyDescent="0.35">
      <c r="A666">
        <v>665</v>
      </c>
      <c r="B666" t="s">
        <v>1064</v>
      </c>
      <c r="C666" t="s">
        <v>98</v>
      </c>
      <c r="D666" t="s">
        <v>99</v>
      </c>
      <c r="E666" t="s">
        <v>1065</v>
      </c>
      <c r="F666" s="1">
        <v>3395</v>
      </c>
      <c r="G666" s="1">
        <v>410</v>
      </c>
      <c r="H666" s="1">
        <v>4406</v>
      </c>
    </row>
    <row r="667" spans="1:8" ht="17.25" x14ac:dyDescent="0.35">
      <c r="A667">
        <v>666</v>
      </c>
      <c r="B667" t="s">
        <v>1066</v>
      </c>
      <c r="C667" t="s">
        <v>44</v>
      </c>
      <c r="D667" t="s">
        <v>192</v>
      </c>
      <c r="E667" t="s">
        <v>1067</v>
      </c>
      <c r="F667" s="1">
        <v>3390</v>
      </c>
      <c r="G667" s="1">
        <v>277</v>
      </c>
      <c r="H667" s="1">
        <v>16200</v>
      </c>
    </row>
    <row r="668" spans="1:8" ht="17.25" x14ac:dyDescent="0.35">
      <c r="A668">
        <v>667</v>
      </c>
      <c r="B668" t="s">
        <v>1068</v>
      </c>
      <c r="C668" t="s">
        <v>282</v>
      </c>
      <c r="D668" t="s">
        <v>283</v>
      </c>
      <c r="E668" t="s">
        <v>181</v>
      </c>
      <c r="F668" s="1">
        <v>3384</v>
      </c>
      <c r="G668" s="1">
        <v>77</v>
      </c>
      <c r="H668" s="1">
        <v>10500</v>
      </c>
    </row>
    <row r="669" spans="1:8" ht="17.25" x14ac:dyDescent="0.35">
      <c r="A669">
        <v>668</v>
      </c>
      <c r="B669" t="s">
        <v>1069</v>
      </c>
      <c r="C669" t="s">
        <v>150</v>
      </c>
      <c r="D669" t="s">
        <v>150</v>
      </c>
      <c r="E669" t="s">
        <v>1070</v>
      </c>
      <c r="F669" s="1">
        <v>3378</v>
      </c>
      <c r="G669" s="1">
        <v>145</v>
      </c>
      <c r="H669" s="1">
        <v>6900</v>
      </c>
    </row>
    <row r="670" spans="1:8" ht="17.25" x14ac:dyDescent="0.35">
      <c r="A670">
        <v>669</v>
      </c>
      <c r="B670" t="s">
        <v>1071</v>
      </c>
      <c r="C670" t="s">
        <v>32</v>
      </c>
      <c r="D670" t="s">
        <v>32</v>
      </c>
      <c r="E670" t="s">
        <v>1072</v>
      </c>
      <c r="F670" s="1">
        <v>3367</v>
      </c>
      <c r="G670" s="1">
        <v>26</v>
      </c>
      <c r="H670" s="1">
        <v>1616</v>
      </c>
    </row>
    <row r="671" spans="1:8" ht="17.25" x14ac:dyDescent="0.35">
      <c r="A671">
        <v>670</v>
      </c>
      <c r="B671" t="s">
        <v>1073</v>
      </c>
      <c r="C671" t="s">
        <v>35</v>
      </c>
      <c r="D671" t="s">
        <v>36</v>
      </c>
      <c r="E671" t="s">
        <v>1074</v>
      </c>
      <c r="F671" s="1">
        <v>3343</v>
      </c>
      <c r="G671" s="1">
        <v>112</v>
      </c>
      <c r="H671" s="1">
        <v>29000</v>
      </c>
    </row>
    <row r="672" spans="1:8" ht="17.25" x14ac:dyDescent="0.35">
      <c r="A672">
        <v>671</v>
      </c>
      <c r="B672" t="s">
        <v>1075</v>
      </c>
      <c r="C672" t="s">
        <v>21</v>
      </c>
      <c r="D672" t="s">
        <v>479</v>
      </c>
      <c r="E672" t="s">
        <v>78</v>
      </c>
      <c r="F672" s="1">
        <v>3327</v>
      </c>
      <c r="G672" s="1">
        <v>1247</v>
      </c>
      <c r="H672" s="1">
        <v>2530</v>
      </c>
    </row>
    <row r="673" spans="1:8" ht="17.25" x14ac:dyDescent="0.35">
      <c r="A673">
        <v>672</v>
      </c>
      <c r="B673" t="s">
        <v>1076</v>
      </c>
      <c r="C673" t="s">
        <v>131</v>
      </c>
      <c r="D673" t="s">
        <v>691</v>
      </c>
      <c r="E673" t="s">
        <v>462</v>
      </c>
      <c r="F673" s="1">
        <v>3321</v>
      </c>
      <c r="G673" s="1">
        <v>148</v>
      </c>
      <c r="H673" s="1">
        <v>1223</v>
      </c>
    </row>
    <row r="674" spans="1:8" ht="17.25" x14ac:dyDescent="0.35">
      <c r="A674">
        <v>673</v>
      </c>
      <c r="B674" t="s">
        <v>1077</v>
      </c>
      <c r="C674" t="s">
        <v>17</v>
      </c>
      <c r="D674" t="s">
        <v>91</v>
      </c>
      <c r="E674" t="s">
        <v>386</v>
      </c>
      <c r="F674" s="1">
        <v>3314</v>
      </c>
      <c r="G674" s="1">
        <v>126</v>
      </c>
      <c r="H674" s="1">
        <v>16600</v>
      </c>
    </row>
    <row r="675" spans="1:8" ht="17.25" x14ac:dyDescent="0.35">
      <c r="A675">
        <v>674</v>
      </c>
      <c r="B675" t="s">
        <v>1078</v>
      </c>
      <c r="C675" t="s">
        <v>44</v>
      </c>
      <c r="D675" t="s">
        <v>45</v>
      </c>
      <c r="E675" t="s">
        <v>1079</v>
      </c>
      <c r="F675" s="1">
        <v>3308</v>
      </c>
      <c r="G675" s="1">
        <v>399</v>
      </c>
      <c r="H675" s="1">
        <v>13000</v>
      </c>
    </row>
    <row r="676" spans="1:8" ht="17.25" x14ac:dyDescent="0.35">
      <c r="A676">
        <v>675</v>
      </c>
      <c r="B676" t="s">
        <v>1080</v>
      </c>
      <c r="C676" t="s">
        <v>9</v>
      </c>
      <c r="D676" t="s">
        <v>54</v>
      </c>
      <c r="E676" t="s">
        <v>444</v>
      </c>
      <c r="F676" s="1">
        <v>3278</v>
      </c>
      <c r="G676" s="1">
        <v>-867</v>
      </c>
      <c r="H676" s="1">
        <v>24300</v>
      </c>
    </row>
    <row r="677" spans="1:8" ht="17.25" x14ac:dyDescent="0.35">
      <c r="A677">
        <v>676</v>
      </c>
      <c r="B677" t="s">
        <v>1081</v>
      </c>
      <c r="C677" t="s">
        <v>17</v>
      </c>
      <c r="D677" t="s">
        <v>146</v>
      </c>
      <c r="E677" t="s">
        <v>301</v>
      </c>
      <c r="F677" s="1">
        <v>3276</v>
      </c>
      <c r="G677" s="1">
        <v>319</v>
      </c>
      <c r="H677" s="1">
        <v>9500</v>
      </c>
    </row>
    <row r="678" spans="1:8" ht="17.25" x14ac:dyDescent="0.35">
      <c r="A678">
        <v>677</v>
      </c>
      <c r="B678" t="s">
        <v>1082</v>
      </c>
      <c r="C678" t="s">
        <v>315</v>
      </c>
      <c r="D678" t="s">
        <v>435</v>
      </c>
      <c r="E678" t="s">
        <v>1083</v>
      </c>
      <c r="F678" s="1">
        <v>3275</v>
      </c>
      <c r="G678" s="1">
        <v>44</v>
      </c>
      <c r="H678" s="1">
        <v>12900</v>
      </c>
    </row>
    <row r="679" spans="1:8" ht="17.25" x14ac:dyDescent="0.35">
      <c r="A679">
        <v>678</v>
      </c>
      <c r="B679" t="s">
        <v>1084</v>
      </c>
      <c r="C679" t="s">
        <v>17</v>
      </c>
      <c r="D679" t="s">
        <v>137</v>
      </c>
      <c r="E679" t="s">
        <v>1085</v>
      </c>
      <c r="F679" s="1">
        <v>3258</v>
      </c>
      <c r="G679" s="1">
        <v>798</v>
      </c>
      <c r="H679" s="1">
        <v>6700</v>
      </c>
    </row>
    <row r="680" spans="1:8" ht="17.25" x14ac:dyDescent="0.35">
      <c r="A680">
        <v>679</v>
      </c>
      <c r="B680" t="s">
        <v>1086</v>
      </c>
      <c r="C680" t="s">
        <v>13</v>
      </c>
      <c r="D680" t="s">
        <v>231</v>
      </c>
      <c r="E680" t="s">
        <v>600</v>
      </c>
      <c r="F680" s="1">
        <v>3254</v>
      </c>
      <c r="G680" s="1">
        <v>378</v>
      </c>
      <c r="H680" s="1">
        <v>4070</v>
      </c>
    </row>
    <row r="681" spans="1:8" ht="17.25" x14ac:dyDescent="0.35">
      <c r="A681">
        <v>680</v>
      </c>
      <c r="B681" t="s">
        <v>1087</v>
      </c>
      <c r="C681" t="s">
        <v>21</v>
      </c>
      <c r="D681" t="s">
        <v>479</v>
      </c>
      <c r="E681" t="s">
        <v>23</v>
      </c>
      <c r="F681" s="1">
        <v>3253</v>
      </c>
      <c r="G681" s="1">
        <v>813</v>
      </c>
      <c r="H681" s="1">
        <v>5690</v>
      </c>
    </row>
    <row r="682" spans="1:8" ht="17.25" x14ac:dyDescent="0.35">
      <c r="A682">
        <v>681</v>
      </c>
      <c r="B682" t="s">
        <v>1088</v>
      </c>
      <c r="C682" t="s">
        <v>142</v>
      </c>
      <c r="D682" t="s">
        <v>143</v>
      </c>
      <c r="E682" t="s">
        <v>120</v>
      </c>
      <c r="F682" s="1">
        <v>3242</v>
      </c>
      <c r="G682" s="1">
        <v>460</v>
      </c>
      <c r="H682" s="1">
        <v>10020</v>
      </c>
    </row>
    <row r="683" spans="1:8" ht="17.25" x14ac:dyDescent="0.35">
      <c r="A683">
        <v>682</v>
      </c>
      <c r="B683" t="s">
        <v>1089</v>
      </c>
      <c r="C683" t="s">
        <v>17</v>
      </c>
      <c r="D683" t="s">
        <v>62</v>
      </c>
      <c r="E683" t="s">
        <v>50</v>
      </c>
      <c r="F683" s="1">
        <v>3231</v>
      </c>
      <c r="G683" s="1">
        <v>120</v>
      </c>
      <c r="H683" s="1">
        <v>5000</v>
      </c>
    </row>
    <row r="684" spans="1:8" ht="17.25" x14ac:dyDescent="0.35">
      <c r="A684">
        <v>683</v>
      </c>
      <c r="B684" t="s">
        <v>1090</v>
      </c>
      <c r="C684" t="s">
        <v>221</v>
      </c>
      <c r="D684" t="s">
        <v>221</v>
      </c>
      <c r="E684" t="s">
        <v>1051</v>
      </c>
      <c r="F684" s="1">
        <v>3229</v>
      </c>
      <c r="G684" s="1">
        <v>221</v>
      </c>
      <c r="H684" s="1">
        <v>15100</v>
      </c>
    </row>
    <row r="685" spans="1:8" ht="17.25" x14ac:dyDescent="0.35">
      <c r="A685">
        <v>684</v>
      </c>
      <c r="B685" t="s">
        <v>1091</v>
      </c>
      <c r="C685" t="s">
        <v>25</v>
      </c>
      <c r="D685" t="s">
        <v>110</v>
      </c>
      <c r="E685" t="s">
        <v>1092</v>
      </c>
      <c r="F685" s="1">
        <v>3226</v>
      </c>
      <c r="G685" s="1">
        <v>74</v>
      </c>
      <c r="H685" s="1">
        <v>13100</v>
      </c>
    </row>
    <row r="686" spans="1:8" ht="17.25" x14ac:dyDescent="0.35">
      <c r="A686">
        <v>685</v>
      </c>
      <c r="B686" t="s">
        <v>1093</v>
      </c>
      <c r="C686" t="s">
        <v>153</v>
      </c>
      <c r="D686" t="s">
        <v>170</v>
      </c>
      <c r="E686" t="s">
        <v>1094</v>
      </c>
      <c r="F686" s="1">
        <v>3219</v>
      </c>
      <c r="G686" s="1">
        <v>65</v>
      </c>
      <c r="H686" s="1">
        <v>2000</v>
      </c>
    </row>
    <row r="687" spans="1:8" ht="17.25" x14ac:dyDescent="0.35">
      <c r="A687">
        <v>686</v>
      </c>
      <c r="B687" t="s">
        <v>1095</v>
      </c>
      <c r="C687" t="s">
        <v>115</v>
      </c>
      <c r="D687" t="s">
        <v>122</v>
      </c>
      <c r="E687" t="s">
        <v>254</v>
      </c>
      <c r="F687" s="1">
        <v>3206</v>
      </c>
      <c r="G687" s="1">
        <v>115</v>
      </c>
      <c r="H687" s="1">
        <v>5880</v>
      </c>
    </row>
    <row r="688" spans="1:8" ht="17.25" x14ac:dyDescent="0.35">
      <c r="A688">
        <v>687</v>
      </c>
      <c r="B688" t="s">
        <v>1096</v>
      </c>
      <c r="C688" t="s">
        <v>282</v>
      </c>
      <c r="D688" t="s">
        <v>283</v>
      </c>
      <c r="E688" t="s">
        <v>439</v>
      </c>
      <c r="F688" s="1">
        <v>3206</v>
      </c>
      <c r="G688" s="1">
        <v>49</v>
      </c>
      <c r="H688" s="1">
        <v>5200</v>
      </c>
    </row>
    <row r="689" spans="1:8" ht="17.25" x14ac:dyDescent="0.35">
      <c r="A689">
        <v>688</v>
      </c>
      <c r="B689" t="s">
        <v>1097</v>
      </c>
      <c r="C689" t="s">
        <v>17</v>
      </c>
      <c r="D689" t="s">
        <v>62</v>
      </c>
      <c r="E689" t="s">
        <v>78</v>
      </c>
      <c r="F689" s="1">
        <v>3187</v>
      </c>
      <c r="G689" s="1">
        <v>21</v>
      </c>
      <c r="H689" s="1">
        <v>9872</v>
      </c>
    </row>
    <row r="690" spans="1:8" ht="17.25" x14ac:dyDescent="0.35">
      <c r="A690">
        <v>689</v>
      </c>
      <c r="B690" t="s">
        <v>1098</v>
      </c>
      <c r="C690" t="s">
        <v>9</v>
      </c>
      <c r="D690" t="s">
        <v>54</v>
      </c>
      <c r="E690" t="s">
        <v>86</v>
      </c>
      <c r="F690" s="1">
        <v>3180</v>
      </c>
      <c r="G690" s="1">
        <v>136</v>
      </c>
      <c r="H690" s="1">
        <v>12700</v>
      </c>
    </row>
    <row r="691" spans="1:8" ht="17.25" x14ac:dyDescent="0.35">
      <c r="A691">
        <v>690</v>
      </c>
      <c r="B691" t="s">
        <v>1099</v>
      </c>
      <c r="C691" t="s">
        <v>44</v>
      </c>
      <c r="D691" t="s">
        <v>158</v>
      </c>
      <c r="E691" t="s">
        <v>183</v>
      </c>
      <c r="F691" s="1">
        <v>3172</v>
      </c>
      <c r="G691" s="1">
        <v>-1178</v>
      </c>
      <c r="H691" s="1">
        <v>13400</v>
      </c>
    </row>
    <row r="692" spans="1:8" ht="17.25" x14ac:dyDescent="0.35">
      <c r="A692">
        <v>691</v>
      </c>
      <c r="B692" t="s">
        <v>1100</v>
      </c>
      <c r="C692" t="s">
        <v>282</v>
      </c>
      <c r="D692" t="s">
        <v>283</v>
      </c>
      <c r="E692" t="s">
        <v>78</v>
      </c>
      <c r="F692" s="1">
        <v>3167</v>
      </c>
      <c r="G692" s="1">
        <v>-1</v>
      </c>
      <c r="H692" s="1">
        <v>3600</v>
      </c>
    </row>
    <row r="693" spans="1:8" ht="17.25" x14ac:dyDescent="0.35">
      <c r="A693">
        <v>692</v>
      </c>
      <c r="B693" t="s">
        <v>1101</v>
      </c>
      <c r="C693" t="s">
        <v>13</v>
      </c>
      <c r="D693" t="s">
        <v>267</v>
      </c>
      <c r="E693" t="s">
        <v>355</v>
      </c>
      <c r="F693" s="1">
        <v>3165</v>
      </c>
      <c r="G693" s="1">
        <v>422</v>
      </c>
      <c r="H693" s="1">
        <v>6733</v>
      </c>
    </row>
    <row r="694" spans="1:8" ht="17.25" x14ac:dyDescent="0.35">
      <c r="A694">
        <v>693</v>
      </c>
      <c r="B694" t="s">
        <v>1102</v>
      </c>
      <c r="C694" t="s">
        <v>25</v>
      </c>
      <c r="D694" t="s">
        <v>167</v>
      </c>
      <c r="E694" t="s">
        <v>774</v>
      </c>
      <c r="F694" s="1">
        <v>3163</v>
      </c>
      <c r="G694" s="1">
        <v>183</v>
      </c>
      <c r="H694" s="1">
        <v>27929</v>
      </c>
    </row>
    <row r="695" spans="1:8" ht="17.25" x14ac:dyDescent="0.35">
      <c r="A695">
        <v>694</v>
      </c>
      <c r="B695" t="s">
        <v>1103</v>
      </c>
      <c r="C695" t="s">
        <v>315</v>
      </c>
      <c r="D695" t="s">
        <v>408</v>
      </c>
      <c r="E695" t="s">
        <v>1104</v>
      </c>
      <c r="F695" s="1">
        <v>3160</v>
      </c>
      <c r="G695" s="1">
        <v>148</v>
      </c>
      <c r="H695" s="1">
        <v>3313</v>
      </c>
    </row>
    <row r="696" spans="1:8" ht="17.25" x14ac:dyDescent="0.35">
      <c r="A696">
        <v>695</v>
      </c>
      <c r="B696" t="s">
        <v>1105</v>
      </c>
      <c r="C696" t="s">
        <v>221</v>
      </c>
      <c r="D696" t="s">
        <v>221</v>
      </c>
      <c r="E696" t="s">
        <v>1106</v>
      </c>
      <c r="F696" s="1">
        <v>3159</v>
      </c>
      <c r="G696" s="1">
        <v>232</v>
      </c>
      <c r="H696" s="1">
        <v>6400</v>
      </c>
    </row>
    <row r="697" spans="1:8" ht="17.25" x14ac:dyDescent="0.35">
      <c r="A697">
        <v>696</v>
      </c>
      <c r="B697" t="s">
        <v>1107</v>
      </c>
      <c r="C697" t="s">
        <v>13</v>
      </c>
      <c r="D697" t="s">
        <v>227</v>
      </c>
      <c r="E697" t="s">
        <v>1108</v>
      </c>
      <c r="F697" s="1">
        <v>3159</v>
      </c>
      <c r="G697" s="1">
        <v>476</v>
      </c>
      <c r="H697" s="1">
        <v>6700</v>
      </c>
    </row>
    <row r="698" spans="1:8" ht="17.25" x14ac:dyDescent="0.35">
      <c r="A698">
        <v>697</v>
      </c>
      <c r="B698" t="s">
        <v>1109</v>
      </c>
      <c r="C698" t="s">
        <v>25</v>
      </c>
      <c r="D698" t="s">
        <v>167</v>
      </c>
      <c r="E698" t="s">
        <v>280</v>
      </c>
      <c r="F698" s="1">
        <v>3158</v>
      </c>
      <c r="G698" s="1">
        <v>-8</v>
      </c>
      <c r="H698" s="1">
        <v>11950</v>
      </c>
    </row>
    <row r="699" spans="1:8" ht="17.25" x14ac:dyDescent="0.35">
      <c r="A699">
        <v>698</v>
      </c>
      <c r="B699" t="s">
        <v>1110</v>
      </c>
      <c r="C699" t="s">
        <v>21</v>
      </c>
      <c r="D699" t="s">
        <v>74</v>
      </c>
      <c r="E699" t="s">
        <v>181</v>
      </c>
      <c r="F699" s="1">
        <v>3153</v>
      </c>
      <c r="G699" s="1">
        <v>693</v>
      </c>
      <c r="H699" s="1">
        <v>12243</v>
      </c>
    </row>
    <row r="700" spans="1:8" ht="17.25" x14ac:dyDescent="0.35">
      <c r="A700">
        <v>699</v>
      </c>
      <c r="B700" t="s">
        <v>1111</v>
      </c>
      <c r="C700" t="s">
        <v>98</v>
      </c>
      <c r="D700" t="s">
        <v>487</v>
      </c>
      <c r="E700" t="s">
        <v>1029</v>
      </c>
      <c r="F700" s="1">
        <v>3151</v>
      </c>
      <c r="G700" s="1">
        <v>74</v>
      </c>
      <c r="H700" s="1">
        <v>7200</v>
      </c>
    </row>
    <row r="701" spans="1:8" ht="17.25" x14ac:dyDescent="0.35">
      <c r="A701">
        <v>700</v>
      </c>
      <c r="B701" t="s">
        <v>1112</v>
      </c>
      <c r="C701" t="s">
        <v>17</v>
      </c>
      <c r="D701" t="s">
        <v>146</v>
      </c>
      <c r="E701" t="s">
        <v>382</v>
      </c>
      <c r="F701" s="1">
        <v>3144</v>
      </c>
      <c r="G701" s="1">
        <v>153</v>
      </c>
      <c r="H701" s="1">
        <v>4400</v>
      </c>
    </row>
    <row r="702" spans="1:8" ht="17.25" x14ac:dyDescent="0.35">
      <c r="A702">
        <v>701</v>
      </c>
      <c r="B702" t="s">
        <v>1113</v>
      </c>
      <c r="C702" t="s">
        <v>21</v>
      </c>
      <c r="D702" t="s">
        <v>113</v>
      </c>
      <c r="E702" t="s">
        <v>600</v>
      </c>
      <c r="F702" s="1">
        <v>3135</v>
      </c>
      <c r="G702" s="1">
        <v>217</v>
      </c>
      <c r="H702" s="1">
        <v>3722</v>
      </c>
    </row>
    <row r="703" spans="1:8" ht="17.25" x14ac:dyDescent="0.35">
      <c r="A703">
        <v>702</v>
      </c>
      <c r="B703" t="s">
        <v>1114</v>
      </c>
      <c r="C703" t="s">
        <v>115</v>
      </c>
      <c r="D703" t="s">
        <v>165</v>
      </c>
      <c r="E703" t="s">
        <v>140</v>
      </c>
      <c r="F703" s="1">
        <v>3134</v>
      </c>
      <c r="G703" s="1">
        <v>684</v>
      </c>
      <c r="H703" s="1">
        <v>4300</v>
      </c>
    </row>
    <row r="704" spans="1:8" ht="17.25" x14ac:dyDescent="0.35">
      <c r="A704">
        <v>703</v>
      </c>
      <c r="B704" t="s">
        <v>1115</v>
      </c>
      <c r="C704" t="s">
        <v>13</v>
      </c>
      <c r="D704" t="s">
        <v>219</v>
      </c>
      <c r="E704" t="s">
        <v>89</v>
      </c>
      <c r="F704" s="1">
        <v>3133</v>
      </c>
      <c r="G704" s="1">
        <v>-2441</v>
      </c>
      <c r="H704" s="1">
        <v>2395</v>
      </c>
    </row>
    <row r="705" spans="1:8" ht="17.25" x14ac:dyDescent="0.35">
      <c r="A705">
        <v>703</v>
      </c>
      <c r="B705" t="s">
        <v>1115</v>
      </c>
      <c r="C705" t="s">
        <v>13</v>
      </c>
      <c r="D705" t="s">
        <v>219</v>
      </c>
      <c r="E705" t="s">
        <v>89</v>
      </c>
      <c r="F705" s="1">
        <v>3133</v>
      </c>
      <c r="G705" s="1">
        <v>-2441</v>
      </c>
      <c r="H705" s="1">
        <v>2395</v>
      </c>
    </row>
    <row r="706" spans="1:8" ht="17.25" x14ac:dyDescent="0.35">
      <c r="A706">
        <v>705</v>
      </c>
      <c r="B706" t="s">
        <v>1116</v>
      </c>
      <c r="C706" t="s">
        <v>142</v>
      </c>
      <c r="D706" t="s">
        <v>143</v>
      </c>
      <c r="E706" t="s">
        <v>1017</v>
      </c>
      <c r="F706" s="1">
        <v>3127</v>
      </c>
      <c r="G706" s="1">
        <v>153</v>
      </c>
      <c r="H706" s="1">
        <v>25915</v>
      </c>
    </row>
    <row r="707" spans="1:8" ht="17.25" x14ac:dyDescent="0.35">
      <c r="A707">
        <v>706</v>
      </c>
      <c r="B707" t="s">
        <v>1117</v>
      </c>
      <c r="C707" t="s">
        <v>13</v>
      </c>
      <c r="D707" t="s">
        <v>219</v>
      </c>
      <c r="E707" t="s">
        <v>1118</v>
      </c>
      <c r="F707" s="1">
        <v>3114</v>
      </c>
      <c r="G707" s="1">
        <v>-375</v>
      </c>
      <c r="H707" s="1">
        <v>3114</v>
      </c>
    </row>
    <row r="708" spans="1:8" ht="17.25" x14ac:dyDescent="0.35">
      <c r="A708">
        <v>707</v>
      </c>
      <c r="B708" t="s">
        <v>1119</v>
      </c>
      <c r="C708" t="s">
        <v>142</v>
      </c>
      <c r="D708" t="s">
        <v>485</v>
      </c>
      <c r="E708" t="s">
        <v>50</v>
      </c>
      <c r="F708" s="1">
        <v>3103</v>
      </c>
      <c r="G708" s="1">
        <v>-881</v>
      </c>
      <c r="H708" s="1">
        <v>7200</v>
      </c>
    </row>
    <row r="709" spans="1:8" ht="17.25" x14ac:dyDescent="0.35">
      <c r="A709">
        <v>708</v>
      </c>
      <c r="B709" t="s">
        <v>1120</v>
      </c>
      <c r="C709" t="s">
        <v>25</v>
      </c>
      <c r="D709" t="s">
        <v>305</v>
      </c>
      <c r="E709" t="s">
        <v>67</v>
      </c>
      <c r="F709" s="1">
        <v>3099</v>
      </c>
      <c r="G709" s="1">
        <v>412</v>
      </c>
      <c r="H709" s="1">
        <v>7300</v>
      </c>
    </row>
    <row r="710" spans="1:8" ht="17.25" x14ac:dyDescent="0.35">
      <c r="A710">
        <v>709</v>
      </c>
      <c r="B710" t="s">
        <v>1121</v>
      </c>
      <c r="C710" t="s">
        <v>131</v>
      </c>
      <c r="D710" t="s">
        <v>177</v>
      </c>
      <c r="E710" t="s">
        <v>1122</v>
      </c>
      <c r="F710" s="1">
        <v>3096</v>
      </c>
      <c r="G710" s="1">
        <v>118</v>
      </c>
      <c r="H710" s="1">
        <v>18300</v>
      </c>
    </row>
    <row r="711" spans="1:8" ht="17.25" x14ac:dyDescent="0.35">
      <c r="A711">
        <v>710</v>
      </c>
      <c r="B711" t="s">
        <v>1123</v>
      </c>
      <c r="C711" t="s">
        <v>21</v>
      </c>
      <c r="D711" t="s">
        <v>479</v>
      </c>
      <c r="E711" t="s">
        <v>50</v>
      </c>
      <c r="F711" s="1">
        <v>3095</v>
      </c>
      <c r="G711" s="1">
        <v>127</v>
      </c>
      <c r="H711" s="1">
        <v>7841</v>
      </c>
    </row>
    <row r="712" spans="1:8" ht="17.25" x14ac:dyDescent="0.35">
      <c r="A712">
        <v>711</v>
      </c>
      <c r="B712" t="s">
        <v>1124</v>
      </c>
      <c r="C712" t="s">
        <v>13</v>
      </c>
      <c r="D712" t="s">
        <v>231</v>
      </c>
      <c r="E712" t="s">
        <v>321</v>
      </c>
      <c r="F712" s="1">
        <v>3093</v>
      </c>
      <c r="G712" s="1">
        <v>241</v>
      </c>
      <c r="H712" s="1">
        <v>2800</v>
      </c>
    </row>
    <row r="713" spans="1:8" ht="17.25" x14ac:dyDescent="0.35">
      <c r="A713">
        <v>712</v>
      </c>
      <c r="B713" t="s">
        <v>1125</v>
      </c>
      <c r="C713" t="s">
        <v>21</v>
      </c>
      <c r="D713" t="s">
        <v>57</v>
      </c>
      <c r="E713" t="s">
        <v>1126</v>
      </c>
      <c r="F713" s="1">
        <v>3079</v>
      </c>
      <c r="G713" s="1">
        <v>474</v>
      </c>
      <c r="H713" s="1">
        <v>50400</v>
      </c>
    </row>
    <row r="714" spans="1:8" ht="17.25" x14ac:dyDescent="0.35">
      <c r="A714">
        <v>713</v>
      </c>
      <c r="B714" t="s">
        <v>1127</v>
      </c>
      <c r="C714" t="s">
        <v>131</v>
      </c>
      <c r="D714" t="s">
        <v>691</v>
      </c>
      <c r="E714" t="s">
        <v>1128</v>
      </c>
      <c r="F714" s="1">
        <v>3075</v>
      </c>
      <c r="G714" s="1">
        <v>357</v>
      </c>
      <c r="H714" s="1">
        <v>18415</v>
      </c>
    </row>
    <row r="715" spans="1:8" ht="17.25" x14ac:dyDescent="0.35">
      <c r="A715">
        <v>714</v>
      </c>
      <c r="B715" t="s">
        <v>1129</v>
      </c>
      <c r="C715" t="s">
        <v>315</v>
      </c>
      <c r="D715" t="s">
        <v>399</v>
      </c>
      <c r="E715" t="s">
        <v>325</v>
      </c>
      <c r="F715" s="1">
        <v>3066</v>
      </c>
      <c r="G715" s="1">
        <v>-12</v>
      </c>
      <c r="H715" s="1">
        <v>59900</v>
      </c>
    </row>
    <row r="716" spans="1:8" ht="17.25" x14ac:dyDescent="0.35">
      <c r="A716">
        <v>715</v>
      </c>
      <c r="B716" t="s">
        <v>1130</v>
      </c>
      <c r="C716" t="s">
        <v>13</v>
      </c>
      <c r="D716" t="s">
        <v>267</v>
      </c>
      <c r="E716" t="s">
        <v>89</v>
      </c>
      <c r="F716" s="1">
        <v>3063</v>
      </c>
      <c r="G716" s="1">
        <v>231</v>
      </c>
      <c r="H716" s="1">
        <v>11000</v>
      </c>
    </row>
    <row r="717" spans="1:8" ht="17.25" x14ac:dyDescent="0.35">
      <c r="A717">
        <v>716</v>
      </c>
      <c r="B717" t="s">
        <v>1131</v>
      </c>
      <c r="C717" t="s">
        <v>98</v>
      </c>
      <c r="D717" t="s">
        <v>487</v>
      </c>
      <c r="E717" t="s">
        <v>1132</v>
      </c>
      <c r="F717" s="1">
        <v>3060</v>
      </c>
      <c r="G717" s="1">
        <v>86</v>
      </c>
      <c r="H717" s="1">
        <v>11550</v>
      </c>
    </row>
    <row r="718" spans="1:8" ht="17.25" x14ac:dyDescent="0.35">
      <c r="A718">
        <v>717</v>
      </c>
      <c r="B718" t="s">
        <v>1133</v>
      </c>
      <c r="C718" t="s">
        <v>150</v>
      </c>
      <c r="D718" t="s">
        <v>150</v>
      </c>
      <c r="E718" t="s">
        <v>1134</v>
      </c>
      <c r="F718" s="1">
        <v>3052</v>
      </c>
      <c r="G718" s="1">
        <v>144</v>
      </c>
      <c r="H718" s="1">
        <v>6700</v>
      </c>
    </row>
    <row r="719" spans="1:8" ht="17.25" x14ac:dyDescent="0.35">
      <c r="A719">
        <v>718</v>
      </c>
      <c r="B719" t="s">
        <v>1135</v>
      </c>
      <c r="C719" t="s">
        <v>35</v>
      </c>
      <c r="D719" t="s">
        <v>36</v>
      </c>
      <c r="E719" t="s">
        <v>333</v>
      </c>
      <c r="F719" s="1">
        <v>3047</v>
      </c>
      <c r="G719" s="1">
        <v>125</v>
      </c>
      <c r="H719" s="1">
        <v>12000</v>
      </c>
    </row>
    <row r="720" spans="1:8" ht="17.25" x14ac:dyDescent="0.35">
      <c r="A720">
        <v>719</v>
      </c>
      <c r="B720" t="s">
        <v>1136</v>
      </c>
      <c r="C720" t="s">
        <v>335</v>
      </c>
      <c r="D720" t="s">
        <v>495</v>
      </c>
      <c r="E720" t="s">
        <v>338</v>
      </c>
      <c r="F720" s="1">
        <v>3032</v>
      </c>
      <c r="G720" s="1">
        <v>85</v>
      </c>
      <c r="H720" s="1">
        <v>1680</v>
      </c>
    </row>
    <row r="721" spans="1:8" ht="17.25" x14ac:dyDescent="0.35">
      <c r="A721">
        <v>720</v>
      </c>
      <c r="B721" t="s">
        <v>1137</v>
      </c>
      <c r="C721" t="s">
        <v>150</v>
      </c>
      <c r="D721" t="s">
        <v>150</v>
      </c>
      <c r="E721" t="s">
        <v>50</v>
      </c>
      <c r="F721" s="1">
        <v>3023</v>
      </c>
      <c r="G721" s="1">
        <v>419</v>
      </c>
      <c r="H721" s="1">
        <v>6732</v>
      </c>
    </row>
    <row r="722" spans="1:8" ht="17.25" x14ac:dyDescent="0.35">
      <c r="A722">
        <v>721</v>
      </c>
      <c r="B722" t="s">
        <v>1138</v>
      </c>
      <c r="C722" t="s">
        <v>9</v>
      </c>
      <c r="D722" t="s">
        <v>216</v>
      </c>
      <c r="E722" t="s">
        <v>168</v>
      </c>
      <c r="F722" s="1">
        <v>3022</v>
      </c>
      <c r="G722" s="1">
        <v>95</v>
      </c>
      <c r="H722" s="1">
        <v>18363</v>
      </c>
    </row>
    <row r="723" spans="1:8" ht="17.25" x14ac:dyDescent="0.35">
      <c r="A723">
        <v>722</v>
      </c>
      <c r="B723" t="s">
        <v>1139</v>
      </c>
      <c r="C723" t="s">
        <v>142</v>
      </c>
      <c r="D723" t="s">
        <v>143</v>
      </c>
      <c r="E723" t="s">
        <v>1017</v>
      </c>
      <c r="F723" s="1">
        <v>3018</v>
      </c>
      <c r="G723" s="1">
        <v>607</v>
      </c>
      <c r="H723" s="1">
        <v>3500</v>
      </c>
    </row>
    <row r="724" spans="1:8" ht="17.25" x14ac:dyDescent="0.35">
      <c r="A724">
        <v>723</v>
      </c>
      <c r="B724" t="s">
        <v>1140</v>
      </c>
      <c r="C724" t="s">
        <v>21</v>
      </c>
      <c r="D724" t="s">
        <v>113</v>
      </c>
      <c r="E724" t="s">
        <v>1141</v>
      </c>
      <c r="F724" s="1">
        <v>3018</v>
      </c>
      <c r="G724" s="1">
        <v>243</v>
      </c>
      <c r="H724" s="1">
        <v>4736</v>
      </c>
    </row>
    <row r="725" spans="1:8" ht="17.25" x14ac:dyDescent="0.35">
      <c r="A725">
        <v>724</v>
      </c>
      <c r="B725" t="s">
        <v>1142</v>
      </c>
      <c r="C725" t="s">
        <v>150</v>
      </c>
      <c r="D725" t="s">
        <v>150</v>
      </c>
      <c r="E725" t="s">
        <v>1143</v>
      </c>
      <c r="F725" s="1">
        <v>3017</v>
      </c>
      <c r="G725" s="1">
        <v>160</v>
      </c>
      <c r="H725" s="1">
        <v>7900</v>
      </c>
    </row>
    <row r="726" spans="1:8" ht="17.25" x14ac:dyDescent="0.35">
      <c r="A726">
        <v>725</v>
      </c>
      <c r="B726" t="s">
        <v>1144</v>
      </c>
      <c r="C726" t="s">
        <v>17</v>
      </c>
      <c r="D726" t="s">
        <v>91</v>
      </c>
      <c r="E726" t="s">
        <v>1145</v>
      </c>
      <c r="F726" s="1">
        <v>3015</v>
      </c>
      <c r="G726" s="1">
        <v>-110</v>
      </c>
      <c r="H726" s="1">
        <v>23000</v>
      </c>
    </row>
    <row r="727" spans="1:8" ht="17.25" x14ac:dyDescent="0.35">
      <c r="A727">
        <v>726</v>
      </c>
      <c r="B727" t="s">
        <v>1146</v>
      </c>
      <c r="C727" t="s">
        <v>221</v>
      </c>
      <c r="D727" t="s">
        <v>221</v>
      </c>
      <c r="E727" t="s">
        <v>86</v>
      </c>
      <c r="F727" s="1">
        <v>3014</v>
      </c>
      <c r="G727" s="1">
        <v>238</v>
      </c>
      <c r="H727" s="1">
        <v>16800</v>
      </c>
    </row>
    <row r="728" spans="1:8" ht="17.25" x14ac:dyDescent="0.35">
      <c r="A728">
        <v>727</v>
      </c>
      <c r="B728" t="s">
        <v>1147</v>
      </c>
      <c r="C728" t="s">
        <v>153</v>
      </c>
      <c r="D728" t="s">
        <v>224</v>
      </c>
      <c r="E728" t="s">
        <v>89</v>
      </c>
      <c r="F728" s="1">
        <v>3010</v>
      </c>
      <c r="G728" s="1">
        <v>-502</v>
      </c>
      <c r="H728" s="1">
        <v>4850</v>
      </c>
    </row>
    <row r="729" spans="1:8" ht="17.25" x14ac:dyDescent="0.35">
      <c r="A729">
        <v>728</v>
      </c>
      <c r="B729" t="s">
        <v>1148</v>
      </c>
      <c r="C729" t="s">
        <v>21</v>
      </c>
      <c r="D729" t="s">
        <v>22</v>
      </c>
      <c r="E729" t="s">
        <v>338</v>
      </c>
      <c r="F729" s="1">
        <v>3009</v>
      </c>
      <c r="G729" s="1">
        <v>75</v>
      </c>
      <c r="H729" s="1">
        <v>4300</v>
      </c>
    </row>
    <row r="730" spans="1:8" ht="17.25" x14ac:dyDescent="0.35">
      <c r="A730">
        <v>729</v>
      </c>
      <c r="B730" t="s">
        <v>1149</v>
      </c>
      <c r="C730" t="s">
        <v>315</v>
      </c>
      <c r="D730" t="s">
        <v>399</v>
      </c>
      <c r="E730" t="s">
        <v>189</v>
      </c>
      <c r="F730" s="1">
        <v>3008</v>
      </c>
      <c r="G730" s="1">
        <v>123</v>
      </c>
      <c r="H730" s="1">
        <v>20000</v>
      </c>
    </row>
    <row r="731" spans="1:8" ht="17.25" x14ac:dyDescent="0.35">
      <c r="A731">
        <v>730</v>
      </c>
      <c r="B731" t="s">
        <v>1150</v>
      </c>
      <c r="C731" t="s">
        <v>21</v>
      </c>
      <c r="D731" t="s">
        <v>479</v>
      </c>
      <c r="E731" t="s">
        <v>58</v>
      </c>
      <c r="F731" s="1">
        <v>3006</v>
      </c>
      <c r="G731" s="1">
        <v>-18</v>
      </c>
      <c r="H731" s="1">
        <v>1700</v>
      </c>
    </row>
    <row r="732" spans="1:8" ht="17.25" x14ac:dyDescent="0.35">
      <c r="A732">
        <v>731</v>
      </c>
      <c r="B732" t="s">
        <v>1151</v>
      </c>
      <c r="C732" t="s">
        <v>252</v>
      </c>
      <c r="D732" t="s">
        <v>253</v>
      </c>
      <c r="E732" t="s">
        <v>42</v>
      </c>
      <c r="F732" s="1">
        <v>3002</v>
      </c>
      <c r="G732" s="1">
        <v>197</v>
      </c>
      <c r="H732" s="1">
        <v>53000</v>
      </c>
    </row>
    <row r="733" spans="1:8" ht="17.25" x14ac:dyDescent="0.35">
      <c r="A733">
        <v>732</v>
      </c>
      <c r="B733" t="s">
        <v>1152</v>
      </c>
      <c r="C733" t="s">
        <v>13</v>
      </c>
      <c r="D733" t="s">
        <v>14</v>
      </c>
      <c r="E733" t="s">
        <v>804</v>
      </c>
      <c r="F733" s="1">
        <v>3002</v>
      </c>
      <c r="G733" s="1">
        <v>331</v>
      </c>
      <c r="H733" s="1">
        <v>2961</v>
      </c>
    </row>
    <row r="734" spans="1:8" ht="17.25" x14ac:dyDescent="0.35">
      <c r="A734">
        <v>733</v>
      </c>
      <c r="B734" t="s">
        <v>1153</v>
      </c>
      <c r="C734" t="s">
        <v>17</v>
      </c>
      <c r="D734" t="s">
        <v>62</v>
      </c>
      <c r="E734" t="s">
        <v>104</v>
      </c>
      <c r="F734" s="1">
        <v>2991</v>
      </c>
      <c r="G734" s="1">
        <v>-166</v>
      </c>
      <c r="H734" s="1">
        <v>9372</v>
      </c>
    </row>
    <row r="735" spans="1:8" ht="17.25" x14ac:dyDescent="0.35">
      <c r="A735">
        <v>734</v>
      </c>
      <c r="B735" t="s">
        <v>1154</v>
      </c>
      <c r="C735" t="s">
        <v>315</v>
      </c>
      <c r="D735" t="s">
        <v>227</v>
      </c>
      <c r="E735" t="s">
        <v>89</v>
      </c>
      <c r="F735" s="1">
        <v>2986</v>
      </c>
      <c r="G735" s="1">
        <v>234</v>
      </c>
      <c r="H735" s="1">
        <v>19720</v>
      </c>
    </row>
    <row r="736" spans="1:8" ht="17.25" x14ac:dyDescent="0.35">
      <c r="A736">
        <v>735</v>
      </c>
      <c r="B736" t="s">
        <v>1155</v>
      </c>
      <c r="C736" t="s">
        <v>315</v>
      </c>
      <c r="D736" t="s">
        <v>435</v>
      </c>
      <c r="E736" t="s">
        <v>534</v>
      </c>
      <c r="F736" s="1">
        <v>2986</v>
      </c>
      <c r="G736" s="1">
        <v>267</v>
      </c>
      <c r="H736" s="1">
        <v>25472</v>
      </c>
    </row>
    <row r="737" spans="1:8" ht="17.25" x14ac:dyDescent="0.35">
      <c r="A737">
        <v>736</v>
      </c>
      <c r="B737" t="s">
        <v>1156</v>
      </c>
      <c r="C737" t="s">
        <v>17</v>
      </c>
      <c r="D737" t="s">
        <v>62</v>
      </c>
      <c r="E737" t="s">
        <v>1157</v>
      </c>
      <c r="F737" s="1">
        <v>2986</v>
      </c>
      <c r="G737" s="1">
        <v>546</v>
      </c>
      <c r="H737" s="1">
        <v>9100</v>
      </c>
    </row>
    <row r="738" spans="1:8" ht="17.25" x14ac:dyDescent="0.35">
      <c r="A738">
        <v>737</v>
      </c>
      <c r="B738" t="s">
        <v>1158</v>
      </c>
      <c r="C738" t="s">
        <v>315</v>
      </c>
      <c r="D738" t="s">
        <v>1159</v>
      </c>
      <c r="E738" t="s">
        <v>386</v>
      </c>
      <c r="F738" s="1">
        <v>2984</v>
      </c>
      <c r="G738" s="1">
        <v>-101</v>
      </c>
      <c r="H738" s="1">
        <v>11585</v>
      </c>
    </row>
    <row r="739" spans="1:8" ht="17.25" x14ac:dyDescent="0.35">
      <c r="A739">
        <v>738</v>
      </c>
      <c r="B739" t="s">
        <v>1160</v>
      </c>
      <c r="C739" t="s">
        <v>335</v>
      </c>
      <c r="D739" t="s">
        <v>495</v>
      </c>
      <c r="E739" t="s">
        <v>890</v>
      </c>
      <c r="F739" s="1">
        <v>2977</v>
      </c>
      <c r="G739" s="1">
        <v>61</v>
      </c>
      <c r="H739" s="1">
        <v>1600</v>
      </c>
    </row>
    <row r="740" spans="1:8" ht="17.25" x14ac:dyDescent="0.35">
      <c r="A740">
        <v>739</v>
      </c>
      <c r="B740" t="s">
        <v>1161</v>
      </c>
      <c r="C740" t="s">
        <v>35</v>
      </c>
      <c r="D740" t="s">
        <v>36</v>
      </c>
      <c r="E740" t="s">
        <v>118</v>
      </c>
      <c r="F740" s="1">
        <v>2973</v>
      </c>
      <c r="G740" s="1">
        <v>213</v>
      </c>
      <c r="H740" s="1">
        <v>9119</v>
      </c>
    </row>
    <row r="741" spans="1:8" ht="17.25" x14ac:dyDescent="0.35">
      <c r="A741">
        <v>740</v>
      </c>
      <c r="B741" t="s">
        <v>1162</v>
      </c>
      <c r="C741" t="s">
        <v>131</v>
      </c>
      <c r="D741" t="s">
        <v>691</v>
      </c>
      <c r="E741" t="s">
        <v>1163</v>
      </c>
      <c r="F741" s="1">
        <v>2972</v>
      </c>
      <c r="G741" s="1">
        <v>305</v>
      </c>
      <c r="H741" s="1">
        <v>17931</v>
      </c>
    </row>
    <row r="742" spans="1:8" ht="17.25" x14ac:dyDescent="0.35">
      <c r="A742">
        <v>741</v>
      </c>
      <c r="B742" t="s">
        <v>1164</v>
      </c>
      <c r="C742" t="s">
        <v>142</v>
      </c>
      <c r="D742" t="s">
        <v>143</v>
      </c>
      <c r="E742" t="s">
        <v>50</v>
      </c>
      <c r="F742" s="1">
        <v>2966</v>
      </c>
      <c r="G742" s="1">
        <v>-91</v>
      </c>
      <c r="H742" s="1">
        <v>4211</v>
      </c>
    </row>
    <row r="743" spans="1:8" ht="17.25" x14ac:dyDescent="0.35">
      <c r="A743">
        <v>742</v>
      </c>
      <c r="B743" t="s">
        <v>1165</v>
      </c>
      <c r="C743" t="s">
        <v>13</v>
      </c>
      <c r="D743" t="s">
        <v>13</v>
      </c>
      <c r="E743" t="s">
        <v>23</v>
      </c>
      <c r="F743" s="1">
        <v>2966</v>
      </c>
      <c r="G743" s="1">
        <v>7</v>
      </c>
      <c r="H743" s="1">
        <v>995</v>
      </c>
    </row>
    <row r="744" spans="1:8" ht="17.25" x14ac:dyDescent="0.35">
      <c r="A744">
        <v>743</v>
      </c>
      <c r="B744" t="s">
        <v>1166</v>
      </c>
      <c r="C744" t="s">
        <v>13</v>
      </c>
      <c r="D744" t="s">
        <v>219</v>
      </c>
      <c r="E744" t="s">
        <v>1167</v>
      </c>
      <c r="F744" s="1">
        <v>2965</v>
      </c>
      <c r="G744" s="1">
        <v>-5785</v>
      </c>
      <c r="H744" s="1">
        <v>6700</v>
      </c>
    </row>
    <row r="745" spans="1:8" ht="17.25" x14ac:dyDescent="0.35">
      <c r="A745">
        <v>744</v>
      </c>
      <c r="B745" t="s">
        <v>1168</v>
      </c>
      <c r="C745" t="s">
        <v>315</v>
      </c>
      <c r="D745" t="s">
        <v>399</v>
      </c>
      <c r="E745" t="s">
        <v>60</v>
      </c>
      <c r="F745" s="1">
        <v>2951</v>
      </c>
      <c r="G745" s="1">
        <v>169</v>
      </c>
      <c r="H745" s="1">
        <v>130000</v>
      </c>
    </row>
    <row r="746" spans="1:8" ht="17.25" x14ac:dyDescent="0.35">
      <c r="A746">
        <v>745</v>
      </c>
      <c r="B746" t="s">
        <v>1169</v>
      </c>
      <c r="C746" t="s">
        <v>13</v>
      </c>
      <c r="D746" t="s">
        <v>231</v>
      </c>
      <c r="E746" t="s">
        <v>405</v>
      </c>
      <c r="F746" s="1">
        <v>2944</v>
      </c>
      <c r="G746" s="1">
        <v>174</v>
      </c>
      <c r="H746" s="1">
        <v>3713</v>
      </c>
    </row>
    <row r="747" spans="1:8" ht="17.25" x14ac:dyDescent="0.35">
      <c r="A747">
        <v>746</v>
      </c>
      <c r="B747" t="s">
        <v>1170</v>
      </c>
      <c r="C747" t="s">
        <v>25</v>
      </c>
      <c r="D747" t="s">
        <v>71</v>
      </c>
      <c r="E747" t="s">
        <v>498</v>
      </c>
      <c r="F747" s="1">
        <v>2921</v>
      </c>
      <c r="G747" s="1">
        <v>417</v>
      </c>
      <c r="H747" s="1">
        <v>15000</v>
      </c>
    </row>
    <row r="748" spans="1:8" ht="17.25" x14ac:dyDescent="0.35">
      <c r="A748">
        <v>747</v>
      </c>
      <c r="B748" t="s">
        <v>1171</v>
      </c>
      <c r="C748" t="s">
        <v>153</v>
      </c>
      <c r="D748" t="s">
        <v>224</v>
      </c>
      <c r="E748" t="s">
        <v>508</v>
      </c>
      <c r="F748" s="1">
        <v>2910</v>
      </c>
      <c r="G748" s="1">
        <v>231</v>
      </c>
      <c r="H748" s="1">
        <v>6588</v>
      </c>
    </row>
    <row r="749" spans="1:8" ht="17.25" x14ac:dyDescent="0.35">
      <c r="A749">
        <v>748</v>
      </c>
      <c r="B749" t="s">
        <v>1172</v>
      </c>
      <c r="C749" t="s">
        <v>9</v>
      </c>
      <c r="D749" t="s">
        <v>54</v>
      </c>
      <c r="E749" t="s">
        <v>1173</v>
      </c>
      <c r="F749" s="1">
        <v>2908</v>
      </c>
      <c r="G749" s="1">
        <v>-100</v>
      </c>
      <c r="H749" s="1">
        <v>3300</v>
      </c>
    </row>
    <row r="750" spans="1:8" ht="17.25" x14ac:dyDescent="0.35">
      <c r="A750">
        <v>749</v>
      </c>
      <c r="B750" t="s">
        <v>1174</v>
      </c>
      <c r="C750" t="s">
        <v>25</v>
      </c>
      <c r="D750" t="s">
        <v>29</v>
      </c>
      <c r="E750" t="s">
        <v>1175</v>
      </c>
      <c r="F750" s="1">
        <v>2903</v>
      </c>
      <c r="G750" s="1">
        <v>52</v>
      </c>
      <c r="H750" s="1">
        <v>3405</v>
      </c>
    </row>
    <row r="751" spans="1:8" ht="17.25" x14ac:dyDescent="0.35">
      <c r="A751">
        <v>750</v>
      </c>
      <c r="B751" t="s">
        <v>1176</v>
      </c>
      <c r="C751" t="s">
        <v>21</v>
      </c>
      <c r="D751" t="s">
        <v>113</v>
      </c>
      <c r="E751" t="s">
        <v>529</v>
      </c>
      <c r="F751" s="1">
        <v>2902</v>
      </c>
      <c r="G751" s="1">
        <v>215</v>
      </c>
      <c r="H751" s="1">
        <v>2767</v>
      </c>
    </row>
    <row r="752" spans="1:8" ht="17.25" x14ac:dyDescent="0.35">
      <c r="A752">
        <v>751</v>
      </c>
      <c r="B752" t="s">
        <v>1177</v>
      </c>
      <c r="C752" t="s">
        <v>282</v>
      </c>
      <c r="D752" t="s">
        <v>660</v>
      </c>
      <c r="E752" t="s">
        <v>1132</v>
      </c>
      <c r="F752" s="1">
        <v>2887</v>
      </c>
      <c r="G752" s="1">
        <v>81</v>
      </c>
      <c r="H752" s="1">
        <v>7000</v>
      </c>
    </row>
    <row r="753" spans="1:8" ht="17.25" x14ac:dyDescent="0.35">
      <c r="A753">
        <v>752</v>
      </c>
      <c r="B753" t="s">
        <v>1178</v>
      </c>
      <c r="C753" t="s">
        <v>142</v>
      </c>
      <c r="D753" t="s">
        <v>485</v>
      </c>
      <c r="E753" t="s">
        <v>120</v>
      </c>
      <c r="F753" s="1">
        <v>2885</v>
      </c>
      <c r="G753" s="1">
        <v>146</v>
      </c>
      <c r="H753" s="1">
        <v>18700</v>
      </c>
    </row>
    <row r="754" spans="1:8" ht="17.25" x14ac:dyDescent="0.35">
      <c r="A754">
        <v>753</v>
      </c>
      <c r="B754" t="s">
        <v>1179</v>
      </c>
      <c r="C754" t="s">
        <v>17</v>
      </c>
      <c r="D754" t="s">
        <v>137</v>
      </c>
      <c r="E754" t="s">
        <v>804</v>
      </c>
      <c r="F754" s="1">
        <v>2885</v>
      </c>
      <c r="G754" s="1">
        <v>57</v>
      </c>
      <c r="H754" s="1">
        <v>26700</v>
      </c>
    </row>
    <row r="755" spans="1:8" ht="17.25" x14ac:dyDescent="0.35">
      <c r="A755">
        <v>754</v>
      </c>
      <c r="B755" t="s">
        <v>1180</v>
      </c>
      <c r="C755" t="s">
        <v>13</v>
      </c>
      <c r="D755" t="s">
        <v>219</v>
      </c>
      <c r="E755" t="s">
        <v>89</v>
      </c>
      <c r="F755" s="1">
        <v>2883</v>
      </c>
      <c r="G755" s="1">
        <v>-4760</v>
      </c>
      <c r="H755" s="1">
        <v>1760</v>
      </c>
    </row>
    <row r="756" spans="1:8" ht="17.25" x14ac:dyDescent="0.35">
      <c r="A756">
        <v>755</v>
      </c>
      <c r="B756" t="s">
        <v>1181</v>
      </c>
      <c r="C756" t="s">
        <v>21</v>
      </c>
      <c r="D756" t="s">
        <v>101</v>
      </c>
      <c r="E756" t="s">
        <v>1182</v>
      </c>
      <c r="F756" s="1">
        <v>2883</v>
      </c>
      <c r="G756" s="1">
        <v>284</v>
      </c>
      <c r="H756" s="1">
        <v>4169</v>
      </c>
    </row>
    <row r="757" spans="1:8" ht="17.25" x14ac:dyDescent="0.35">
      <c r="A757">
        <v>756</v>
      </c>
      <c r="B757" t="s">
        <v>1183</v>
      </c>
      <c r="C757" t="s">
        <v>32</v>
      </c>
      <c r="D757" t="s">
        <v>32</v>
      </c>
      <c r="E757" t="s">
        <v>1184</v>
      </c>
      <c r="F757" s="1">
        <v>2877</v>
      </c>
      <c r="G757" s="1">
        <v>59</v>
      </c>
      <c r="H757" s="1">
        <v>19000</v>
      </c>
    </row>
    <row r="758" spans="1:8" ht="17.25" x14ac:dyDescent="0.35">
      <c r="A758">
        <v>757</v>
      </c>
      <c r="B758" t="s">
        <v>1185</v>
      </c>
      <c r="C758" t="s">
        <v>44</v>
      </c>
      <c r="D758" t="s">
        <v>45</v>
      </c>
      <c r="E758" t="s">
        <v>1186</v>
      </c>
      <c r="F758" s="1">
        <v>2872</v>
      </c>
      <c r="G758" s="1">
        <v>-71</v>
      </c>
      <c r="H758" s="1">
        <v>14709</v>
      </c>
    </row>
    <row r="759" spans="1:8" ht="17.25" x14ac:dyDescent="0.35">
      <c r="A759">
        <v>758</v>
      </c>
      <c r="B759" t="s">
        <v>1187</v>
      </c>
      <c r="C759" t="s">
        <v>150</v>
      </c>
      <c r="D759" t="s">
        <v>150</v>
      </c>
      <c r="E759" t="s">
        <v>189</v>
      </c>
      <c r="F759" s="1">
        <v>2871</v>
      </c>
      <c r="G759" s="1">
        <v>-334</v>
      </c>
      <c r="H759" s="1">
        <v>4600</v>
      </c>
    </row>
    <row r="760" spans="1:8" ht="17.25" x14ac:dyDescent="0.35">
      <c r="A760">
        <v>759</v>
      </c>
      <c r="B760" t="s">
        <v>1188</v>
      </c>
      <c r="C760" t="s">
        <v>142</v>
      </c>
      <c r="D760" t="s">
        <v>143</v>
      </c>
      <c r="E760" t="s">
        <v>50</v>
      </c>
      <c r="F760" s="1">
        <v>2858</v>
      </c>
      <c r="G760" s="1">
        <v>-45</v>
      </c>
      <c r="H760" s="1">
        <v>3700</v>
      </c>
    </row>
    <row r="761" spans="1:8" ht="17.25" x14ac:dyDescent="0.35">
      <c r="A761">
        <v>760</v>
      </c>
      <c r="B761" t="s">
        <v>1189</v>
      </c>
      <c r="C761" t="s">
        <v>17</v>
      </c>
      <c r="D761" t="s">
        <v>294</v>
      </c>
      <c r="E761" t="s">
        <v>1190</v>
      </c>
      <c r="F761" s="1">
        <v>2856</v>
      </c>
      <c r="G761" s="1">
        <v>513</v>
      </c>
      <c r="H761" s="1">
        <v>10250</v>
      </c>
    </row>
    <row r="762" spans="1:8" ht="17.25" x14ac:dyDescent="0.35">
      <c r="A762">
        <v>761</v>
      </c>
      <c r="B762" t="s">
        <v>1191</v>
      </c>
      <c r="C762" t="s">
        <v>150</v>
      </c>
      <c r="D762" t="s">
        <v>150</v>
      </c>
      <c r="E762" t="s">
        <v>1192</v>
      </c>
      <c r="F762" s="1">
        <v>2854</v>
      </c>
      <c r="G762" s="1">
        <v>-1</v>
      </c>
      <c r="H762" s="1">
        <v>6200</v>
      </c>
    </row>
    <row r="763" spans="1:8" ht="17.25" x14ac:dyDescent="0.35">
      <c r="A763">
        <v>762</v>
      </c>
      <c r="B763" t="s">
        <v>1193</v>
      </c>
      <c r="C763" t="s">
        <v>142</v>
      </c>
      <c r="D763" t="s">
        <v>143</v>
      </c>
      <c r="E763" t="s">
        <v>444</v>
      </c>
      <c r="F763" s="1">
        <v>2853</v>
      </c>
      <c r="G763" s="1">
        <v>217</v>
      </c>
      <c r="H763" s="1">
        <v>17649</v>
      </c>
    </row>
    <row r="764" spans="1:8" ht="17.25" x14ac:dyDescent="0.35">
      <c r="A764">
        <v>763</v>
      </c>
      <c r="B764" t="s">
        <v>1194</v>
      </c>
      <c r="C764" t="s">
        <v>252</v>
      </c>
      <c r="D764" t="s">
        <v>253</v>
      </c>
      <c r="E764" t="s">
        <v>1195</v>
      </c>
      <c r="F764" s="1">
        <v>2842</v>
      </c>
      <c r="G764" s="1">
        <v>164</v>
      </c>
      <c r="H764" s="1">
        <v>72000</v>
      </c>
    </row>
    <row r="765" spans="1:8" ht="17.25" x14ac:dyDescent="0.35">
      <c r="A765">
        <v>764</v>
      </c>
      <c r="B765" t="s">
        <v>1196</v>
      </c>
      <c r="C765" t="s">
        <v>252</v>
      </c>
      <c r="D765" t="s">
        <v>393</v>
      </c>
      <c r="E765" t="s">
        <v>1197</v>
      </c>
      <c r="F765" s="1">
        <v>2838</v>
      </c>
      <c r="G765" s="1">
        <v>1</v>
      </c>
      <c r="H765" s="1">
        <v>18204</v>
      </c>
    </row>
    <row r="766" spans="1:8" ht="17.25" x14ac:dyDescent="0.35">
      <c r="A766">
        <v>765</v>
      </c>
      <c r="B766" t="s">
        <v>1198</v>
      </c>
      <c r="C766" t="s">
        <v>21</v>
      </c>
      <c r="D766" t="s">
        <v>74</v>
      </c>
      <c r="E766" t="s">
        <v>42</v>
      </c>
      <c r="F766" s="1">
        <v>2834</v>
      </c>
      <c r="G766" s="1">
        <v>521</v>
      </c>
      <c r="H766" s="1">
        <v>8818</v>
      </c>
    </row>
    <row r="767" spans="1:8" ht="17.25" x14ac:dyDescent="0.35">
      <c r="A767">
        <v>766</v>
      </c>
      <c r="B767" t="s">
        <v>1199</v>
      </c>
      <c r="C767" t="s">
        <v>25</v>
      </c>
      <c r="D767" t="s">
        <v>167</v>
      </c>
      <c r="E767" t="s">
        <v>168</v>
      </c>
      <c r="F767" s="1">
        <v>2833</v>
      </c>
      <c r="G767" s="1">
        <v>163</v>
      </c>
      <c r="H767" s="1">
        <v>10700</v>
      </c>
    </row>
    <row r="768" spans="1:8" ht="17.25" x14ac:dyDescent="0.35">
      <c r="A768">
        <v>767</v>
      </c>
      <c r="B768" t="s">
        <v>1200</v>
      </c>
      <c r="C768" t="s">
        <v>315</v>
      </c>
      <c r="D768" t="s">
        <v>408</v>
      </c>
      <c r="E768" t="s">
        <v>1126</v>
      </c>
      <c r="F768" s="1">
        <v>2825</v>
      </c>
      <c r="G768" s="1">
        <v>358</v>
      </c>
      <c r="H768" s="1">
        <v>13420</v>
      </c>
    </row>
    <row r="769" spans="1:8" ht="17.25" x14ac:dyDescent="0.35">
      <c r="A769">
        <v>768</v>
      </c>
      <c r="B769" t="s">
        <v>1201</v>
      </c>
      <c r="C769" t="s">
        <v>21</v>
      </c>
      <c r="D769" t="s">
        <v>479</v>
      </c>
      <c r="E769" t="s">
        <v>938</v>
      </c>
      <c r="F769" s="1">
        <v>2819</v>
      </c>
      <c r="G769" s="1">
        <v>237</v>
      </c>
      <c r="H769" s="1">
        <v>2982</v>
      </c>
    </row>
    <row r="770" spans="1:8" ht="17.25" x14ac:dyDescent="0.35">
      <c r="A770">
        <v>769</v>
      </c>
      <c r="B770" t="s">
        <v>1202</v>
      </c>
      <c r="C770" t="s">
        <v>17</v>
      </c>
      <c r="D770" t="s">
        <v>137</v>
      </c>
      <c r="E770" t="s">
        <v>791</v>
      </c>
      <c r="F770" s="1">
        <v>2814</v>
      </c>
      <c r="G770" s="1">
        <v>366</v>
      </c>
      <c r="H770" s="1">
        <v>5880</v>
      </c>
    </row>
    <row r="771" spans="1:8" ht="17.25" x14ac:dyDescent="0.35">
      <c r="A771">
        <v>770</v>
      </c>
      <c r="B771" t="s">
        <v>1203</v>
      </c>
      <c r="C771" t="s">
        <v>115</v>
      </c>
      <c r="D771" t="s">
        <v>116</v>
      </c>
      <c r="E771" t="s">
        <v>1204</v>
      </c>
      <c r="F771" s="1">
        <v>2804</v>
      </c>
      <c r="G771" s="1">
        <v>216</v>
      </c>
      <c r="H771" s="1">
        <v>12264</v>
      </c>
    </row>
    <row r="772" spans="1:8" ht="17.25" x14ac:dyDescent="0.35">
      <c r="A772">
        <v>771</v>
      </c>
      <c r="B772" t="s">
        <v>1205</v>
      </c>
      <c r="C772" t="s">
        <v>9</v>
      </c>
      <c r="D772" t="s">
        <v>54</v>
      </c>
      <c r="E772" t="s">
        <v>256</v>
      </c>
      <c r="F772" s="1">
        <v>2803</v>
      </c>
      <c r="G772" s="1">
        <v>89</v>
      </c>
      <c r="H772" s="1">
        <v>7592</v>
      </c>
    </row>
    <row r="773" spans="1:8" ht="17.25" x14ac:dyDescent="0.35">
      <c r="A773">
        <v>772</v>
      </c>
      <c r="B773" t="s">
        <v>1206</v>
      </c>
      <c r="C773" t="s">
        <v>13</v>
      </c>
      <c r="D773" t="s">
        <v>267</v>
      </c>
      <c r="E773" t="s">
        <v>89</v>
      </c>
      <c r="F773" s="1">
        <v>2793</v>
      </c>
      <c r="G773" s="1">
        <v>-1855</v>
      </c>
      <c r="H773" s="1">
        <v>8300</v>
      </c>
    </row>
    <row r="774" spans="1:8" ht="17.25" x14ac:dyDescent="0.35">
      <c r="A774">
        <v>773</v>
      </c>
      <c r="B774" t="s">
        <v>1207</v>
      </c>
      <c r="C774" t="s">
        <v>9</v>
      </c>
      <c r="D774" t="s">
        <v>10</v>
      </c>
      <c r="E774" t="s">
        <v>1208</v>
      </c>
      <c r="F774" s="1">
        <v>2790</v>
      </c>
      <c r="G774" s="1">
        <v>-57</v>
      </c>
      <c r="H774" s="1">
        <v>24100</v>
      </c>
    </row>
    <row r="775" spans="1:8" ht="17.25" x14ac:dyDescent="0.35">
      <c r="A775">
        <v>774</v>
      </c>
      <c r="B775" t="s">
        <v>1209</v>
      </c>
      <c r="C775" t="s">
        <v>282</v>
      </c>
      <c r="D775" t="s">
        <v>285</v>
      </c>
      <c r="E775" t="s">
        <v>203</v>
      </c>
      <c r="F775" s="1">
        <v>2789</v>
      </c>
      <c r="G775" s="1">
        <v>106</v>
      </c>
      <c r="H775" s="1">
        <v>6400</v>
      </c>
    </row>
    <row r="776" spans="1:8" ht="17.25" x14ac:dyDescent="0.35">
      <c r="A776">
        <v>775</v>
      </c>
      <c r="B776" t="s">
        <v>1210</v>
      </c>
      <c r="C776" t="s">
        <v>25</v>
      </c>
      <c r="D776" t="s">
        <v>71</v>
      </c>
      <c r="E776" t="s">
        <v>1211</v>
      </c>
      <c r="F776" s="1">
        <v>2780</v>
      </c>
      <c r="G776" s="1">
        <v>336</v>
      </c>
      <c r="H776" s="1">
        <v>8645</v>
      </c>
    </row>
    <row r="777" spans="1:8" ht="17.25" x14ac:dyDescent="0.35">
      <c r="A777">
        <v>776</v>
      </c>
      <c r="B777" t="s">
        <v>1212</v>
      </c>
      <c r="C777" t="s">
        <v>315</v>
      </c>
      <c r="D777" t="s">
        <v>408</v>
      </c>
      <c r="E777" t="s">
        <v>298</v>
      </c>
      <c r="F777" s="1">
        <v>2780</v>
      </c>
      <c r="G777" s="1">
        <v>364</v>
      </c>
      <c r="H777" s="1">
        <v>10500</v>
      </c>
    </row>
    <row r="778" spans="1:8" ht="17.25" x14ac:dyDescent="0.35">
      <c r="A778">
        <v>777</v>
      </c>
      <c r="B778" t="s">
        <v>1213</v>
      </c>
      <c r="C778" t="s">
        <v>315</v>
      </c>
      <c r="D778" t="s">
        <v>408</v>
      </c>
      <c r="E778" t="s">
        <v>86</v>
      </c>
      <c r="F778" s="1">
        <v>2774</v>
      </c>
      <c r="G778" s="1">
        <v>278</v>
      </c>
      <c r="H778" s="1">
        <v>4438</v>
      </c>
    </row>
    <row r="779" spans="1:8" ht="17.25" x14ac:dyDescent="0.35">
      <c r="A779">
        <v>778</v>
      </c>
      <c r="B779" t="s">
        <v>1214</v>
      </c>
      <c r="C779" t="s">
        <v>17</v>
      </c>
      <c r="D779" t="s">
        <v>18</v>
      </c>
      <c r="E779" t="s">
        <v>1186</v>
      </c>
      <c r="F779" s="1">
        <v>2768</v>
      </c>
      <c r="G779" s="1">
        <v>74</v>
      </c>
      <c r="H779" s="1">
        <v>16000</v>
      </c>
    </row>
    <row r="780" spans="1:8" ht="17.25" x14ac:dyDescent="0.35">
      <c r="A780">
        <v>779</v>
      </c>
      <c r="B780" t="s">
        <v>1215</v>
      </c>
      <c r="C780" t="s">
        <v>252</v>
      </c>
      <c r="D780" t="s">
        <v>393</v>
      </c>
      <c r="E780" t="s">
        <v>466</v>
      </c>
      <c r="F780" s="1">
        <v>2759</v>
      </c>
      <c r="G780" s="1">
        <v>-1394</v>
      </c>
      <c r="H780" s="1">
        <v>8500</v>
      </c>
    </row>
    <row r="781" spans="1:8" ht="17.25" x14ac:dyDescent="0.35">
      <c r="A781">
        <v>780</v>
      </c>
      <c r="B781" t="s">
        <v>1216</v>
      </c>
      <c r="C781" t="s">
        <v>153</v>
      </c>
      <c r="D781" t="s">
        <v>224</v>
      </c>
      <c r="E781" t="s">
        <v>439</v>
      </c>
      <c r="F781" s="1">
        <v>2752</v>
      </c>
      <c r="G781" s="1">
        <v>116</v>
      </c>
      <c r="H781" s="1">
        <v>5839</v>
      </c>
    </row>
    <row r="782" spans="1:8" ht="17.25" x14ac:dyDescent="0.35">
      <c r="A782">
        <v>781</v>
      </c>
      <c r="B782" t="s">
        <v>1217</v>
      </c>
      <c r="C782" t="s">
        <v>21</v>
      </c>
      <c r="D782" t="s">
        <v>493</v>
      </c>
      <c r="E782" t="s">
        <v>78</v>
      </c>
      <c r="F782" s="1">
        <v>2746</v>
      </c>
      <c r="G782" s="1">
        <v>870</v>
      </c>
      <c r="H782" s="1">
        <v>3500</v>
      </c>
    </row>
    <row r="783" spans="1:8" ht="17.25" x14ac:dyDescent="0.35">
      <c r="A783">
        <v>782</v>
      </c>
      <c r="B783" t="s">
        <v>1218</v>
      </c>
      <c r="C783" t="s">
        <v>44</v>
      </c>
      <c r="D783" t="s">
        <v>45</v>
      </c>
      <c r="E783" t="s">
        <v>547</v>
      </c>
      <c r="F783" s="1">
        <v>2741</v>
      </c>
      <c r="G783" s="1">
        <v>229</v>
      </c>
      <c r="H783" s="1">
        <v>11200</v>
      </c>
    </row>
    <row r="784" spans="1:8" ht="17.25" x14ac:dyDescent="0.35">
      <c r="A784">
        <v>783</v>
      </c>
      <c r="B784" t="s">
        <v>1219</v>
      </c>
      <c r="C784" t="s">
        <v>315</v>
      </c>
      <c r="D784" t="s">
        <v>399</v>
      </c>
      <c r="E784" t="s">
        <v>1220</v>
      </c>
      <c r="F784" s="1">
        <v>2740</v>
      </c>
      <c r="G784" s="1">
        <v>675</v>
      </c>
      <c r="H784" s="1">
        <v>13000</v>
      </c>
    </row>
    <row r="785" spans="1:8" ht="17.25" x14ac:dyDescent="0.35">
      <c r="A785">
        <v>784</v>
      </c>
      <c r="B785" t="s">
        <v>1221</v>
      </c>
      <c r="C785" t="s">
        <v>13</v>
      </c>
      <c r="D785" t="s">
        <v>13</v>
      </c>
      <c r="E785" t="s">
        <v>1222</v>
      </c>
      <c r="F785" s="1">
        <v>2734</v>
      </c>
      <c r="G785" s="1">
        <v>181</v>
      </c>
      <c r="H785" s="1">
        <v>991</v>
      </c>
    </row>
    <row r="786" spans="1:8" ht="17.25" x14ac:dyDescent="0.35">
      <c r="A786">
        <v>785</v>
      </c>
      <c r="B786" t="s">
        <v>1223</v>
      </c>
      <c r="C786" t="s">
        <v>76</v>
      </c>
      <c r="D786" t="s">
        <v>77</v>
      </c>
      <c r="E786" t="s">
        <v>1224</v>
      </c>
      <c r="F786" s="1">
        <v>2730</v>
      </c>
      <c r="G786" s="1">
        <v>286</v>
      </c>
      <c r="H786" s="1">
        <v>10057</v>
      </c>
    </row>
    <row r="787" spans="1:8" ht="17.25" x14ac:dyDescent="0.35">
      <c r="A787">
        <v>786</v>
      </c>
      <c r="B787" t="s">
        <v>1225</v>
      </c>
      <c r="C787" t="s">
        <v>41</v>
      </c>
      <c r="D787" t="s">
        <v>41</v>
      </c>
      <c r="E787" t="s">
        <v>197</v>
      </c>
      <c r="F787" s="1">
        <v>2726</v>
      </c>
      <c r="G787" s="1">
        <v>188</v>
      </c>
      <c r="H787" s="1">
        <v>5042</v>
      </c>
    </row>
    <row r="788" spans="1:8" ht="17.25" x14ac:dyDescent="0.35">
      <c r="A788">
        <v>787</v>
      </c>
      <c r="B788" t="s">
        <v>1226</v>
      </c>
      <c r="C788" t="s">
        <v>115</v>
      </c>
      <c r="D788" t="s">
        <v>165</v>
      </c>
      <c r="E788" t="s">
        <v>1227</v>
      </c>
      <c r="F788" s="1">
        <v>2723</v>
      </c>
      <c r="G788" s="1">
        <v>547</v>
      </c>
      <c r="H788" s="1">
        <v>1857</v>
      </c>
    </row>
    <row r="789" spans="1:8" ht="17.25" x14ac:dyDescent="0.35">
      <c r="A789">
        <v>788</v>
      </c>
      <c r="B789" t="s">
        <v>1228</v>
      </c>
      <c r="C789" t="s">
        <v>76</v>
      </c>
      <c r="D789" t="s">
        <v>77</v>
      </c>
      <c r="E789" t="s">
        <v>439</v>
      </c>
      <c r="F789" s="1">
        <v>2707</v>
      </c>
      <c r="G789" s="1">
        <v>447</v>
      </c>
      <c r="H789" s="1">
        <v>8200</v>
      </c>
    </row>
    <row r="790" spans="1:8" ht="17.25" x14ac:dyDescent="0.35">
      <c r="A790">
        <v>789</v>
      </c>
      <c r="B790" t="s">
        <v>1229</v>
      </c>
      <c r="C790" t="s">
        <v>44</v>
      </c>
      <c r="D790" t="s">
        <v>192</v>
      </c>
      <c r="E790" t="s">
        <v>86</v>
      </c>
      <c r="F790" s="1">
        <v>2707</v>
      </c>
      <c r="G790" s="1">
        <v>222</v>
      </c>
      <c r="H790" s="1">
        <v>7800</v>
      </c>
    </row>
    <row r="791" spans="1:8" ht="17.25" x14ac:dyDescent="0.35">
      <c r="A791">
        <v>790</v>
      </c>
      <c r="B791" t="s">
        <v>1230</v>
      </c>
      <c r="C791" t="s">
        <v>25</v>
      </c>
      <c r="D791" t="s">
        <v>305</v>
      </c>
      <c r="E791" t="s">
        <v>640</v>
      </c>
      <c r="F791" s="1">
        <v>2705</v>
      </c>
      <c r="G791" s="1">
        <v>132</v>
      </c>
      <c r="H791" s="1">
        <v>5290</v>
      </c>
    </row>
    <row r="792" spans="1:8" ht="17.25" x14ac:dyDescent="0.35">
      <c r="A792">
        <v>791</v>
      </c>
      <c r="B792" t="s">
        <v>1231</v>
      </c>
      <c r="C792" t="s">
        <v>315</v>
      </c>
      <c r="D792" t="s">
        <v>316</v>
      </c>
      <c r="E792" t="s">
        <v>1232</v>
      </c>
      <c r="F792" s="1">
        <v>2696</v>
      </c>
      <c r="G792" s="1">
        <v>71</v>
      </c>
      <c r="H792" s="1">
        <v>5500</v>
      </c>
    </row>
    <row r="793" spans="1:8" ht="17.25" x14ac:dyDescent="0.35">
      <c r="A793">
        <v>792</v>
      </c>
      <c r="B793" t="s">
        <v>1233</v>
      </c>
      <c r="C793" t="s">
        <v>315</v>
      </c>
      <c r="D793" t="s">
        <v>408</v>
      </c>
      <c r="E793" t="s">
        <v>1234</v>
      </c>
      <c r="F793" s="1">
        <v>2694</v>
      </c>
      <c r="G793" s="1">
        <v>287</v>
      </c>
      <c r="H793" s="1">
        <v>7400</v>
      </c>
    </row>
    <row r="794" spans="1:8" ht="17.25" x14ac:dyDescent="0.35">
      <c r="A794">
        <v>793</v>
      </c>
      <c r="B794" t="s">
        <v>1235</v>
      </c>
      <c r="C794" t="s">
        <v>282</v>
      </c>
      <c r="D794" t="s">
        <v>660</v>
      </c>
      <c r="E794" t="s">
        <v>156</v>
      </c>
      <c r="F794" s="1">
        <v>2692</v>
      </c>
      <c r="G794" s="1">
        <v>-477</v>
      </c>
      <c r="H794" s="1">
        <v>1630</v>
      </c>
    </row>
    <row r="795" spans="1:8" ht="17.25" x14ac:dyDescent="0.35">
      <c r="A795">
        <v>794</v>
      </c>
      <c r="B795" t="s">
        <v>1236</v>
      </c>
      <c r="C795" t="s">
        <v>221</v>
      </c>
      <c r="D795" t="s">
        <v>221</v>
      </c>
      <c r="E795" t="s">
        <v>1237</v>
      </c>
      <c r="F795" s="1">
        <v>2692</v>
      </c>
      <c r="G795" s="1">
        <v>123</v>
      </c>
      <c r="H795" s="1">
        <v>6550</v>
      </c>
    </row>
    <row r="796" spans="1:8" ht="17.25" x14ac:dyDescent="0.35">
      <c r="A796">
        <v>795</v>
      </c>
      <c r="B796" t="s">
        <v>1238</v>
      </c>
      <c r="C796" t="s">
        <v>115</v>
      </c>
      <c r="D796" t="s">
        <v>122</v>
      </c>
      <c r="E796" t="s">
        <v>1234</v>
      </c>
      <c r="F796" s="1">
        <v>2689</v>
      </c>
      <c r="G796" s="1">
        <v>168</v>
      </c>
      <c r="H796" s="1">
        <v>6307</v>
      </c>
    </row>
    <row r="797" spans="1:8" ht="17.25" x14ac:dyDescent="0.35">
      <c r="A797">
        <v>796</v>
      </c>
      <c r="B797" t="s">
        <v>1239</v>
      </c>
      <c r="C797" t="s">
        <v>315</v>
      </c>
      <c r="D797" t="s">
        <v>408</v>
      </c>
      <c r="E797" t="s">
        <v>390</v>
      </c>
      <c r="F797" s="1">
        <v>2682</v>
      </c>
      <c r="G797" s="1">
        <v>85</v>
      </c>
      <c r="H797" s="1">
        <v>4272</v>
      </c>
    </row>
    <row r="798" spans="1:8" ht="17.25" x14ac:dyDescent="0.35">
      <c r="A798">
        <v>797</v>
      </c>
      <c r="B798" t="s">
        <v>1240</v>
      </c>
      <c r="C798" t="s">
        <v>252</v>
      </c>
      <c r="D798" t="s">
        <v>253</v>
      </c>
      <c r="E798" t="s">
        <v>72</v>
      </c>
      <c r="F798" s="1">
        <v>2682</v>
      </c>
      <c r="G798" s="1">
        <v>149</v>
      </c>
      <c r="H798" s="1">
        <v>37200</v>
      </c>
    </row>
    <row r="799" spans="1:8" ht="17.25" x14ac:dyDescent="0.35">
      <c r="A799">
        <v>798</v>
      </c>
      <c r="B799" t="s">
        <v>1241</v>
      </c>
      <c r="C799" t="s">
        <v>13</v>
      </c>
      <c r="D799" t="s">
        <v>219</v>
      </c>
      <c r="E799" t="s">
        <v>428</v>
      </c>
      <c r="F799" s="1">
        <v>2680</v>
      </c>
      <c r="G799" s="1">
        <v>-354</v>
      </c>
      <c r="H799" s="1">
        <v>1143</v>
      </c>
    </row>
    <row r="800" spans="1:8" ht="17.25" x14ac:dyDescent="0.35">
      <c r="A800">
        <v>799</v>
      </c>
      <c r="B800" t="s">
        <v>1242</v>
      </c>
      <c r="C800" t="s">
        <v>25</v>
      </c>
      <c r="D800" t="s">
        <v>305</v>
      </c>
      <c r="E800" t="s">
        <v>1208</v>
      </c>
      <c r="F800" s="1">
        <v>2674</v>
      </c>
      <c r="G800" s="1">
        <v>251</v>
      </c>
      <c r="H800" s="1">
        <v>11400</v>
      </c>
    </row>
    <row r="801" spans="1:8" ht="17.25" x14ac:dyDescent="0.35">
      <c r="A801">
        <v>800</v>
      </c>
      <c r="B801" t="s">
        <v>1243</v>
      </c>
      <c r="C801" t="s">
        <v>131</v>
      </c>
      <c r="D801" t="s">
        <v>691</v>
      </c>
      <c r="E801" t="s">
        <v>1244</v>
      </c>
      <c r="F801" s="1">
        <v>2667</v>
      </c>
      <c r="G801" s="1">
        <v>45</v>
      </c>
      <c r="H801" s="1">
        <v>13000</v>
      </c>
    </row>
    <row r="802" spans="1:8" ht="17.25" x14ac:dyDescent="0.35">
      <c r="A802">
        <v>801</v>
      </c>
      <c r="B802" t="s">
        <v>1245</v>
      </c>
      <c r="C802" t="s">
        <v>315</v>
      </c>
      <c r="D802" t="s">
        <v>408</v>
      </c>
      <c r="E802" t="s">
        <v>86</v>
      </c>
      <c r="F802" s="1">
        <v>2664</v>
      </c>
      <c r="G802" s="1">
        <v>429</v>
      </c>
      <c r="H802" s="1">
        <v>8000</v>
      </c>
    </row>
    <row r="803" spans="1:8" ht="17.25" x14ac:dyDescent="0.35">
      <c r="A803">
        <v>802</v>
      </c>
      <c r="B803" t="s">
        <v>1246</v>
      </c>
      <c r="C803" t="s">
        <v>13</v>
      </c>
      <c r="D803" t="s">
        <v>13</v>
      </c>
      <c r="E803" t="s">
        <v>58</v>
      </c>
      <c r="F803" s="1">
        <v>2660</v>
      </c>
      <c r="G803" s="1">
        <v>131</v>
      </c>
      <c r="H803" s="1">
        <v>1529</v>
      </c>
    </row>
    <row r="804" spans="1:8" ht="17.25" x14ac:dyDescent="0.35">
      <c r="A804">
        <v>803</v>
      </c>
      <c r="B804" t="s">
        <v>1247</v>
      </c>
      <c r="C804" t="s">
        <v>315</v>
      </c>
      <c r="D804" t="s">
        <v>399</v>
      </c>
      <c r="E804" t="s">
        <v>1248</v>
      </c>
      <c r="F804" s="1">
        <v>2659</v>
      </c>
      <c r="G804" s="1">
        <v>32</v>
      </c>
      <c r="H804" s="1">
        <v>2500</v>
      </c>
    </row>
    <row r="805" spans="1:8" ht="17.25" x14ac:dyDescent="0.35">
      <c r="A805">
        <v>804</v>
      </c>
      <c r="B805" t="s">
        <v>1249</v>
      </c>
      <c r="C805" t="s">
        <v>115</v>
      </c>
      <c r="D805" t="s">
        <v>122</v>
      </c>
      <c r="E805" t="s">
        <v>430</v>
      </c>
      <c r="F805" s="1">
        <v>2656</v>
      </c>
      <c r="G805" s="1">
        <v>213</v>
      </c>
      <c r="H805" s="1">
        <v>4300</v>
      </c>
    </row>
    <row r="806" spans="1:8" ht="17.25" x14ac:dyDescent="0.35">
      <c r="A806">
        <v>805</v>
      </c>
      <c r="B806" t="s">
        <v>1250</v>
      </c>
      <c r="C806" t="s">
        <v>17</v>
      </c>
      <c r="D806" t="s">
        <v>137</v>
      </c>
      <c r="E806" t="s">
        <v>954</v>
      </c>
      <c r="F806" s="1">
        <v>2654</v>
      </c>
      <c r="G806" s="1">
        <v>94</v>
      </c>
      <c r="H806" s="1">
        <v>14000</v>
      </c>
    </row>
    <row r="807" spans="1:8" ht="17.25" x14ac:dyDescent="0.35">
      <c r="A807">
        <v>806</v>
      </c>
      <c r="B807" t="s">
        <v>1251</v>
      </c>
      <c r="C807" t="s">
        <v>44</v>
      </c>
      <c r="D807" t="s">
        <v>45</v>
      </c>
      <c r="E807" t="s">
        <v>331</v>
      </c>
      <c r="F807" s="1">
        <v>2647</v>
      </c>
      <c r="G807" s="1">
        <v>-374</v>
      </c>
      <c r="H807" s="1">
        <v>12700</v>
      </c>
    </row>
    <row r="808" spans="1:8" ht="17.25" x14ac:dyDescent="0.35">
      <c r="A808">
        <v>807</v>
      </c>
      <c r="B808" t="s">
        <v>1252</v>
      </c>
      <c r="C808" t="s">
        <v>9</v>
      </c>
      <c r="D808" t="s">
        <v>216</v>
      </c>
      <c r="E808" t="s">
        <v>1253</v>
      </c>
      <c r="F808" s="1">
        <v>2642</v>
      </c>
      <c r="G808" s="1">
        <v>2</v>
      </c>
      <c r="H808" s="1">
        <v>14755</v>
      </c>
    </row>
    <row r="809" spans="1:8" ht="17.25" x14ac:dyDescent="0.35">
      <c r="A809">
        <v>808</v>
      </c>
      <c r="B809" t="s">
        <v>1254</v>
      </c>
      <c r="C809" t="s">
        <v>153</v>
      </c>
      <c r="D809" t="s">
        <v>224</v>
      </c>
      <c r="E809" t="s">
        <v>990</v>
      </c>
      <c r="F809" s="1">
        <v>2640</v>
      </c>
      <c r="G809" s="1">
        <v>215</v>
      </c>
      <c r="H809" s="1">
        <v>12528</v>
      </c>
    </row>
    <row r="810" spans="1:8" ht="17.25" x14ac:dyDescent="0.35">
      <c r="A810">
        <v>809</v>
      </c>
      <c r="B810" t="s">
        <v>1255</v>
      </c>
      <c r="C810" t="s">
        <v>32</v>
      </c>
      <c r="D810" t="s">
        <v>32</v>
      </c>
      <c r="E810" t="s">
        <v>331</v>
      </c>
      <c r="F810" s="1">
        <v>2639</v>
      </c>
      <c r="G810" s="1">
        <v>219</v>
      </c>
      <c r="H810" s="1">
        <v>11650</v>
      </c>
    </row>
    <row r="811" spans="1:8" ht="17.25" x14ac:dyDescent="0.35">
      <c r="A811">
        <v>810</v>
      </c>
      <c r="B811" t="s">
        <v>1256</v>
      </c>
      <c r="C811" t="s">
        <v>13</v>
      </c>
      <c r="D811" t="s">
        <v>13</v>
      </c>
      <c r="E811" t="s">
        <v>89</v>
      </c>
      <c r="F811" s="1">
        <v>2633</v>
      </c>
      <c r="G811" s="1">
        <v>-1667</v>
      </c>
      <c r="H811" s="1">
        <v>1300</v>
      </c>
    </row>
    <row r="812" spans="1:8" ht="17.25" x14ac:dyDescent="0.35">
      <c r="A812">
        <v>811</v>
      </c>
      <c r="B812" t="s">
        <v>1257</v>
      </c>
      <c r="C812" t="s">
        <v>35</v>
      </c>
      <c r="D812" t="s">
        <v>36</v>
      </c>
      <c r="E812" t="s">
        <v>1258</v>
      </c>
      <c r="F812" s="1">
        <v>2628</v>
      </c>
      <c r="G812" s="1">
        <v>275</v>
      </c>
      <c r="H812" s="1">
        <v>12429</v>
      </c>
    </row>
    <row r="813" spans="1:8" ht="17.25" x14ac:dyDescent="0.35">
      <c r="A813">
        <v>812</v>
      </c>
      <c r="B813" t="s">
        <v>1259</v>
      </c>
      <c r="C813" t="s">
        <v>9</v>
      </c>
      <c r="D813" t="s">
        <v>216</v>
      </c>
      <c r="E813" t="s">
        <v>181</v>
      </c>
      <c r="F813" s="1">
        <v>2620</v>
      </c>
      <c r="G813" s="1">
        <v>136</v>
      </c>
      <c r="H813" s="1">
        <v>11900</v>
      </c>
    </row>
    <row r="814" spans="1:8" ht="17.25" x14ac:dyDescent="0.35">
      <c r="A814">
        <v>813</v>
      </c>
      <c r="B814" t="s">
        <v>1260</v>
      </c>
      <c r="C814" t="s">
        <v>44</v>
      </c>
      <c r="D814" t="s">
        <v>158</v>
      </c>
      <c r="E814" t="s">
        <v>23</v>
      </c>
      <c r="F814" s="1">
        <v>2619</v>
      </c>
      <c r="G814" s="1">
        <v>40</v>
      </c>
      <c r="H814" s="1">
        <v>10697</v>
      </c>
    </row>
    <row r="815" spans="1:8" ht="17.25" x14ac:dyDescent="0.35">
      <c r="A815">
        <v>814</v>
      </c>
      <c r="B815" t="s">
        <v>1261</v>
      </c>
      <c r="C815" t="s">
        <v>131</v>
      </c>
      <c r="D815" t="s">
        <v>710</v>
      </c>
      <c r="E815" t="s">
        <v>1262</v>
      </c>
      <c r="F815" s="1">
        <v>2605</v>
      </c>
      <c r="G815" s="1">
        <v>193</v>
      </c>
      <c r="H815" s="1">
        <v>10689</v>
      </c>
    </row>
    <row r="816" spans="1:8" ht="17.25" x14ac:dyDescent="0.35">
      <c r="A816">
        <v>815</v>
      </c>
      <c r="B816" t="s">
        <v>1263</v>
      </c>
      <c r="C816" t="s">
        <v>25</v>
      </c>
      <c r="D816" t="s">
        <v>110</v>
      </c>
      <c r="E816" t="s">
        <v>1264</v>
      </c>
      <c r="F816" s="1">
        <v>2604</v>
      </c>
      <c r="G816" s="1">
        <v>144</v>
      </c>
      <c r="H816" s="1">
        <v>2924</v>
      </c>
    </row>
    <row r="817" spans="1:8" ht="17.25" x14ac:dyDescent="0.35">
      <c r="A817">
        <v>816</v>
      </c>
      <c r="B817" t="s">
        <v>1265</v>
      </c>
      <c r="C817" t="s">
        <v>315</v>
      </c>
      <c r="D817" t="s">
        <v>399</v>
      </c>
      <c r="E817" t="s">
        <v>1266</v>
      </c>
      <c r="F817" s="1">
        <v>2604</v>
      </c>
      <c r="G817" s="1">
        <v>39</v>
      </c>
      <c r="H817" s="1">
        <v>2400</v>
      </c>
    </row>
    <row r="818" spans="1:8" ht="17.25" x14ac:dyDescent="0.35">
      <c r="A818">
        <v>817</v>
      </c>
      <c r="B818" t="s">
        <v>1267</v>
      </c>
      <c r="C818" t="s">
        <v>13</v>
      </c>
      <c r="D818" t="s">
        <v>231</v>
      </c>
      <c r="E818" t="s">
        <v>1268</v>
      </c>
      <c r="F818" s="1">
        <v>2603</v>
      </c>
      <c r="G818" s="1">
        <v>160</v>
      </c>
      <c r="H818" s="1">
        <v>3918</v>
      </c>
    </row>
    <row r="819" spans="1:8" ht="17.25" x14ac:dyDescent="0.35">
      <c r="A819">
        <v>818</v>
      </c>
      <c r="B819" t="s">
        <v>1269</v>
      </c>
      <c r="C819" t="s">
        <v>25</v>
      </c>
      <c r="D819" t="s">
        <v>305</v>
      </c>
      <c r="E819" t="s">
        <v>272</v>
      </c>
      <c r="F819" s="1">
        <v>2601</v>
      </c>
      <c r="G819" s="1">
        <v>346</v>
      </c>
      <c r="H819" s="1">
        <v>9800</v>
      </c>
    </row>
    <row r="820" spans="1:8" ht="17.25" x14ac:dyDescent="0.35">
      <c r="A820">
        <v>819</v>
      </c>
      <c r="B820" t="s">
        <v>1270</v>
      </c>
      <c r="C820" t="s">
        <v>315</v>
      </c>
      <c r="D820" t="s">
        <v>399</v>
      </c>
      <c r="E820" t="s">
        <v>156</v>
      </c>
      <c r="F820" s="1">
        <v>2594</v>
      </c>
      <c r="G820" s="1">
        <v>160</v>
      </c>
      <c r="H820" s="1">
        <v>13000</v>
      </c>
    </row>
    <row r="821" spans="1:8" ht="17.25" x14ac:dyDescent="0.35">
      <c r="A821">
        <v>820</v>
      </c>
      <c r="B821" t="s">
        <v>1271</v>
      </c>
      <c r="C821" t="s">
        <v>315</v>
      </c>
      <c r="D821" t="s">
        <v>1159</v>
      </c>
      <c r="E821" t="s">
        <v>241</v>
      </c>
      <c r="F821" s="1">
        <v>2591</v>
      </c>
      <c r="G821" s="1">
        <v>30</v>
      </c>
      <c r="H821" s="1">
        <v>23400</v>
      </c>
    </row>
    <row r="822" spans="1:8" ht="17.25" x14ac:dyDescent="0.35">
      <c r="A822">
        <v>821</v>
      </c>
      <c r="B822" t="s">
        <v>1272</v>
      </c>
      <c r="C822" t="s">
        <v>142</v>
      </c>
      <c r="D822" t="s">
        <v>143</v>
      </c>
      <c r="E822" t="s">
        <v>50</v>
      </c>
      <c r="F822" s="1">
        <v>2581</v>
      </c>
      <c r="G822" s="1">
        <v>367</v>
      </c>
      <c r="H822" s="1">
        <v>2341</v>
      </c>
    </row>
    <row r="823" spans="1:8" ht="17.25" x14ac:dyDescent="0.35">
      <c r="A823">
        <v>822</v>
      </c>
      <c r="B823" t="s">
        <v>1273</v>
      </c>
      <c r="C823" t="s">
        <v>335</v>
      </c>
      <c r="D823" t="s">
        <v>495</v>
      </c>
      <c r="E823" t="s">
        <v>890</v>
      </c>
      <c r="F823" s="1">
        <v>2580</v>
      </c>
      <c r="G823" s="1">
        <v>129</v>
      </c>
      <c r="H823" s="1">
        <v>1409</v>
      </c>
    </row>
    <row r="824" spans="1:8" ht="17.25" x14ac:dyDescent="0.35">
      <c r="A824">
        <v>823</v>
      </c>
      <c r="B824" t="s">
        <v>1274</v>
      </c>
      <c r="C824" t="s">
        <v>44</v>
      </c>
      <c r="D824" t="s">
        <v>45</v>
      </c>
      <c r="E824" t="s">
        <v>439</v>
      </c>
      <c r="F824" s="1">
        <v>2578</v>
      </c>
      <c r="G824" s="1">
        <v>75</v>
      </c>
      <c r="H824" s="1">
        <v>5400</v>
      </c>
    </row>
    <row r="825" spans="1:8" ht="17.25" x14ac:dyDescent="0.35">
      <c r="A825">
        <v>824</v>
      </c>
      <c r="B825" t="s">
        <v>1275</v>
      </c>
      <c r="C825" t="s">
        <v>9</v>
      </c>
      <c r="D825" t="s">
        <v>216</v>
      </c>
      <c r="E825" t="s">
        <v>72</v>
      </c>
      <c r="F825" s="1">
        <v>2577</v>
      </c>
      <c r="G825" s="1">
        <v>82</v>
      </c>
      <c r="H825" s="1">
        <v>11000</v>
      </c>
    </row>
    <row r="826" spans="1:8" ht="17.25" x14ac:dyDescent="0.35">
      <c r="A826">
        <v>825</v>
      </c>
      <c r="B826" t="s">
        <v>1276</v>
      </c>
      <c r="C826" t="s">
        <v>9</v>
      </c>
      <c r="D826" t="s">
        <v>54</v>
      </c>
      <c r="E826" t="s">
        <v>1277</v>
      </c>
      <c r="F826" s="1">
        <v>2574</v>
      </c>
      <c r="G826" s="1">
        <v>47</v>
      </c>
      <c r="H826" s="1">
        <v>2155</v>
      </c>
    </row>
    <row r="827" spans="1:8" ht="17.25" x14ac:dyDescent="0.35">
      <c r="A827">
        <v>826</v>
      </c>
      <c r="B827" t="s">
        <v>1278</v>
      </c>
      <c r="C827" t="s">
        <v>13</v>
      </c>
      <c r="D827" t="s">
        <v>219</v>
      </c>
      <c r="E827" t="s">
        <v>72</v>
      </c>
      <c r="F827" s="1">
        <v>2573</v>
      </c>
      <c r="G827" s="1">
        <v>-2913</v>
      </c>
      <c r="H827" s="1">
        <v>4655</v>
      </c>
    </row>
    <row r="828" spans="1:8" ht="17.25" x14ac:dyDescent="0.35">
      <c r="A828">
        <v>827</v>
      </c>
      <c r="B828" t="s">
        <v>1279</v>
      </c>
      <c r="C828" t="s">
        <v>9</v>
      </c>
      <c r="D828" t="s">
        <v>54</v>
      </c>
      <c r="E828" t="s">
        <v>89</v>
      </c>
      <c r="F828" s="1">
        <v>2547</v>
      </c>
      <c r="G828" s="1">
        <v>65</v>
      </c>
      <c r="H828" s="1">
        <v>7186</v>
      </c>
    </row>
    <row r="829" spans="1:8" ht="17.25" x14ac:dyDescent="0.35">
      <c r="A829">
        <v>828</v>
      </c>
      <c r="B829" t="s">
        <v>1280</v>
      </c>
      <c r="C829" t="s">
        <v>21</v>
      </c>
      <c r="D829" t="s">
        <v>493</v>
      </c>
      <c r="E829" t="s">
        <v>171</v>
      </c>
      <c r="F829" s="1">
        <v>2544</v>
      </c>
      <c r="G829" s="1">
        <v>-559</v>
      </c>
      <c r="H829" s="1">
        <v>187</v>
      </c>
    </row>
    <row r="830" spans="1:8" ht="17.25" x14ac:dyDescent="0.35">
      <c r="A830">
        <v>829</v>
      </c>
      <c r="B830" t="s">
        <v>1281</v>
      </c>
      <c r="C830" t="s">
        <v>150</v>
      </c>
      <c r="D830" t="s">
        <v>150</v>
      </c>
      <c r="E830" t="s">
        <v>1282</v>
      </c>
      <c r="F830" s="1">
        <v>2542</v>
      </c>
      <c r="G830" s="1">
        <v>-309</v>
      </c>
      <c r="H830" s="1">
        <v>8200</v>
      </c>
    </row>
    <row r="831" spans="1:8" ht="17.25" x14ac:dyDescent="0.35">
      <c r="A831">
        <v>830</v>
      </c>
      <c r="B831" t="s">
        <v>1283</v>
      </c>
      <c r="C831" t="s">
        <v>17</v>
      </c>
      <c r="D831" t="s">
        <v>137</v>
      </c>
      <c r="E831" t="s">
        <v>1284</v>
      </c>
      <c r="F831" s="1">
        <v>2541</v>
      </c>
      <c r="G831" s="1">
        <v>95</v>
      </c>
      <c r="H831" s="1">
        <v>10500</v>
      </c>
    </row>
    <row r="832" spans="1:8" ht="17.25" x14ac:dyDescent="0.35">
      <c r="A832">
        <v>831</v>
      </c>
      <c r="B832" t="s">
        <v>1285</v>
      </c>
      <c r="C832" t="s">
        <v>44</v>
      </c>
      <c r="D832" t="s">
        <v>192</v>
      </c>
      <c r="E832" t="s">
        <v>183</v>
      </c>
      <c r="F832" s="1">
        <v>2537</v>
      </c>
      <c r="G832" s="1">
        <v>283</v>
      </c>
      <c r="H832" s="1">
        <v>13386</v>
      </c>
    </row>
    <row r="833" spans="1:8" ht="17.25" x14ac:dyDescent="0.35">
      <c r="A833">
        <v>832</v>
      </c>
      <c r="B833" t="s">
        <v>1286</v>
      </c>
      <c r="C833" t="s">
        <v>44</v>
      </c>
      <c r="D833" t="s">
        <v>45</v>
      </c>
      <c r="E833" t="s">
        <v>439</v>
      </c>
      <c r="F833" s="1">
        <v>2536</v>
      </c>
      <c r="G833" s="1">
        <v>128</v>
      </c>
      <c r="H833" s="1">
        <v>10000</v>
      </c>
    </row>
    <row r="834" spans="1:8" ht="17.25" x14ac:dyDescent="0.35">
      <c r="A834">
        <v>833</v>
      </c>
      <c r="B834" t="s">
        <v>1287</v>
      </c>
      <c r="C834" t="s">
        <v>21</v>
      </c>
      <c r="D834" t="s">
        <v>493</v>
      </c>
      <c r="E834" t="s">
        <v>50</v>
      </c>
      <c r="F834" s="1">
        <v>2530</v>
      </c>
      <c r="G834" s="1">
        <v>760</v>
      </c>
      <c r="H834" s="1">
        <v>4089</v>
      </c>
    </row>
    <row r="835" spans="1:8" ht="17.25" x14ac:dyDescent="0.35">
      <c r="A835">
        <v>834</v>
      </c>
      <c r="B835" t="s">
        <v>1288</v>
      </c>
      <c r="C835" t="s">
        <v>17</v>
      </c>
      <c r="D835" t="s">
        <v>80</v>
      </c>
      <c r="E835" t="s">
        <v>1289</v>
      </c>
      <c r="F835" s="1">
        <v>2530</v>
      </c>
      <c r="G835" s="1">
        <v>-214</v>
      </c>
      <c r="H835" s="1">
        <v>11300</v>
      </c>
    </row>
    <row r="836" spans="1:8" ht="17.25" x14ac:dyDescent="0.35">
      <c r="A836">
        <v>835</v>
      </c>
      <c r="B836" t="s">
        <v>1290</v>
      </c>
      <c r="C836" t="s">
        <v>44</v>
      </c>
      <c r="D836" t="s">
        <v>45</v>
      </c>
      <c r="E836" t="s">
        <v>417</v>
      </c>
      <c r="F836" s="1">
        <v>2526</v>
      </c>
      <c r="G836" s="1">
        <v>-27</v>
      </c>
      <c r="H836" s="1">
        <v>11400</v>
      </c>
    </row>
    <row r="837" spans="1:8" ht="17.25" x14ac:dyDescent="0.35">
      <c r="A837">
        <v>836</v>
      </c>
      <c r="B837" t="s">
        <v>1291</v>
      </c>
      <c r="C837" t="s">
        <v>76</v>
      </c>
      <c r="D837" t="s">
        <v>77</v>
      </c>
      <c r="E837" t="s">
        <v>1292</v>
      </c>
      <c r="F837" s="1">
        <v>2526</v>
      </c>
      <c r="G837" s="1">
        <v>132</v>
      </c>
      <c r="H837" s="1">
        <v>10691</v>
      </c>
    </row>
    <row r="838" spans="1:8" ht="17.25" x14ac:dyDescent="0.35">
      <c r="A838">
        <v>837</v>
      </c>
      <c r="B838" t="s">
        <v>1293</v>
      </c>
      <c r="C838" t="s">
        <v>153</v>
      </c>
      <c r="D838" t="s">
        <v>224</v>
      </c>
      <c r="E838" t="s">
        <v>1294</v>
      </c>
      <c r="F838" s="1">
        <v>2515</v>
      </c>
      <c r="G838" s="1">
        <v>62</v>
      </c>
      <c r="H838" s="1">
        <v>3366</v>
      </c>
    </row>
    <row r="839" spans="1:8" ht="17.25" x14ac:dyDescent="0.35">
      <c r="A839">
        <v>838</v>
      </c>
      <c r="B839" t="s">
        <v>1295</v>
      </c>
      <c r="C839" t="s">
        <v>21</v>
      </c>
      <c r="D839" t="s">
        <v>22</v>
      </c>
      <c r="E839" t="s">
        <v>50</v>
      </c>
      <c r="F839" s="1">
        <v>2511</v>
      </c>
      <c r="G839" s="1">
        <v>142</v>
      </c>
      <c r="H839" s="1">
        <v>4630</v>
      </c>
    </row>
    <row r="840" spans="1:8" ht="17.25" x14ac:dyDescent="0.35">
      <c r="A840">
        <v>839</v>
      </c>
      <c r="B840" t="s">
        <v>1296</v>
      </c>
      <c r="C840" t="s">
        <v>21</v>
      </c>
      <c r="D840" t="s">
        <v>479</v>
      </c>
      <c r="E840" t="s">
        <v>50</v>
      </c>
      <c r="F840" s="1">
        <v>2509</v>
      </c>
      <c r="G840" s="1">
        <v>-509</v>
      </c>
      <c r="H840" s="1">
        <v>2116</v>
      </c>
    </row>
    <row r="841" spans="1:8" ht="17.25" x14ac:dyDescent="0.35">
      <c r="A841">
        <v>840</v>
      </c>
      <c r="B841" t="s">
        <v>1297</v>
      </c>
      <c r="C841" t="s">
        <v>9</v>
      </c>
      <c r="D841" t="s">
        <v>216</v>
      </c>
      <c r="E841" t="s">
        <v>50</v>
      </c>
      <c r="F841" s="1">
        <v>2506</v>
      </c>
      <c r="G841" s="1">
        <v>-1243</v>
      </c>
      <c r="H841" s="1">
        <v>10450</v>
      </c>
    </row>
    <row r="842" spans="1:8" ht="17.25" x14ac:dyDescent="0.35">
      <c r="A842">
        <v>841</v>
      </c>
      <c r="B842" t="s">
        <v>1298</v>
      </c>
      <c r="C842" t="s">
        <v>44</v>
      </c>
      <c r="D842" t="s">
        <v>192</v>
      </c>
      <c r="E842" t="s">
        <v>1299</v>
      </c>
      <c r="F842" s="1">
        <v>2506</v>
      </c>
      <c r="G842" s="1">
        <v>181</v>
      </c>
      <c r="H842" s="1">
        <v>9500</v>
      </c>
    </row>
    <row r="843" spans="1:8" ht="17.25" x14ac:dyDescent="0.35">
      <c r="A843">
        <v>842</v>
      </c>
      <c r="B843" t="s">
        <v>1300</v>
      </c>
      <c r="C843" t="s">
        <v>17</v>
      </c>
      <c r="D843" t="s">
        <v>80</v>
      </c>
      <c r="E843" t="s">
        <v>1301</v>
      </c>
      <c r="F843" s="1">
        <v>2504</v>
      </c>
      <c r="G843" s="1">
        <v>-331</v>
      </c>
      <c r="H843" s="1">
        <v>9500</v>
      </c>
    </row>
    <row r="844" spans="1:8" ht="17.25" x14ac:dyDescent="0.35">
      <c r="A844">
        <v>843</v>
      </c>
      <c r="B844" t="s">
        <v>1302</v>
      </c>
      <c r="C844" t="s">
        <v>13</v>
      </c>
      <c r="D844" t="s">
        <v>231</v>
      </c>
      <c r="E844" t="s">
        <v>1126</v>
      </c>
      <c r="F844" s="1">
        <v>2502</v>
      </c>
      <c r="G844" s="1">
        <v>213</v>
      </c>
      <c r="H844" s="1">
        <v>2899</v>
      </c>
    </row>
    <row r="845" spans="1:8" ht="17.25" x14ac:dyDescent="0.35">
      <c r="A845">
        <v>844</v>
      </c>
      <c r="B845" t="s">
        <v>1303</v>
      </c>
      <c r="C845" t="s">
        <v>21</v>
      </c>
      <c r="D845" t="s">
        <v>163</v>
      </c>
      <c r="E845" t="s">
        <v>50</v>
      </c>
      <c r="F845" s="1">
        <v>2495</v>
      </c>
      <c r="G845" s="1">
        <v>65</v>
      </c>
      <c r="H845" s="1">
        <v>1093</v>
      </c>
    </row>
    <row r="846" spans="1:8" ht="17.25" x14ac:dyDescent="0.35">
      <c r="A846">
        <v>845</v>
      </c>
      <c r="B846" t="s">
        <v>1304</v>
      </c>
      <c r="C846" t="s">
        <v>25</v>
      </c>
      <c r="D846" t="s">
        <v>305</v>
      </c>
      <c r="E846" t="s">
        <v>171</v>
      </c>
      <c r="F846" s="1">
        <v>2494</v>
      </c>
      <c r="G846" s="1">
        <v>495</v>
      </c>
      <c r="H846" s="1">
        <v>9800</v>
      </c>
    </row>
    <row r="847" spans="1:8" ht="17.25" x14ac:dyDescent="0.35">
      <c r="A847">
        <v>846</v>
      </c>
      <c r="B847" t="s">
        <v>1305</v>
      </c>
      <c r="C847" t="s">
        <v>21</v>
      </c>
      <c r="D847" t="s">
        <v>493</v>
      </c>
      <c r="E847" t="s">
        <v>189</v>
      </c>
      <c r="F847" s="1">
        <v>2491</v>
      </c>
      <c r="G847" s="1">
        <v>583</v>
      </c>
      <c r="H847" s="1">
        <v>765</v>
      </c>
    </row>
    <row r="848" spans="1:8" ht="17.25" x14ac:dyDescent="0.35">
      <c r="A848">
        <v>847</v>
      </c>
      <c r="B848" t="s">
        <v>1306</v>
      </c>
      <c r="C848" t="s">
        <v>44</v>
      </c>
      <c r="D848" t="s">
        <v>45</v>
      </c>
      <c r="E848" t="s">
        <v>1307</v>
      </c>
      <c r="F848" s="1">
        <v>2486</v>
      </c>
      <c r="G848" s="1">
        <v>352</v>
      </c>
      <c r="H848" s="1">
        <v>9700</v>
      </c>
    </row>
    <row r="849" spans="1:8" ht="17.25" x14ac:dyDescent="0.35">
      <c r="A849">
        <v>848</v>
      </c>
      <c r="B849" t="s">
        <v>1308</v>
      </c>
      <c r="C849" t="s">
        <v>21</v>
      </c>
      <c r="D849" t="s">
        <v>479</v>
      </c>
      <c r="E849" t="s">
        <v>1282</v>
      </c>
      <c r="F849" s="1">
        <v>2485</v>
      </c>
      <c r="G849" s="1">
        <v>516</v>
      </c>
      <c r="H849" s="1">
        <v>3200</v>
      </c>
    </row>
    <row r="850" spans="1:8" ht="17.25" x14ac:dyDescent="0.35">
      <c r="A850">
        <v>849</v>
      </c>
      <c r="B850" t="s">
        <v>1309</v>
      </c>
      <c r="C850" t="s">
        <v>32</v>
      </c>
      <c r="D850" t="s">
        <v>32</v>
      </c>
      <c r="E850" t="s">
        <v>1310</v>
      </c>
      <c r="F850" s="1">
        <v>2472</v>
      </c>
      <c r="G850" s="1">
        <v>-62</v>
      </c>
      <c r="H850" s="1">
        <v>14800</v>
      </c>
    </row>
    <row r="851" spans="1:8" ht="17.25" x14ac:dyDescent="0.35">
      <c r="A851">
        <v>850</v>
      </c>
      <c r="B851" t="s">
        <v>1311</v>
      </c>
      <c r="C851" t="s">
        <v>13</v>
      </c>
      <c r="D851" t="s">
        <v>14</v>
      </c>
      <c r="E851" t="s">
        <v>1312</v>
      </c>
      <c r="F851" s="1">
        <v>2470</v>
      </c>
      <c r="G851" s="1">
        <v>82</v>
      </c>
      <c r="H851" s="1">
        <v>2997</v>
      </c>
    </row>
    <row r="852" spans="1:8" ht="17.25" x14ac:dyDescent="0.35">
      <c r="A852">
        <v>851</v>
      </c>
      <c r="B852" t="s">
        <v>1313</v>
      </c>
      <c r="C852" t="s">
        <v>13</v>
      </c>
      <c r="D852" t="s">
        <v>231</v>
      </c>
      <c r="E852" t="s">
        <v>466</v>
      </c>
      <c r="F852" s="1">
        <v>2464</v>
      </c>
      <c r="G852" s="1">
        <v>138</v>
      </c>
      <c r="H852" s="1">
        <v>5876</v>
      </c>
    </row>
    <row r="853" spans="1:8" ht="17.25" x14ac:dyDescent="0.35">
      <c r="A853">
        <v>852</v>
      </c>
      <c r="B853" t="s">
        <v>1314</v>
      </c>
      <c r="C853" t="s">
        <v>21</v>
      </c>
      <c r="D853" t="s">
        <v>163</v>
      </c>
      <c r="E853" t="s">
        <v>439</v>
      </c>
      <c r="F853" s="1">
        <v>2462</v>
      </c>
      <c r="G853" s="1">
        <v>120</v>
      </c>
      <c r="H853" s="1">
        <v>2186</v>
      </c>
    </row>
    <row r="854" spans="1:8" ht="17.25" x14ac:dyDescent="0.35">
      <c r="A854">
        <v>853</v>
      </c>
      <c r="B854" t="s">
        <v>1315</v>
      </c>
      <c r="C854" t="s">
        <v>13</v>
      </c>
      <c r="D854" t="s">
        <v>231</v>
      </c>
      <c r="E854" t="s">
        <v>1316</v>
      </c>
      <c r="F854" s="1">
        <v>2459</v>
      </c>
      <c r="G854" s="1">
        <v>292</v>
      </c>
      <c r="H854" s="1">
        <v>2330</v>
      </c>
    </row>
    <row r="855" spans="1:8" ht="17.25" x14ac:dyDescent="0.35">
      <c r="A855">
        <v>854</v>
      </c>
      <c r="B855" t="s">
        <v>1317</v>
      </c>
      <c r="C855" t="s">
        <v>17</v>
      </c>
      <c r="D855" t="s">
        <v>146</v>
      </c>
      <c r="E855" t="s">
        <v>1318</v>
      </c>
      <c r="F855" s="1">
        <v>2446</v>
      </c>
      <c r="G855" s="1">
        <v>12</v>
      </c>
      <c r="H855" s="1">
        <v>5345</v>
      </c>
    </row>
    <row r="856" spans="1:8" ht="17.25" x14ac:dyDescent="0.35">
      <c r="A856">
        <v>855</v>
      </c>
      <c r="B856" t="s">
        <v>1319</v>
      </c>
      <c r="C856" t="s">
        <v>13</v>
      </c>
      <c r="D856" t="s">
        <v>231</v>
      </c>
      <c r="E856" t="s">
        <v>866</v>
      </c>
      <c r="F856" s="1">
        <v>2435</v>
      </c>
      <c r="G856" s="1">
        <v>197</v>
      </c>
      <c r="H856" s="1">
        <v>5600</v>
      </c>
    </row>
    <row r="857" spans="1:8" ht="17.25" x14ac:dyDescent="0.35">
      <c r="A857">
        <v>856</v>
      </c>
      <c r="B857" t="s">
        <v>1320</v>
      </c>
      <c r="C857" t="s">
        <v>98</v>
      </c>
      <c r="D857" t="s">
        <v>99</v>
      </c>
      <c r="E857" t="s">
        <v>514</v>
      </c>
      <c r="F857" s="1">
        <v>2421</v>
      </c>
      <c r="G857" s="1">
        <v>-275</v>
      </c>
      <c r="H857" s="1">
        <v>6000</v>
      </c>
    </row>
    <row r="858" spans="1:8" ht="17.25" x14ac:dyDescent="0.35">
      <c r="A858">
        <v>857</v>
      </c>
      <c r="B858" t="s">
        <v>1321</v>
      </c>
      <c r="C858" t="s">
        <v>282</v>
      </c>
      <c r="D858" t="s">
        <v>812</v>
      </c>
      <c r="E858" t="s">
        <v>1322</v>
      </c>
      <c r="F858" s="1">
        <v>2420</v>
      </c>
      <c r="G858" s="1">
        <v>94</v>
      </c>
      <c r="H858" s="1">
        <v>7600</v>
      </c>
    </row>
    <row r="859" spans="1:8" ht="17.25" x14ac:dyDescent="0.35">
      <c r="A859">
        <v>858</v>
      </c>
      <c r="B859" t="s">
        <v>1323</v>
      </c>
      <c r="C859" t="s">
        <v>131</v>
      </c>
      <c r="D859" t="s">
        <v>288</v>
      </c>
      <c r="E859" t="s">
        <v>1126</v>
      </c>
      <c r="F859" s="1">
        <v>2419</v>
      </c>
      <c r="G859" s="1">
        <v>484</v>
      </c>
      <c r="H859" s="1">
        <v>6670</v>
      </c>
    </row>
    <row r="860" spans="1:8" ht="17.25" x14ac:dyDescent="0.35">
      <c r="A860">
        <v>859</v>
      </c>
      <c r="B860" t="s">
        <v>1324</v>
      </c>
      <c r="C860" t="s">
        <v>13</v>
      </c>
      <c r="D860" t="s">
        <v>173</v>
      </c>
      <c r="E860" t="s">
        <v>428</v>
      </c>
      <c r="F860" s="1">
        <v>2418</v>
      </c>
      <c r="G860" s="1">
        <v>-752</v>
      </c>
      <c r="H860" s="1">
        <v>1640</v>
      </c>
    </row>
    <row r="861" spans="1:8" ht="17.25" x14ac:dyDescent="0.35">
      <c r="A861">
        <v>860</v>
      </c>
      <c r="B861" t="s">
        <v>1325</v>
      </c>
      <c r="C861" t="s">
        <v>13</v>
      </c>
      <c r="D861" t="s">
        <v>219</v>
      </c>
      <c r="E861" t="s">
        <v>439</v>
      </c>
      <c r="F861" s="1">
        <v>2418</v>
      </c>
      <c r="G861" s="1">
        <v>-749</v>
      </c>
      <c r="H861" s="1">
        <v>2638</v>
      </c>
    </row>
    <row r="862" spans="1:8" ht="17.25" x14ac:dyDescent="0.35">
      <c r="A862">
        <v>861</v>
      </c>
      <c r="B862" t="s">
        <v>1326</v>
      </c>
      <c r="C862" t="s">
        <v>21</v>
      </c>
      <c r="D862" t="s">
        <v>493</v>
      </c>
      <c r="E862" t="s">
        <v>78</v>
      </c>
      <c r="F862" s="1">
        <v>2404</v>
      </c>
      <c r="G862" s="1">
        <v>1375</v>
      </c>
      <c r="H862" s="1">
        <v>1700</v>
      </c>
    </row>
    <row r="863" spans="1:8" ht="17.25" x14ac:dyDescent="0.35">
      <c r="A863">
        <v>862</v>
      </c>
      <c r="B863" t="s">
        <v>1327</v>
      </c>
      <c r="C863" t="s">
        <v>13</v>
      </c>
      <c r="D863" t="s">
        <v>219</v>
      </c>
      <c r="E863" t="s">
        <v>338</v>
      </c>
      <c r="F863" s="1">
        <v>2403</v>
      </c>
      <c r="G863" s="1">
        <v>-3554</v>
      </c>
      <c r="H863" s="1">
        <v>1700</v>
      </c>
    </row>
    <row r="864" spans="1:8" ht="17.25" x14ac:dyDescent="0.35">
      <c r="A864">
        <v>863</v>
      </c>
      <c r="B864" t="s">
        <v>1328</v>
      </c>
      <c r="C864" t="s">
        <v>335</v>
      </c>
      <c r="D864" t="s">
        <v>495</v>
      </c>
      <c r="E864" t="s">
        <v>171</v>
      </c>
      <c r="F864" s="1">
        <v>2401</v>
      </c>
      <c r="G864" s="1">
        <v>206</v>
      </c>
      <c r="H864" s="1">
        <v>1036</v>
      </c>
    </row>
    <row r="865" spans="1:8" ht="17.25" x14ac:dyDescent="0.35">
      <c r="A865">
        <v>864</v>
      </c>
      <c r="B865" t="s">
        <v>1329</v>
      </c>
      <c r="C865" t="s">
        <v>17</v>
      </c>
      <c r="D865" t="s">
        <v>294</v>
      </c>
      <c r="E865" t="s">
        <v>181</v>
      </c>
      <c r="F865" s="1">
        <v>2395</v>
      </c>
      <c r="G865" s="1">
        <v>353</v>
      </c>
      <c r="H865" s="1">
        <v>13000</v>
      </c>
    </row>
    <row r="866" spans="1:8" ht="17.25" x14ac:dyDescent="0.35">
      <c r="A866">
        <v>865</v>
      </c>
      <c r="B866" t="s">
        <v>1330</v>
      </c>
      <c r="C866" t="s">
        <v>150</v>
      </c>
      <c r="D866" t="s">
        <v>150</v>
      </c>
      <c r="E866" t="s">
        <v>1331</v>
      </c>
      <c r="F866" s="1">
        <v>2392</v>
      </c>
      <c r="G866" s="1">
        <v>27</v>
      </c>
      <c r="H866" s="1">
        <v>5000</v>
      </c>
    </row>
    <row r="867" spans="1:8" ht="17.25" x14ac:dyDescent="0.35">
      <c r="A867">
        <v>866</v>
      </c>
      <c r="B867" t="s">
        <v>1332</v>
      </c>
      <c r="C867" t="s">
        <v>44</v>
      </c>
      <c r="D867" t="s">
        <v>158</v>
      </c>
      <c r="E867" t="s">
        <v>1333</v>
      </c>
      <c r="F867" s="1">
        <v>2391</v>
      </c>
      <c r="G867" s="1">
        <v>202</v>
      </c>
      <c r="H867" s="1">
        <v>6874</v>
      </c>
    </row>
    <row r="868" spans="1:8" ht="17.25" x14ac:dyDescent="0.35">
      <c r="A868">
        <v>867</v>
      </c>
      <c r="B868" t="s">
        <v>1334</v>
      </c>
      <c r="C868" t="s">
        <v>44</v>
      </c>
      <c r="D868" t="s">
        <v>45</v>
      </c>
      <c r="E868" t="s">
        <v>83</v>
      </c>
      <c r="F868" s="1">
        <v>2389</v>
      </c>
      <c r="G868" s="1">
        <v>88</v>
      </c>
      <c r="H868" s="1">
        <v>8000</v>
      </c>
    </row>
    <row r="869" spans="1:8" ht="17.25" x14ac:dyDescent="0.35">
      <c r="A869">
        <v>868</v>
      </c>
      <c r="B869" t="s">
        <v>1335</v>
      </c>
      <c r="C869" t="s">
        <v>25</v>
      </c>
      <c r="D869" t="s">
        <v>305</v>
      </c>
      <c r="E869" t="s">
        <v>731</v>
      </c>
      <c r="F869" s="1">
        <v>2384</v>
      </c>
      <c r="G869" s="1">
        <v>589</v>
      </c>
      <c r="H869" s="1">
        <v>3211</v>
      </c>
    </row>
    <row r="870" spans="1:8" ht="17.25" x14ac:dyDescent="0.35">
      <c r="A870">
        <v>869</v>
      </c>
      <c r="B870" t="s">
        <v>1336</v>
      </c>
      <c r="C870" t="s">
        <v>315</v>
      </c>
      <c r="D870" t="s">
        <v>399</v>
      </c>
      <c r="E870" t="s">
        <v>23</v>
      </c>
      <c r="F870" s="1">
        <v>2383</v>
      </c>
      <c r="G870" s="1">
        <v>242</v>
      </c>
      <c r="H870" s="1">
        <v>10630</v>
      </c>
    </row>
    <row r="871" spans="1:8" ht="17.25" x14ac:dyDescent="0.35">
      <c r="A871">
        <v>870</v>
      </c>
      <c r="B871" t="s">
        <v>1337</v>
      </c>
      <c r="C871" t="s">
        <v>315</v>
      </c>
      <c r="D871" t="s">
        <v>227</v>
      </c>
      <c r="E871" t="s">
        <v>750</v>
      </c>
      <c r="F871" s="1">
        <v>2382</v>
      </c>
      <c r="G871" s="1">
        <v>1311</v>
      </c>
      <c r="H871" s="1">
        <v>5300</v>
      </c>
    </row>
    <row r="872" spans="1:8" ht="17.25" x14ac:dyDescent="0.35">
      <c r="A872">
        <v>871</v>
      </c>
      <c r="B872" t="s">
        <v>1338</v>
      </c>
      <c r="C872" t="s">
        <v>17</v>
      </c>
      <c r="D872" t="s">
        <v>137</v>
      </c>
      <c r="E872" t="s">
        <v>147</v>
      </c>
      <c r="F872" s="1">
        <v>2377</v>
      </c>
      <c r="G872" s="1">
        <v>648</v>
      </c>
      <c r="H872" s="1">
        <v>3451</v>
      </c>
    </row>
    <row r="873" spans="1:8" ht="17.25" x14ac:dyDescent="0.35">
      <c r="A873">
        <v>872</v>
      </c>
      <c r="B873" t="s">
        <v>1339</v>
      </c>
      <c r="C873" t="s">
        <v>21</v>
      </c>
      <c r="D873" t="s">
        <v>479</v>
      </c>
      <c r="E873" t="s">
        <v>72</v>
      </c>
      <c r="F873" s="1">
        <v>2377</v>
      </c>
      <c r="G873" s="1">
        <v>92</v>
      </c>
      <c r="H873" s="1">
        <v>7100</v>
      </c>
    </row>
    <row r="874" spans="1:8" ht="17.25" x14ac:dyDescent="0.35">
      <c r="A874">
        <v>873</v>
      </c>
      <c r="B874" t="s">
        <v>1340</v>
      </c>
      <c r="C874" t="s">
        <v>44</v>
      </c>
      <c r="D874" t="s">
        <v>45</v>
      </c>
      <c r="E874" t="s">
        <v>108</v>
      </c>
      <c r="F874" s="1">
        <v>2371</v>
      </c>
      <c r="G874" s="1">
        <v>208</v>
      </c>
      <c r="H874" s="1">
        <v>12500</v>
      </c>
    </row>
    <row r="875" spans="1:8" ht="17.25" x14ac:dyDescent="0.35">
      <c r="A875">
        <v>874</v>
      </c>
      <c r="B875" t="s">
        <v>1341</v>
      </c>
      <c r="C875" t="s">
        <v>335</v>
      </c>
      <c r="D875" t="s">
        <v>336</v>
      </c>
      <c r="E875" t="s">
        <v>1342</v>
      </c>
      <c r="F875" s="1">
        <v>2371</v>
      </c>
      <c r="G875" s="1">
        <v>61</v>
      </c>
      <c r="H875" s="1">
        <v>3200</v>
      </c>
    </row>
    <row r="876" spans="1:8" ht="17.25" x14ac:dyDescent="0.35">
      <c r="A876">
        <v>875</v>
      </c>
      <c r="B876" t="s">
        <v>1343</v>
      </c>
      <c r="C876" t="s">
        <v>153</v>
      </c>
      <c r="D876" t="s">
        <v>224</v>
      </c>
      <c r="E876" t="s">
        <v>1344</v>
      </c>
      <c r="F876" s="1">
        <v>2363</v>
      </c>
      <c r="G876" s="1">
        <v>128</v>
      </c>
      <c r="H876" s="1">
        <v>3800</v>
      </c>
    </row>
    <row r="877" spans="1:8" ht="17.25" x14ac:dyDescent="0.35">
      <c r="A877">
        <v>876</v>
      </c>
      <c r="B877" t="s">
        <v>1345</v>
      </c>
      <c r="C877" t="s">
        <v>9</v>
      </c>
      <c r="D877" t="s">
        <v>216</v>
      </c>
      <c r="E877" t="s">
        <v>181</v>
      </c>
      <c r="F877" s="1">
        <v>2350</v>
      </c>
      <c r="G877" s="1">
        <v>117</v>
      </c>
      <c r="H877" s="1">
        <v>10710</v>
      </c>
    </row>
    <row r="878" spans="1:8" ht="17.25" x14ac:dyDescent="0.35">
      <c r="A878">
        <v>877</v>
      </c>
      <c r="B878" t="s">
        <v>1346</v>
      </c>
      <c r="C878" t="s">
        <v>221</v>
      </c>
      <c r="D878" t="s">
        <v>221</v>
      </c>
      <c r="E878" t="s">
        <v>50</v>
      </c>
      <c r="F878" s="1">
        <v>2344</v>
      </c>
      <c r="G878" s="1">
        <v>114</v>
      </c>
      <c r="H878" s="1">
        <v>8919</v>
      </c>
    </row>
    <row r="879" spans="1:8" ht="17.25" x14ac:dyDescent="0.35">
      <c r="A879">
        <v>878</v>
      </c>
      <c r="B879" t="s">
        <v>1347</v>
      </c>
      <c r="C879" t="s">
        <v>21</v>
      </c>
      <c r="D879" t="s">
        <v>22</v>
      </c>
      <c r="E879" t="s">
        <v>78</v>
      </c>
      <c r="F879" s="1">
        <v>2341</v>
      </c>
      <c r="G879" s="1">
        <v>86</v>
      </c>
      <c r="H879" s="1">
        <v>5600</v>
      </c>
    </row>
    <row r="880" spans="1:8" ht="17.25" x14ac:dyDescent="0.35">
      <c r="A880">
        <v>879</v>
      </c>
      <c r="B880" t="s">
        <v>1348</v>
      </c>
      <c r="C880" t="s">
        <v>13</v>
      </c>
      <c r="D880" t="s">
        <v>13</v>
      </c>
      <c r="E880" t="s">
        <v>331</v>
      </c>
      <c r="F880" s="1">
        <v>2340</v>
      </c>
      <c r="G880" s="1">
        <v>85</v>
      </c>
      <c r="H880" s="1">
        <v>1914</v>
      </c>
    </row>
    <row r="881" spans="1:8" ht="17.25" x14ac:dyDescent="0.35">
      <c r="A881">
        <v>880</v>
      </c>
      <c r="B881" t="s">
        <v>1349</v>
      </c>
      <c r="C881" t="s">
        <v>21</v>
      </c>
      <c r="D881" t="s">
        <v>57</v>
      </c>
      <c r="E881" t="s">
        <v>1350</v>
      </c>
      <c r="F881" s="1">
        <v>2339</v>
      </c>
      <c r="G881" s="1">
        <v>39</v>
      </c>
      <c r="H881" s="1">
        <v>6740</v>
      </c>
    </row>
    <row r="882" spans="1:8" ht="17.25" x14ac:dyDescent="0.35">
      <c r="A882">
        <v>881</v>
      </c>
      <c r="B882" t="s">
        <v>1351</v>
      </c>
      <c r="C882" t="s">
        <v>25</v>
      </c>
      <c r="D882" t="s">
        <v>71</v>
      </c>
      <c r="E882" t="s">
        <v>272</v>
      </c>
      <c r="F882" s="1">
        <v>2330</v>
      </c>
      <c r="G882" s="1">
        <v>148</v>
      </c>
      <c r="H882" s="1">
        <v>18660</v>
      </c>
    </row>
    <row r="883" spans="1:8" ht="17.25" x14ac:dyDescent="0.35">
      <c r="A883">
        <v>882</v>
      </c>
      <c r="B883" t="s">
        <v>1352</v>
      </c>
      <c r="C883" t="s">
        <v>221</v>
      </c>
      <c r="D883" t="s">
        <v>221</v>
      </c>
      <c r="E883" t="s">
        <v>529</v>
      </c>
      <c r="F883" s="1">
        <v>2326</v>
      </c>
      <c r="G883" s="1">
        <v>174</v>
      </c>
      <c r="H883" s="1">
        <v>5978</v>
      </c>
    </row>
    <row r="884" spans="1:8" ht="17.25" x14ac:dyDescent="0.35">
      <c r="A884">
        <v>883</v>
      </c>
      <c r="B884" t="s">
        <v>1353</v>
      </c>
      <c r="C884" t="s">
        <v>25</v>
      </c>
      <c r="D884" t="s">
        <v>71</v>
      </c>
      <c r="E884" t="s">
        <v>1354</v>
      </c>
      <c r="F884" s="1">
        <v>2321</v>
      </c>
      <c r="G884" s="1">
        <v>-152</v>
      </c>
      <c r="H884" s="1">
        <v>14000</v>
      </c>
    </row>
    <row r="885" spans="1:8" ht="17.25" x14ac:dyDescent="0.35">
      <c r="A885">
        <v>884</v>
      </c>
      <c r="B885" t="s">
        <v>1355</v>
      </c>
      <c r="C885" t="s">
        <v>131</v>
      </c>
      <c r="D885" t="s">
        <v>177</v>
      </c>
      <c r="E885" t="s">
        <v>1268</v>
      </c>
      <c r="F885" s="1">
        <v>2318</v>
      </c>
      <c r="G885" s="1">
        <v>183</v>
      </c>
      <c r="H885" s="1">
        <v>5548</v>
      </c>
    </row>
    <row r="886" spans="1:8" ht="17.25" x14ac:dyDescent="0.35">
      <c r="A886">
        <v>885</v>
      </c>
      <c r="B886" t="s">
        <v>1356</v>
      </c>
      <c r="C886" t="s">
        <v>282</v>
      </c>
      <c r="D886" t="s">
        <v>285</v>
      </c>
      <c r="E886" t="s">
        <v>1357</v>
      </c>
      <c r="F886" s="1">
        <v>2317</v>
      </c>
      <c r="G886" s="1">
        <v>199</v>
      </c>
      <c r="H886" s="1">
        <v>13000</v>
      </c>
    </row>
    <row r="887" spans="1:8" ht="17.25" x14ac:dyDescent="0.35">
      <c r="A887">
        <v>886</v>
      </c>
      <c r="B887" t="s">
        <v>1358</v>
      </c>
      <c r="C887" t="s">
        <v>315</v>
      </c>
      <c r="D887" t="s">
        <v>408</v>
      </c>
      <c r="E887" t="s">
        <v>382</v>
      </c>
      <c r="F887" s="1">
        <v>2314</v>
      </c>
      <c r="G887" s="1">
        <v>240</v>
      </c>
      <c r="H887" s="1">
        <v>8600</v>
      </c>
    </row>
    <row r="888" spans="1:8" ht="17.25" x14ac:dyDescent="0.35">
      <c r="A888">
        <v>887</v>
      </c>
      <c r="B888" t="s">
        <v>1359</v>
      </c>
      <c r="C888" t="s">
        <v>44</v>
      </c>
      <c r="D888" t="s">
        <v>192</v>
      </c>
      <c r="E888" t="s">
        <v>72</v>
      </c>
      <c r="F888" s="1">
        <v>2309</v>
      </c>
      <c r="G888" s="1">
        <v>66</v>
      </c>
      <c r="H888" s="1">
        <v>8200</v>
      </c>
    </row>
    <row r="889" spans="1:8" ht="17.25" x14ac:dyDescent="0.35">
      <c r="A889">
        <v>888</v>
      </c>
      <c r="B889" t="s">
        <v>1360</v>
      </c>
      <c r="C889" t="s">
        <v>17</v>
      </c>
      <c r="D889" t="s">
        <v>137</v>
      </c>
      <c r="E889" t="s">
        <v>147</v>
      </c>
      <c r="F889" s="1">
        <v>2307</v>
      </c>
      <c r="G889" s="1">
        <v>206</v>
      </c>
      <c r="H889" s="1">
        <v>8250</v>
      </c>
    </row>
    <row r="890" spans="1:8" ht="17.25" x14ac:dyDescent="0.35">
      <c r="A890">
        <v>889</v>
      </c>
      <c r="B890" t="s">
        <v>1361</v>
      </c>
      <c r="C890" t="s">
        <v>115</v>
      </c>
      <c r="D890" t="s">
        <v>165</v>
      </c>
      <c r="E890" t="s">
        <v>83</v>
      </c>
      <c r="F890" s="1">
        <v>2307</v>
      </c>
      <c r="G890" s="1">
        <v>59</v>
      </c>
      <c r="H890" s="1">
        <v>8550</v>
      </c>
    </row>
    <row r="891" spans="1:8" ht="17.25" x14ac:dyDescent="0.35">
      <c r="A891">
        <v>890</v>
      </c>
      <c r="B891" t="s">
        <v>1362</v>
      </c>
      <c r="C891" t="s">
        <v>98</v>
      </c>
      <c r="D891" t="s">
        <v>487</v>
      </c>
      <c r="E891" t="s">
        <v>1363</v>
      </c>
      <c r="F891" s="1">
        <v>2304</v>
      </c>
      <c r="G891" s="1">
        <v>105</v>
      </c>
      <c r="H891" s="1">
        <v>10200</v>
      </c>
    </row>
    <row r="892" spans="1:8" ht="17.25" x14ac:dyDescent="0.35">
      <c r="A892">
        <v>891</v>
      </c>
      <c r="B892" t="s">
        <v>1364</v>
      </c>
      <c r="C892" t="s">
        <v>17</v>
      </c>
      <c r="D892" t="s">
        <v>137</v>
      </c>
      <c r="E892" t="s">
        <v>1365</v>
      </c>
      <c r="F892" s="1">
        <v>2301</v>
      </c>
      <c r="G892" s="1">
        <v>-109</v>
      </c>
      <c r="H892" s="1">
        <v>22400</v>
      </c>
    </row>
    <row r="893" spans="1:8" ht="17.25" x14ac:dyDescent="0.35">
      <c r="A893">
        <v>892</v>
      </c>
      <c r="B893" t="s">
        <v>1366</v>
      </c>
      <c r="C893" t="s">
        <v>335</v>
      </c>
      <c r="D893" t="s">
        <v>336</v>
      </c>
      <c r="E893" t="s">
        <v>454</v>
      </c>
      <c r="F893" s="1">
        <v>2299</v>
      </c>
      <c r="G893" s="1">
        <v>39</v>
      </c>
      <c r="H893" s="1">
        <v>13000</v>
      </c>
    </row>
    <row r="894" spans="1:8" ht="17.25" x14ac:dyDescent="0.35">
      <c r="A894">
        <v>893</v>
      </c>
      <c r="B894" t="s">
        <v>1367</v>
      </c>
      <c r="C894" t="s">
        <v>17</v>
      </c>
      <c r="D894" t="s">
        <v>294</v>
      </c>
      <c r="E894" t="s">
        <v>290</v>
      </c>
      <c r="F894" s="1">
        <v>2298</v>
      </c>
      <c r="G894" s="1">
        <v>196</v>
      </c>
      <c r="H894" s="1">
        <v>9200</v>
      </c>
    </row>
    <row r="895" spans="1:8" ht="17.25" x14ac:dyDescent="0.35">
      <c r="A895">
        <v>894</v>
      </c>
      <c r="B895" t="s">
        <v>1368</v>
      </c>
      <c r="C895" t="s">
        <v>9</v>
      </c>
      <c r="D895" t="s">
        <v>54</v>
      </c>
      <c r="E895" t="s">
        <v>1369</v>
      </c>
      <c r="F895" s="1">
        <v>2295</v>
      </c>
      <c r="G895" s="1">
        <v>11</v>
      </c>
      <c r="H895" s="1">
        <v>12888</v>
      </c>
    </row>
    <row r="896" spans="1:8" ht="17.25" x14ac:dyDescent="0.35">
      <c r="A896">
        <v>895</v>
      </c>
      <c r="B896" t="s">
        <v>1370</v>
      </c>
      <c r="C896" t="s">
        <v>252</v>
      </c>
      <c r="D896" t="s">
        <v>393</v>
      </c>
      <c r="E896" t="s">
        <v>466</v>
      </c>
      <c r="F896" s="1">
        <v>2292</v>
      </c>
      <c r="G896" s="1">
        <v>49</v>
      </c>
      <c r="H896" s="1">
        <v>14726</v>
      </c>
    </row>
    <row r="897" spans="1:8" ht="17.25" x14ac:dyDescent="0.35">
      <c r="A897">
        <v>896</v>
      </c>
      <c r="B897" t="s">
        <v>1371</v>
      </c>
      <c r="C897" t="s">
        <v>17</v>
      </c>
      <c r="D897" t="s">
        <v>294</v>
      </c>
      <c r="E897" t="s">
        <v>731</v>
      </c>
      <c r="F897" s="1">
        <v>2290</v>
      </c>
      <c r="G897" s="1">
        <v>121</v>
      </c>
      <c r="H897" s="1">
        <v>8451</v>
      </c>
    </row>
    <row r="898" spans="1:8" ht="17.25" x14ac:dyDescent="0.35">
      <c r="A898">
        <v>897</v>
      </c>
      <c r="B898" t="s">
        <v>1372</v>
      </c>
      <c r="C898" t="s">
        <v>21</v>
      </c>
      <c r="D898" t="s">
        <v>113</v>
      </c>
      <c r="E898" t="s">
        <v>942</v>
      </c>
      <c r="F898" s="1">
        <v>2290</v>
      </c>
      <c r="G898" s="1">
        <v>209</v>
      </c>
      <c r="H898" s="1">
        <v>1022</v>
      </c>
    </row>
    <row r="899" spans="1:8" ht="17.25" x14ac:dyDescent="0.35">
      <c r="A899">
        <v>898</v>
      </c>
      <c r="B899" t="s">
        <v>1373</v>
      </c>
      <c r="C899" t="s">
        <v>150</v>
      </c>
      <c r="D899" t="s">
        <v>150</v>
      </c>
      <c r="E899" t="s">
        <v>1374</v>
      </c>
      <c r="F899" s="1">
        <v>2289</v>
      </c>
      <c r="G899" s="1">
        <v>-83</v>
      </c>
      <c r="H899" s="1">
        <v>5000</v>
      </c>
    </row>
    <row r="900" spans="1:8" ht="17.25" x14ac:dyDescent="0.35">
      <c r="A900">
        <v>899</v>
      </c>
      <c r="B900" t="s">
        <v>1375</v>
      </c>
      <c r="C900" t="s">
        <v>9</v>
      </c>
      <c r="D900" t="s">
        <v>54</v>
      </c>
      <c r="E900" t="s">
        <v>258</v>
      </c>
      <c r="F900" s="1">
        <v>2288</v>
      </c>
      <c r="G900" s="1">
        <v>-27</v>
      </c>
      <c r="H900" s="1">
        <v>2918</v>
      </c>
    </row>
    <row r="901" spans="1:8" ht="17.25" x14ac:dyDescent="0.35">
      <c r="A901">
        <v>900</v>
      </c>
      <c r="B901" t="s">
        <v>1376</v>
      </c>
      <c r="C901" t="s">
        <v>98</v>
      </c>
      <c r="D901" t="s">
        <v>99</v>
      </c>
      <c r="E901" t="s">
        <v>657</v>
      </c>
      <c r="F901" s="1">
        <v>2284</v>
      </c>
      <c r="G901" s="1">
        <v>186</v>
      </c>
      <c r="H901" s="1">
        <v>13000</v>
      </c>
    </row>
    <row r="902" spans="1:8" ht="17.25" x14ac:dyDescent="0.35">
      <c r="A902">
        <v>901</v>
      </c>
      <c r="B902" t="s">
        <v>1377</v>
      </c>
      <c r="C902" t="s">
        <v>13</v>
      </c>
      <c r="D902" t="s">
        <v>219</v>
      </c>
      <c r="E902" t="s">
        <v>355</v>
      </c>
      <c r="F902" s="1">
        <v>2273</v>
      </c>
      <c r="G902" s="1">
        <v>211</v>
      </c>
      <c r="H902" s="1">
        <v>4243</v>
      </c>
    </row>
    <row r="903" spans="1:8" ht="17.25" x14ac:dyDescent="0.35">
      <c r="A903">
        <v>902</v>
      </c>
      <c r="B903" t="s">
        <v>1378</v>
      </c>
      <c r="C903" t="s">
        <v>115</v>
      </c>
      <c r="D903" t="s">
        <v>246</v>
      </c>
      <c r="E903" t="s">
        <v>325</v>
      </c>
      <c r="F903" s="1">
        <v>2272</v>
      </c>
      <c r="G903" s="1">
        <v>115</v>
      </c>
      <c r="H903" s="1">
        <v>27000</v>
      </c>
    </row>
    <row r="904" spans="1:8" ht="17.25" x14ac:dyDescent="0.35">
      <c r="A904">
        <v>903</v>
      </c>
      <c r="B904" t="s">
        <v>1379</v>
      </c>
      <c r="C904" t="s">
        <v>76</v>
      </c>
      <c r="D904" t="s">
        <v>77</v>
      </c>
      <c r="E904" t="s">
        <v>83</v>
      </c>
      <c r="F904" s="1">
        <v>2264</v>
      </c>
      <c r="G904" s="1">
        <v>146</v>
      </c>
      <c r="H904" s="1">
        <v>8400</v>
      </c>
    </row>
    <row r="905" spans="1:8" ht="17.25" x14ac:dyDescent="0.35">
      <c r="A905">
        <v>904</v>
      </c>
      <c r="B905" t="s">
        <v>1380</v>
      </c>
      <c r="C905" t="s">
        <v>17</v>
      </c>
      <c r="D905" t="s">
        <v>146</v>
      </c>
      <c r="E905" t="s">
        <v>147</v>
      </c>
      <c r="F905" s="1">
        <v>2264</v>
      </c>
      <c r="G905" s="1">
        <v>340</v>
      </c>
      <c r="H905" s="1">
        <v>4640</v>
      </c>
    </row>
    <row r="906" spans="1:8" ht="17.25" x14ac:dyDescent="0.35">
      <c r="A906">
        <v>905</v>
      </c>
      <c r="B906" t="s">
        <v>1381</v>
      </c>
      <c r="C906" t="s">
        <v>17</v>
      </c>
      <c r="D906" t="s">
        <v>294</v>
      </c>
      <c r="E906" t="s">
        <v>272</v>
      </c>
      <c r="F906" s="1">
        <v>2263</v>
      </c>
      <c r="G906" s="1">
        <v>212</v>
      </c>
      <c r="H906" s="1">
        <v>8000</v>
      </c>
    </row>
    <row r="907" spans="1:8" ht="17.25" x14ac:dyDescent="0.35">
      <c r="A907">
        <v>906</v>
      </c>
      <c r="B907" t="s">
        <v>1382</v>
      </c>
      <c r="C907" t="s">
        <v>17</v>
      </c>
      <c r="D907" t="s">
        <v>62</v>
      </c>
      <c r="E907" t="s">
        <v>189</v>
      </c>
      <c r="F907" s="1">
        <v>2250</v>
      </c>
      <c r="G907" s="1">
        <v>-77</v>
      </c>
      <c r="H907" s="1">
        <v>3809</v>
      </c>
    </row>
    <row r="908" spans="1:8" ht="17.25" x14ac:dyDescent="0.35">
      <c r="A908">
        <v>907</v>
      </c>
      <c r="B908" t="s">
        <v>1383</v>
      </c>
      <c r="C908" t="s">
        <v>98</v>
      </c>
      <c r="D908" t="s">
        <v>99</v>
      </c>
      <c r="E908" t="s">
        <v>1384</v>
      </c>
      <c r="F908" s="1">
        <v>2247</v>
      </c>
      <c r="G908" s="1">
        <v>133</v>
      </c>
      <c r="H908" s="1">
        <v>26800</v>
      </c>
    </row>
    <row r="909" spans="1:8" ht="17.25" x14ac:dyDescent="0.35">
      <c r="A909">
        <v>908</v>
      </c>
      <c r="B909" t="s">
        <v>1385</v>
      </c>
      <c r="C909" t="s">
        <v>13</v>
      </c>
      <c r="D909" t="s">
        <v>173</v>
      </c>
      <c r="E909" t="s">
        <v>89</v>
      </c>
      <c r="F909" s="1">
        <v>2247</v>
      </c>
      <c r="G909" s="1">
        <v>423</v>
      </c>
      <c r="H909" s="1">
        <v>1400</v>
      </c>
    </row>
    <row r="910" spans="1:8" ht="17.25" x14ac:dyDescent="0.35">
      <c r="A910">
        <v>909</v>
      </c>
      <c r="B910" t="s">
        <v>1386</v>
      </c>
      <c r="C910" t="s">
        <v>17</v>
      </c>
      <c r="D910" t="s">
        <v>80</v>
      </c>
      <c r="E910" t="s">
        <v>104</v>
      </c>
      <c r="F910" s="1">
        <v>2242</v>
      </c>
      <c r="G910" s="1">
        <v>226</v>
      </c>
      <c r="H910" s="1">
        <v>10284</v>
      </c>
    </row>
    <row r="911" spans="1:8" ht="17.25" x14ac:dyDescent="0.35">
      <c r="A911">
        <v>910</v>
      </c>
      <c r="B911" t="s">
        <v>1387</v>
      </c>
      <c r="C911" t="s">
        <v>21</v>
      </c>
      <c r="D911" t="s">
        <v>101</v>
      </c>
      <c r="E911" t="s">
        <v>1388</v>
      </c>
      <c r="F911" s="1">
        <v>2231</v>
      </c>
      <c r="G911" s="1">
        <v>63</v>
      </c>
      <c r="H911" s="1">
        <v>3512</v>
      </c>
    </row>
    <row r="912" spans="1:8" ht="17.25" x14ac:dyDescent="0.35">
      <c r="A912">
        <v>911</v>
      </c>
      <c r="B912" t="s">
        <v>1389</v>
      </c>
      <c r="C912" t="s">
        <v>282</v>
      </c>
      <c r="D912" t="s">
        <v>283</v>
      </c>
      <c r="E912" t="s">
        <v>1197</v>
      </c>
      <c r="F912" s="1">
        <v>2227</v>
      </c>
      <c r="G912" s="1">
        <v>59</v>
      </c>
      <c r="H912" s="1">
        <v>4900</v>
      </c>
    </row>
    <row r="913" spans="1:8" ht="17.25" x14ac:dyDescent="0.35">
      <c r="A913">
        <v>912</v>
      </c>
      <c r="B913" t="s">
        <v>1390</v>
      </c>
      <c r="C913" t="s">
        <v>17</v>
      </c>
      <c r="D913" t="s">
        <v>294</v>
      </c>
      <c r="E913" t="s">
        <v>256</v>
      </c>
      <c r="F913" s="1">
        <v>2220</v>
      </c>
      <c r="G913" s="1">
        <v>462</v>
      </c>
      <c r="H913" s="1">
        <v>4600</v>
      </c>
    </row>
    <row r="914" spans="1:8" ht="17.25" x14ac:dyDescent="0.35">
      <c r="A914">
        <v>913</v>
      </c>
      <c r="B914" t="s">
        <v>1391</v>
      </c>
      <c r="C914" t="s">
        <v>142</v>
      </c>
      <c r="D914" t="s">
        <v>143</v>
      </c>
      <c r="E914" t="s">
        <v>1392</v>
      </c>
      <c r="F914" s="1">
        <v>2219</v>
      </c>
      <c r="G914" s="1">
        <v>172</v>
      </c>
      <c r="H914" s="1">
        <v>8000</v>
      </c>
    </row>
    <row r="915" spans="1:8" ht="17.25" x14ac:dyDescent="0.35">
      <c r="A915">
        <v>914</v>
      </c>
      <c r="B915" t="s">
        <v>1393</v>
      </c>
      <c r="C915" t="s">
        <v>17</v>
      </c>
      <c r="D915" t="s">
        <v>62</v>
      </c>
      <c r="E915" t="s">
        <v>27</v>
      </c>
      <c r="F915" s="1">
        <v>2218</v>
      </c>
      <c r="G915" s="1">
        <v>-521</v>
      </c>
      <c r="H915" s="1">
        <v>3898</v>
      </c>
    </row>
    <row r="916" spans="1:8" ht="17.25" x14ac:dyDescent="0.35">
      <c r="A916">
        <v>915</v>
      </c>
      <c r="B916" t="s">
        <v>1394</v>
      </c>
      <c r="C916" t="s">
        <v>252</v>
      </c>
      <c r="D916" t="s">
        <v>253</v>
      </c>
      <c r="E916" t="s">
        <v>1395</v>
      </c>
      <c r="F916" s="1">
        <v>2217</v>
      </c>
      <c r="G916" s="1">
        <v>193</v>
      </c>
      <c r="H916" s="1">
        <v>11900</v>
      </c>
    </row>
    <row r="917" spans="1:8" ht="17.25" x14ac:dyDescent="0.35">
      <c r="A917">
        <v>916</v>
      </c>
      <c r="B917" t="s">
        <v>1396</v>
      </c>
      <c r="C917" t="s">
        <v>21</v>
      </c>
      <c r="D917" t="s">
        <v>74</v>
      </c>
      <c r="E917" t="s">
        <v>1397</v>
      </c>
      <c r="F917" s="1">
        <v>2211</v>
      </c>
      <c r="G917" s="1">
        <v>310</v>
      </c>
      <c r="H917" s="1">
        <v>10200</v>
      </c>
    </row>
    <row r="918" spans="1:8" ht="17.25" x14ac:dyDescent="0.35">
      <c r="A918">
        <v>917</v>
      </c>
      <c r="B918" t="s">
        <v>1398</v>
      </c>
      <c r="C918" t="s">
        <v>221</v>
      </c>
      <c r="D918" t="s">
        <v>221</v>
      </c>
      <c r="E918" t="s">
        <v>338</v>
      </c>
      <c r="F918" s="1">
        <v>2204</v>
      </c>
      <c r="G918" s="1">
        <v>82</v>
      </c>
      <c r="H918" s="1">
        <v>13500</v>
      </c>
    </row>
    <row r="919" spans="1:8" ht="17.25" x14ac:dyDescent="0.35">
      <c r="A919">
        <v>918</v>
      </c>
      <c r="B919" t="s">
        <v>1399</v>
      </c>
      <c r="C919" t="s">
        <v>252</v>
      </c>
      <c r="D919" t="s">
        <v>393</v>
      </c>
      <c r="E919" t="s">
        <v>466</v>
      </c>
      <c r="F919" s="1">
        <v>2199</v>
      </c>
      <c r="G919" s="1">
        <v>47</v>
      </c>
      <c r="H919" s="1">
        <v>18243</v>
      </c>
    </row>
    <row r="920" spans="1:8" ht="17.25" x14ac:dyDescent="0.35">
      <c r="A920">
        <v>919</v>
      </c>
      <c r="B920" t="s">
        <v>1400</v>
      </c>
      <c r="C920" t="s">
        <v>17</v>
      </c>
      <c r="D920" t="s">
        <v>80</v>
      </c>
      <c r="E920" t="s">
        <v>500</v>
      </c>
      <c r="F920" s="1">
        <v>2197</v>
      </c>
      <c r="G920" s="1">
        <v>321</v>
      </c>
      <c r="H920" s="1">
        <v>6084</v>
      </c>
    </row>
    <row r="921" spans="1:8" ht="17.25" x14ac:dyDescent="0.35">
      <c r="A921">
        <v>920</v>
      </c>
      <c r="B921" t="s">
        <v>1401</v>
      </c>
      <c r="C921" t="s">
        <v>21</v>
      </c>
      <c r="D921" t="s">
        <v>493</v>
      </c>
      <c r="E921" t="s">
        <v>27</v>
      </c>
      <c r="F921" s="1">
        <v>2197</v>
      </c>
      <c r="G921" s="1">
        <v>869</v>
      </c>
      <c r="H921" s="1">
        <v>1555</v>
      </c>
    </row>
    <row r="922" spans="1:8" ht="17.25" x14ac:dyDescent="0.35">
      <c r="A922">
        <v>921</v>
      </c>
      <c r="B922" t="s">
        <v>1402</v>
      </c>
      <c r="C922" t="s">
        <v>13</v>
      </c>
      <c r="D922" t="s">
        <v>231</v>
      </c>
      <c r="E922" t="s">
        <v>428</v>
      </c>
      <c r="F922" s="1">
        <v>2197</v>
      </c>
      <c r="G922" s="1">
        <v>271</v>
      </c>
      <c r="H922" s="1">
        <v>2586</v>
      </c>
    </row>
    <row r="923" spans="1:8" ht="17.25" x14ac:dyDescent="0.35">
      <c r="A923">
        <v>922</v>
      </c>
      <c r="B923" t="s">
        <v>1403</v>
      </c>
      <c r="C923" t="s">
        <v>9</v>
      </c>
      <c r="D923" t="s">
        <v>54</v>
      </c>
      <c r="E923" t="s">
        <v>321</v>
      </c>
      <c r="F923" s="1">
        <v>2195</v>
      </c>
      <c r="G923" s="1">
        <v>44</v>
      </c>
      <c r="H923" s="1">
        <v>2670</v>
      </c>
    </row>
    <row r="924" spans="1:8" ht="17.25" x14ac:dyDescent="0.35">
      <c r="A924">
        <v>923</v>
      </c>
      <c r="B924" t="s">
        <v>1404</v>
      </c>
      <c r="C924" t="s">
        <v>21</v>
      </c>
      <c r="D924" t="s">
        <v>57</v>
      </c>
      <c r="E924" t="s">
        <v>866</v>
      </c>
      <c r="F924" s="1">
        <v>2192</v>
      </c>
      <c r="G924" s="1">
        <v>-242</v>
      </c>
      <c r="H924" s="1">
        <v>11400</v>
      </c>
    </row>
    <row r="925" spans="1:8" ht="17.25" x14ac:dyDescent="0.35">
      <c r="A925">
        <v>924</v>
      </c>
      <c r="B925" t="s">
        <v>1405</v>
      </c>
      <c r="C925" t="s">
        <v>13</v>
      </c>
      <c r="D925" t="s">
        <v>173</v>
      </c>
      <c r="E925" t="s">
        <v>355</v>
      </c>
      <c r="F925" s="1">
        <v>2189</v>
      </c>
      <c r="G925" s="1">
        <v>819</v>
      </c>
      <c r="H925" s="1">
        <v>1640</v>
      </c>
    </row>
    <row r="926" spans="1:8" ht="17.25" x14ac:dyDescent="0.35">
      <c r="A926">
        <v>925</v>
      </c>
      <c r="B926" t="s">
        <v>1406</v>
      </c>
      <c r="C926" t="s">
        <v>21</v>
      </c>
      <c r="D926" t="s">
        <v>163</v>
      </c>
      <c r="E926" t="s">
        <v>1264</v>
      </c>
      <c r="F926" s="1">
        <v>2180</v>
      </c>
      <c r="G926" s="1">
        <v>68</v>
      </c>
      <c r="H926" s="1">
        <v>929</v>
      </c>
    </row>
    <row r="927" spans="1:8" ht="17.25" x14ac:dyDescent="0.35">
      <c r="A927">
        <v>926</v>
      </c>
      <c r="B927" t="s">
        <v>1407</v>
      </c>
      <c r="C927" t="s">
        <v>21</v>
      </c>
      <c r="D927" t="s">
        <v>113</v>
      </c>
      <c r="E927" t="s">
        <v>321</v>
      </c>
      <c r="F927" s="1">
        <v>2179</v>
      </c>
      <c r="G927" s="1">
        <v>147</v>
      </c>
      <c r="H927" s="1">
        <v>1400</v>
      </c>
    </row>
    <row r="928" spans="1:8" ht="17.25" x14ac:dyDescent="0.35">
      <c r="A928">
        <v>927</v>
      </c>
      <c r="B928" t="s">
        <v>1408</v>
      </c>
      <c r="C928" t="s">
        <v>17</v>
      </c>
      <c r="D928" t="s">
        <v>91</v>
      </c>
      <c r="E928" t="s">
        <v>547</v>
      </c>
      <c r="F928" s="1">
        <v>2163</v>
      </c>
      <c r="G928" s="1">
        <v>176</v>
      </c>
      <c r="H928" s="1">
        <v>7834</v>
      </c>
    </row>
    <row r="929" spans="1:8" ht="17.25" x14ac:dyDescent="0.35">
      <c r="A929">
        <v>928</v>
      </c>
      <c r="B929" t="s">
        <v>1409</v>
      </c>
      <c r="C929" t="s">
        <v>32</v>
      </c>
      <c r="D929" t="s">
        <v>32</v>
      </c>
      <c r="E929" t="s">
        <v>156</v>
      </c>
      <c r="F929" s="1">
        <v>2151</v>
      </c>
      <c r="G929" s="1">
        <v>-7</v>
      </c>
      <c r="H929" s="1">
        <v>7103</v>
      </c>
    </row>
    <row r="930" spans="1:8" ht="17.25" x14ac:dyDescent="0.35">
      <c r="A930">
        <v>929</v>
      </c>
      <c r="B930" t="s">
        <v>1410</v>
      </c>
      <c r="C930" t="s">
        <v>335</v>
      </c>
      <c r="D930" t="s">
        <v>495</v>
      </c>
      <c r="E930" t="s">
        <v>1411</v>
      </c>
      <c r="F930" s="1">
        <v>2149</v>
      </c>
      <c r="G930" s="1">
        <v>-16</v>
      </c>
      <c r="H930" s="1">
        <v>2078</v>
      </c>
    </row>
    <row r="931" spans="1:8" ht="17.25" x14ac:dyDescent="0.35">
      <c r="A931">
        <v>930</v>
      </c>
      <c r="B931" t="s">
        <v>1412</v>
      </c>
      <c r="C931" t="s">
        <v>131</v>
      </c>
      <c r="D931" t="s">
        <v>227</v>
      </c>
      <c r="E931" t="s">
        <v>89</v>
      </c>
      <c r="F931" s="1">
        <v>2148</v>
      </c>
      <c r="G931" s="1">
        <v>227</v>
      </c>
      <c r="H931" s="1">
        <v>4200</v>
      </c>
    </row>
    <row r="932" spans="1:8" ht="17.25" x14ac:dyDescent="0.35">
      <c r="A932">
        <v>931</v>
      </c>
      <c r="B932" t="s">
        <v>1413</v>
      </c>
      <c r="C932" t="s">
        <v>17</v>
      </c>
      <c r="D932" t="s">
        <v>137</v>
      </c>
      <c r="E932" t="s">
        <v>1414</v>
      </c>
      <c r="F932" s="1">
        <v>2147</v>
      </c>
      <c r="G932" s="1">
        <v>369</v>
      </c>
      <c r="H932" s="1">
        <v>9449</v>
      </c>
    </row>
    <row r="933" spans="1:8" ht="17.25" x14ac:dyDescent="0.35">
      <c r="A933">
        <v>932</v>
      </c>
      <c r="B933" t="s">
        <v>1415</v>
      </c>
      <c r="C933" t="s">
        <v>98</v>
      </c>
      <c r="D933" t="s">
        <v>487</v>
      </c>
      <c r="E933" t="s">
        <v>1416</v>
      </c>
      <c r="F933" s="1">
        <v>2142</v>
      </c>
      <c r="G933" s="1">
        <v>98</v>
      </c>
      <c r="H933" s="1">
        <v>7510</v>
      </c>
    </row>
    <row r="934" spans="1:8" ht="17.25" x14ac:dyDescent="0.35">
      <c r="A934">
        <v>933</v>
      </c>
      <c r="B934" t="s">
        <v>1417</v>
      </c>
      <c r="C934" t="s">
        <v>131</v>
      </c>
      <c r="D934" t="s">
        <v>177</v>
      </c>
      <c r="E934" t="s">
        <v>1418</v>
      </c>
      <c r="F934" s="1">
        <v>2142</v>
      </c>
      <c r="G934" s="1">
        <v>317</v>
      </c>
      <c r="H934" s="1">
        <v>4326</v>
      </c>
    </row>
    <row r="935" spans="1:8" ht="17.25" x14ac:dyDescent="0.35">
      <c r="A935">
        <v>934</v>
      </c>
      <c r="B935" t="s">
        <v>1419</v>
      </c>
      <c r="C935" t="s">
        <v>150</v>
      </c>
      <c r="D935" t="s">
        <v>150</v>
      </c>
      <c r="E935" t="s">
        <v>325</v>
      </c>
      <c r="F935" s="1">
        <v>2141</v>
      </c>
      <c r="G935" s="1">
        <v>239</v>
      </c>
      <c r="H935" s="1">
        <v>1979</v>
      </c>
    </row>
    <row r="936" spans="1:8" ht="17.25" x14ac:dyDescent="0.35">
      <c r="A936">
        <v>935</v>
      </c>
      <c r="B936" t="s">
        <v>1420</v>
      </c>
      <c r="C936" t="s">
        <v>25</v>
      </c>
      <c r="D936" t="s">
        <v>167</v>
      </c>
      <c r="E936" t="s">
        <v>338</v>
      </c>
      <c r="F936" s="1">
        <v>2134</v>
      </c>
      <c r="G936" s="1">
        <v>211</v>
      </c>
      <c r="H936" s="1">
        <v>12700</v>
      </c>
    </row>
    <row r="937" spans="1:8" ht="17.25" x14ac:dyDescent="0.35">
      <c r="A937">
        <v>936</v>
      </c>
      <c r="B937" t="s">
        <v>1421</v>
      </c>
      <c r="C937" t="s">
        <v>21</v>
      </c>
      <c r="D937" t="s">
        <v>22</v>
      </c>
      <c r="E937" t="s">
        <v>1422</v>
      </c>
      <c r="F937" s="1">
        <v>2132</v>
      </c>
      <c r="G937" s="1">
        <v>166</v>
      </c>
      <c r="H937" s="1">
        <v>2200</v>
      </c>
    </row>
    <row r="938" spans="1:8" ht="17.25" x14ac:dyDescent="0.35">
      <c r="A938">
        <v>937</v>
      </c>
      <c r="B938" t="s">
        <v>1423</v>
      </c>
      <c r="C938" t="s">
        <v>9</v>
      </c>
      <c r="D938" t="s">
        <v>54</v>
      </c>
      <c r="E938" t="s">
        <v>96</v>
      </c>
      <c r="F938" s="1">
        <v>2129</v>
      </c>
      <c r="G938" s="1">
        <v>-133</v>
      </c>
      <c r="H938" s="1">
        <v>4941</v>
      </c>
    </row>
    <row r="939" spans="1:8" ht="17.25" x14ac:dyDescent="0.35">
      <c r="A939">
        <v>938</v>
      </c>
      <c r="B939" t="s">
        <v>1424</v>
      </c>
      <c r="C939" t="s">
        <v>21</v>
      </c>
      <c r="D939" t="s">
        <v>74</v>
      </c>
      <c r="E939" t="s">
        <v>1425</v>
      </c>
      <c r="F939" s="1">
        <v>2123</v>
      </c>
      <c r="G939" s="1">
        <v>895</v>
      </c>
      <c r="H939" s="1">
        <v>7810</v>
      </c>
    </row>
    <row r="940" spans="1:8" ht="17.25" x14ac:dyDescent="0.35">
      <c r="A940">
        <v>939</v>
      </c>
      <c r="B940" t="s">
        <v>1426</v>
      </c>
      <c r="C940" t="s">
        <v>315</v>
      </c>
      <c r="D940" t="s">
        <v>435</v>
      </c>
      <c r="E940" t="s">
        <v>521</v>
      </c>
      <c r="F940" s="1">
        <v>2117</v>
      </c>
      <c r="G940" s="1">
        <v>-96</v>
      </c>
      <c r="H940" s="1">
        <v>7227</v>
      </c>
    </row>
    <row r="941" spans="1:8" ht="17.25" x14ac:dyDescent="0.35">
      <c r="A941">
        <v>940</v>
      </c>
      <c r="B941" t="s">
        <v>1427</v>
      </c>
      <c r="C941" t="s">
        <v>9</v>
      </c>
      <c r="D941" t="s">
        <v>54</v>
      </c>
      <c r="E941" t="s">
        <v>1428</v>
      </c>
      <c r="F941" s="1">
        <v>2109</v>
      </c>
      <c r="G941" s="1">
        <v>91</v>
      </c>
      <c r="H941" s="1">
        <v>4200</v>
      </c>
    </row>
    <row r="942" spans="1:8" ht="17.25" x14ac:dyDescent="0.35">
      <c r="A942">
        <v>941</v>
      </c>
      <c r="B942" t="s">
        <v>1429</v>
      </c>
      <c r="C942" t="s">
        <v>252</v>
      </c>
      <c r="D942" t="s">
        <v>253</v>
      </c>
      <c r="E942" t="s">
        <v>1430</v>
      </c>
      <c r="F942" s="1">
        <v>2101</v>
      </c>
      <c r="G942" s="1">
        <v>117</v>
      </c>
      <c r="H942" s="1">
        <v>37600</v>
      </c>
    </row>
    <row r="943" spans="1:8" ht="17.25" x14ac:dyDescent="0.35">
      <c r="A943">
        <v>942</v>
      </c>
      <c r="B943" t="s">
        <v>1431</v>
      </c>
      <c r="C943" t="s">
        <v>44</v>
      </c>
      <c r="D943" t="s">
        <v>45</v>
      </c>
      <c r="E943" t="s">
        <v>156</v>
      </c>
      <c r="F943" s="1">
        <v>2100</v>
      </c>
      <c r="G943" s="1">
        <v>88</v>
      </c>
      <c r="H943" s="1">
        <v>4104</v>
      </c>
    </row>
    <row r="944" spans="1:8" ht="17.25" x14ac:dyDescent="0.35">
      <c r="A944">
        <v>943</v>
      </c>
      <c r="B944" t="s">
        <v>1432</v>
      </c>
      <c r="C944" t="s">
        <v>17</v>
      </c>
      <c r="D944" t="s">
        <v>91</v>
      </c>
      <c r="E944" t="s">
        <v>837</v>
      </c>
      <c r="F944" s="1">
        <v>2100</v>
      </c>
      <c r="G944" s="1">
        <v>158</v>
      </c>
      <c r="H944" s="1">
        <v>17000</v>
      </c>
    </row>
    <row r="945" spans="1:8" ht="17.25" x14ac:dyDescent="0.35">
      <c r="A945">
        <v>944</v>
      </c>
      <c r="B945" t="s">
        <v>1433</v>
      </c>
      <c r="C945" t="s">
        <v>17</v>
      </c>
      <c r="D945" t="s">
        <v>137</v>
      </c>
      <c r="E945" t="s">
        <v>1434</v>
      </c>
      <c r="F945" s="1">
        <v>2096</v>
      </c>
      <c r="G945" s="1">
        <v>-26</v>
      </c>
      <c r="H945" s="1">
        <v>29570</v>
      </c>
    </row>
    <row r="946" spans="1:8" ht="17.25" x14ac:dyDescent="0.35">
      <c r="A946">
        <v>945</v>
      </c>
      <c r="B946" t="s">
        <v>1435</v>
      </c>
      <c r="C946" t="s">
        <v>131</v>
      </c>
      <c r="D946" t="s">
        <v>691</v>
      </c>
      <c r="E946" t="s">
        <v>23</v>
      </c>
      <c r="F946" s="1">
        <v>2094</v>
      </c>
      <c r="G946" s="1">
        <v>124</v>
      </c>
      <c r="H946" s="1">
        <v>12325</v>
      </c>
    </row>
    <row r="947" spans="1:8" ht="17.25" x14ac:dyDescent="0.35">
      <c r="A947">
        <v>946</v>
      </c>
      <c r="B947" t="s">
        <v>1436</v>
      </c>
      <c r="C947" t="s">
        <v>17</v>
      </c>
      <c r="D947" t="s">
        <v>91</v>
      </c>
      <c r="E947" t="s">
        <v>1437</v>
      </c>
      <c r="F947" s="1">
        <v>2086</v>
      </c>
      <c r="G947" s="1">
        <v>-235</v>
      </c>
      <c r="H947" s="1">
        <v>9800</v>
      </c>
    </row>
    <row r="948" spans="1:8" ht="17.25" x14ac:dyDescent="0.35">
      <c r="A948">
        <v>947</v>
      </c>
      <c r="B948" t="s">
        <v>1438</v>
      </c>
      <c r="C948" t="s">
        <v>44</v>
      </c>
      <c r="D948" t="s">
        <v>45</v>
      </c>
      <c r="E948" t="s">
        <v>183</v>
      </c>
      <c r="F948" s="1">
        <v>2084</v>
      </c>
      <c r="G948" s="1">
        <v>84</v>
      </c>
      <c r="H948" s="1">
        <v>8000</v>
      </c>
    </row>
    <row r="949" spans="1:8" ht="17.25" x14ac:dyDescent="0.35">
      <c r="A949">
        <v>948</v>
      </c>
      <c r="B949" t="s">
        <v>1439</v>
      </c>
      <c r="C949" t="s">
        <v>13</v>
      </c>
      <c r="D949" t="s">
        <v>173</v>
      </c>
      <c r="E949" t="s">
        <v>94</v>
      </c>
      <c r="F949" s="1">
        <v>2084</v>
      </c>
      <c r="G949" s="1">
        <v>307</v>
      </c>
      <c r="H949" s="1">
        <v>1644</v>
      </c>
    </row>
    <row r="950" spans="1:8" ht="17.25" x14ac:dyDescent="0.35">
      <c r="A950">
        <v>949</v>
      </c>
      <c r="B950" t="s">
        <v>1440</v>
      </c>
      <c r="C950" t="s">
        <v>150</v>
      </c>
      <c r="D950" t="s">
        <v>150</v>
      </c>
      <c r="E950" t="s">
        <v>228</v>
      </c>
      <c r="F950" s="1">
        <v>2084</v>
      </c>
      <c r="G950" s="1">
        <v>87</v>
      </c>
      <c r="H950" s="1">
        <v>4425</v>
      </c>
    </row>
    <row r="951" spans="1:8" ht="17.25" x14ac:dyDescent="0.35">
      <c r="A951">
        <v>950</v>
      </c>
      <c r="B951" t="s">
        <v>1441</v>
      </c>
      <c r="C951" t="s">
        <v>98</v>
      </c>
      <c r="D951" t="s">
        <v>227</v>
      </c>
      <c r="E951" t="s">
        <v>1442</v>
      </c>
      <c r="F951" s="1">
        <v>2083</v>
      </c>
      <c r="G951" s="1">
        <v>80</v>
      </c>
      <c r="H951" s="1">
        <v>5200</v>
      </c>
    </row>
    <row r="952" spans="1:8" ht="17.25" x14ac:dyDescent="0.35">
      <c r="A952">
        <v>951</v>
      </c>
      <c r="B952" t="s">
        <v>1443</v>
      </c>
      <c r="C952" t="s">
        <v>315</v>
      </c>
      <c r="D952" t="s">
        <v>316</v>
      </c>
      <c r="E952" t="s">
        <v>1444</v>
      </c>
      <c r="F952" s="1">
        <v>2077</v>
      </c>
      <c r="G952" s="1">
        <v>98</v>
      </c>
      <c r="H952" s="1">
        <v>3320</v>
      </c>
    </row>
    <row r="953" spans="1:8" ht="17.25" x14ac:dyDescent="0.35">
      <c r="A953">
        <v>952</v>
      </c>
      <c r="B953" t="s">
        <v>1445</v>
      </c>
      <c r="C953" t="s">
        <v>315</v>
      </c>
      <c r="D953" t="s">
        <v>408</v>
      </c>
      <c r="E953" t="s">
        <v>1446</v>
      </c>
      <c r="F953" s="1">
        <v>2068</v>
      </c>
      <c r="G953" s="1">
        <v>508</v>
      </c>
      <c r="H953" s="1">
        <v>7783</v>
      </c>
    </row>
    <row r="954" spans="1:8" ht="17.25" x14ac:dyDescent="0.35">
      <c r="A954">
        <v>953</v>
      </c>
      <c r="B954" t="s">
        <v>1447</v>
      </c>
      <c r="C954" t="s">
        <v>13</v>
      </c>
      <c r="D954" t="s">
        <v>14</v>
      </c>
      <c r="E954" t="s">
        <v>89</v>
      </c>
      <c r="F954" s="1">
        <v>2066</v>
      </c>
      <c r="G954" s="1">
        <v>-40</v>
      </c>
      <c r="H954" s="1">
        <v>744</v>
      </c>
    </row>
    <row r="955" spans="1:8" ht="17.25" x14ac:dyDescent="0.35">
      <c r="A955">
        <v>954</v>
      </c>
      <c r="B955" t="s">
        <v>1448</v>
      </c>
      <c r="C955" t="s">
        <v>115</v>
      </c>
      <c r="D955" t="s">
        <v>246</v>
      </c>
      <c r="E955" t="s">
        <v>1449</v>
      </c>
      <c r="F955" s="1">
        <v>2066</v>
      </c>
      <c r="G955" s="1">
        <v>-15</v>
      </c>
      <c r="H955" s="1">
        <v>6835</v>
      </c>
    </row>
    <row r="956" spans="1:8" ht="17.25" x14ac:dyDescent="0.35">
      <c r="A956">
        <v>955</v>
      </c>
      <c r="B956" t="s">
        <v>1450</v>
      </c>
      <c r="C956" t="s">
        <v>13</v>
      </c>
      <c r="D956" t="s">
        <v>219</v>
      </c>
      <c r="E956" t="s">
        <v>401</v>
      </c>
      <c r="F956" s="1">
        <v>2051</v>
      </c>
      <c r="G956" s="1">
        <v>-2219</v>
      </c>
      <c r="H956" s="1">
        <v>1200</v>
      </c>
    </row>
    <row r="957" spans="1:8" ht="17.25" x14ac:dyDescent="0.35">
      <c r="A957">
        <v>956</v>
      </c>
      <c r="B957" t="s">
        <v>1451</v>
      </c>
      <c r="C957" t="s">
        <v>17</v>
      </c>
      <c r="D957" t="s">
        <v>294</v>
      </c>
      <c r="E957" t="s">
        <v>1452</v>
      </c>
      <c r="F957" s="1">
        <v>2042</v>
      </c>
      <c r="G957" s="1">
        <v>469</v>
      </c>
      <c r="H957" s="1">
        <v>6594</v>
      </c>
    </row>
    <row r="958" spans="1:8" ht="17.25" x14ac:dyDescent="0.35">
      <c r="A958">
        <v>957</v>
      </c>
      <c r="B958" t="s">
        <v>1453</v>
      </c>
      <c r="C958" t="s">
        <v>35</v>
      </c>
      <c r="D958" t="s">
        <v>36</v>
      </c>
      <c r="E958" t="s">
        <v>1454</v>
      </c>
      <c r="F958" s="1">
        <v>2042</v>
      </c>
      <c r="G958" s="1">
        <v>194</v>
      </c>
      <c r="H958" s="1">
        <v>8300</v>
      </c>
    </row>
    <row r="959" spans="1:8" ht="17.25" x14ac:dyDescent="0.35">
      <c r="A959">
        <v>958</v>
      </c>
      <c r="B959" t="s">
        <v>1455</v>
      </c>
      <c r="C959" t="s">
        <v>76</v>
      </c>
      <c r="D959" t="s">
        <v>77</v>
      </c>
      <c r="E959" t="s">
        <v>1456</v>
      </c>
      <c r="F959" s="1">
        <v>2038</v>
      </c>
      <c r="G959" s="1">
        <v>182</v>
      </c>
      <c r="H959" s="1">
        <v>6955</v>
      </c>
    </row>
    <row r="960" spans="1:8" ht="17.25" x14ac:dyDescent="0.35">
      <c r="A960">
        <v>959</v>
      </c>
      <c r="B960" t="s">
        <v>1457</v>
      </c>
      <c r="C960" t="s">
        <v>21</v>
      </c>
      <c r="D960" t="s">
        <v>22</v>
      </c>
      <c r="E960" t="s">
        <v>89</v>
      </c>
      <c r="F960" s="1">
        <v>2034</v>
      </c>
      <c r="G960" s="1">
        <v>-6</v>
      </c>
      <c r="H960" s="1">
        <v>6900</v>
      </c>
    </row>
    <row r="961" spans="1:8" ht="17.25" x14ac:dyDescent="0.35">
      <c r="A961">
        <v>960</v>
      </c>
      <c r="B961" t="s">
        <v>1458</v>
      </c>
      <c r="C961" t="s">
        <v>25</v>
      </c>
      <c r="D961" t="s">
        <v>71</v>
      </c>
      <c r="E961" t="s">
        <v>140</v>
      </c>
      <c r="F961" s="1">
        <v>2029</v>
      </c>
      <c r="G961" s="1">
        <v>35</v>
      </c>
      <c r="H961" s="1">
        <v>5200</v>
      </c>
    </row>
    <row r="962" spans="1:8" ht="17.25" x14ac:dyDescent="0.35">
      <c r="A962">
        <v>961</v>
      </c>
      <c r="B962" t="s">
        <v>1459</v>
      </c>
      <c r="C962" t="s">
        <v>35</v>
      </c>
      <c r="D962" t="s">
        <v>36</v>
      </c>
      <c r="E962" t="s">
        <v>1460</v>
      </c>
      <c r="F962" s="1">
        <v>2028</v>
      </c>
      <c r="G962" s="1">
        <v>104</v>
      </c>
      <c r="H962" s="1">
        <v>5300</v>
      </c>
    </row>
    <row r="963" spans="1:8" ht="17.25" x14ac:dyDescent="0.35">
      <c r="A963">
        <v>962</v>
      </c>
      <c r="B963" t="s">
        <v>1461</v>
      </c>
      <c r="C963" t="s">
        <v>13</v>
      </c>
      <c r="D963" t="s">
        <v>13</v>
      </c>
      <c r="E963" t="s">
        <v>789</v>
      </c>
      <c r="F963" s="1">
        <v>2024</v>
      </c>
      <c r="G963" s="1">
        <v>30</v>
      </c>
      <c r="H963" s="1">
        <v>4028</v>
      </c>
    </row>
    <row r="964" spans="1:8" ht="17.25" x14ac:dyDescent="0.35">
      <c r="A964">
        <v>963</v>
      </c>
      <c r="B964" t="s">
        <v>1462</v>
      </c>
      <c r="C964" t="s">
        <v>335</v>
      </c>
      <c r="D964" t="s">
        <v>336</v>
      </c>
      <c r="E964" t="s">
        <v>1463</v>
      </c>
      <c r="F964" s="1">
        <v>2022</v>
      </c>
      <c r="G964" s="1">
        <v>84</v>
      </c>
      <c r="H964" s="1">
        <v>11159</v>
      </c>
    </row>
    <row r="965" spans="1:8" ht="17.25" x14ac:dyDescent="0.35">
      <c r="A965">
        <v>964</v>
      </c>
      <c r="B965" t="s">
        <v>1464</v>
      </c>
      <c r="C965" t="s">
        <v>44</v>
      </c>
      <c r="D965" t="s">
        <v>45</v>
      </c>
      <c r="E965" t="s">
        <v>534</v>
      </c>
      <c r="F965" s="1">
        <v>2021</v>
      </c>
      <c r="G965" s="1">
        <v>283</v>
      </c>
      <c r="H965" s="1">
        <v>6801</v>
      </c>
    </row>
    <row r="966" spans="1:8" ht="17.25" x14ac:dyDescent="0.35">
      <c r="A966">
        <v>965</v>
      </c>
      <c r="B966" t="s">
        <v>1465</v>
      </c>
      <c r="C966" t="s">
        <v>25</v>
      </c>
      <c r="D966" t="s">
        <v>305</v>
      </c>
      <c r="E966" t="s">
        <v>1466</v>
      </c>
      <c r="F966" s="1">
        <v>2019</v>
      </c>
      <c r="G966" s="1">
        <v>113</v>
      </c>
      <c r="H966" s="1">
        <v>7770</v>
      </c>
    </row>
    <row r="967" spans="1:8" ht="17.25" x14ac:dyDescent="0.35">
      <c r="A967">
        <v>966</v>
      </c>
      <c r="B967" t="s">
        <v>1467</v>
      </c>
      <c r="C967" t="s">
        <v>13</v>
      </c>
      <c r="D967" t="s">
        <v>219</v>
      </c>
      <c r="E967" t="s">
        <v>401</v>
      </c>
      <c r="F967" s="1">
        <v>2019</v>
      </c>
      <c r="G967" s="1">
        <v>-149</v>
      </c>
      <c r="H967" s="1">
        <v>693</v>
      </c>
    </row>
    <row r="968" spans="1:8" ht="17.25" x14ac:dyDescent="0.35">
      <c r="A968">
        <v>967</v>
      </c>
      <c r="B968" t="s">
        <v>1468</v>
      </c>
      <c r="C968" t="s">
        <v>98</v>
      </c>
      <c r="D968" t="s">
        <v>487</v>
      </c>
      <c r="E968" t="s">
        <v>50</v>
      </c>
      <c r="F968" s="1">
        <v>2016</v>
      </c>
      <c r="G968" s="1">
        <v>34</v>
      </c>
      <c r="H968" s="1">
        <v>6000</v>
      </c>
    </row>
    <row r="969" spans="1:8" ht="17.25" x14ac:dyDescent="0.35">
      <c r="A969">
        <v>968</v>
      </c>
      <c r="B969" t="s">
        <v>1469</v>
      </c>
      <c r="C969" t="s">
        <v>142</v>
      </c>
      <c r="D969" t="s">
        <v>485</v>
      </c>
      <c r="E969" t="s">
        <v>439</v>
      </c>
      <c r="F969" s="1">
        <v>2011</v>
      </c>
      <c r="G969" s="1">
        <v>65</v>
      </c>
      <c r="H969" s="1">
        <v>17650</v>
      </c>
    </row>
    <row r="970" spans="1:8" ht="17.25" x14ac:dyDescent="0.35">
      <c r="A970">
        <v>969</v>
      </c>
      <c r="B970" t="s">
        <v>1470</v>
      </c>
      <c r="C970" t="s">
        <v>142</v>
      </c>
      <c r="D970" t="s">
        <v>143</v>
      </c>
      <c r="E970" t="s">
        <v>78</v>
      </c>
      <c r="F970" s="1">
        <v>2011</v>
      </c>
      <c r="G970" s="1">
        <v>-320</v>
      </c>
      <c r="H970" s="1">
        <v>8000</v>
      </c>
    </row>
    <row r="971" spans="1:8" ht="17.25" x14ac:dyDescent="0.35">
      <c r="A971">
        <v>970</v>
      </c>
      <c r="B971" t="s">
        <v>1471</v>
      </c>
      <c r="C971" t="s">
        <v>17</v>
      </c>
      <c r="D971" t="s">
        <v>62</v>
      </c>
      <c r="E971" t="s">
        <v>94</v>
      </c>
      <c r="F971" s="1">
        <v>2001</v>
      </c>
      <c r="G971" s="1">
        <v>126</v>
      </c>
      <c r="H971" s="1">
        <v>6189</v>
      </c>
    </row>
    <row r="972" spans="1:8" ht="17.25" x14ac:dyDescent="0.35">
      <c r="A972">
        <v>971</v>
      </c>
      <c r="B972" t="s">
        <v>1472</v>
      </c>
      <c r="C972" t="s">
        <v>17</v>
      </c>
      <c r="D972" t="s">
        <v>18</v>
      </c>
      <c r="E972" t="s">
        <v>147</v>
      </c>
      <c r="F972" s="1">
        <v>2001</v>
      </c>
      <c r="G972" s="1">
        <v>79</v>
      </c>
      <c r="H972" s="1">
        <v>5400</v>
      </c>
    </row>
    <row r="973" spans="1:8" ht="17.25" x14ac:dyDescent="0.35">
      <c r="A973">
        <v>972</v>
      </c>
      <c r="B973" t="s">
        <v>1473</v>
      </c>
      <c r="C973" t="s">
        <v>131</v>
      </c>
      <c r="D973" t="s">
        <v>288</v>
      </c>
      <c r="E973" t="s">
        <v>1474</v>
      </c>
      <c r="F973" s="1">
        <v>2000</v>
      </c>
      <c r="G973" s="1">
        <v>225</v>
      </c>
      <c r="H973" s="1">
        <v>7500</v>
      </c>
    </row>
    <row r="974" spans="1:8" ht="17.25" x14ac:dyDescent="0.35">
      <c r="A974">
        <v>973</v>
      </c>
      <c r="B974" t="s">
        <v>1475</v>
      </c>
      <c r="C974" t="s">
        <v>9</v>
      </c>
      <c r="D974" t="s">
        <v>54</v>
      </c>
      <c r="E974" t="s">
        <v>968</v>
      </c>
      <c r="F974" s="1">
        <v>1999</v>
      </c>
      <c r="G974" s="1">
        <v>-232</v>
      </c>
      <c r="H974" s="1">
        <v>18200</v>
      </c>
    </row>
    <row r="975" spans="1:8" ht="17.25" x14ac:dyDescent="0.35">
      <c r="A975">
        <v>974</v>
      </c>
      <c r="B975" t="s">
        <v>1476</v>
      </c>
      <c r="C975" t="s">
        <v>131</v>
      </c>
      <c r="D975" t="s">
        <v>415</v>
      </c>
      <c r="E975" t="s">
        <v>1477</v>
      </c>
      <c r="F975" s="1">
        <v>1995</v>
      </c>
      <c r="G975" s="1">
        <v>48</v>
      </c>
      <c r="H975" s="1">
        <v>4502</v>
      </c>
    </row>
    <row r="976" spans="1:8" ht="17.25" x14ac:dyDescent="0.35">
      <c r="A976">
        <v>975</v>
      </c>
      <c r="B976" t="s">
        <v>1478</v>
      </c>
      <c r="C976" t="s">
        <v>17</v>
      </c>
      <c r="D976" t="s">
        <v>18</v>
      </c>
      <c r="E976" t="s">
        <v>147</v>
      </c>
      <c r="F976" s="1">
        <v>1991</v>
      </c>
      <c r="G976" s="1">
        <v>102</v>
      </c>
      <c r="H976" s="1">
        <v>2285</v>
      </c>
    </row>
    <row r="977" spans="1:8" ht="17.25" x14ac:dyDescent="0.35">
      <c r="A977">
        <v>976</v>
      </c>
      <c r="B977" t="s">
        <v>1479</v>
      </c>
      <c r="C977" t="s">
        <v>21</v>
      </c>
      <c r="D977" t="s">
        <v>74</v>
      </c>
      <c r="E977" t="s">
        <v>27</v>
      </c>
      <c r="F977" s="1">
        <v>1989</v>
      </c>
      <c r="G977" s="1">
        <v>522</v>
      </c>
      <c r="H977" s="1">
        <v>3130</v>
      </c>
    </row>
    <row r="978" spans="1:8" ht="17.25" x14ac:dyDescent="0.35">
      <c r="A978">
        <v>977</v>
      </c>
      <c r="B978" t="s">
        <v>1480</v>
      </c>
      <c r="C978" t="s">
        <v>25</v>
      </c>
      <c r="D978" t="s">
        <v>305</v>
      </c>
      <c r="E978" t="s">
        <v>78</v>
      </c>
      <c r="F978" s="1">
        <v>1988</v>
      </c>
      <c r="G978" s="1">
        <v>48</v>
      </c>
      <c r="H978" s="1">
        <v>10000</v>
      </c>
    </row>
    <row r="979" spans="1:8" ht="17.25" x14ac:dyDescent="0.35">
      <c r="A979">
        <v>978</v>
      </c>
      <c r="B979" t="s">
        <v>1481</v>
      </c>
      <c r="C979" t="s">
        <v>25</v>
      </c>
      <c r="D979" t="s">
        <v>71</v>
      </c>
      <c r="E979" t="s">
        <v>1482</v>
      </c>
      <c r="F979" s="1">
        <v>1987</v>
      </c>
      <c r="G979" s="1">
        <v>84</v>
      </c>
      <c r="H979" s="1">
        <v>9072</v>
      </c>
    </row>
    <row r="980" spans="1:8" ht="17.25" x14ac:dyDescent="0.35">
      <c r="A980">
        <v>979</v>
      </c>
      <c r="B980" t="s">
        <v>1483</v>
      </c>
      <c r="C980" t="s">
        <v>35</v>
      </c>
      <c r="D980" t="s">
        <v>36</v>
      </c>
      <c r="E980" t="s">
        <v>1484</v>
      </c>
      <c r="F980" s="1">
        <v>1986</v>
      </c>
      <c r="G980" s="1">
        <v>182</v>
      </c>
      <c r="H980" s="1">
        <v>2700</v>
      </c>
    </row>
    <row r="981" spans="1:8" ht="17.25" x14ac:dyDescent="0.35">
      <c r="A981">
        <v>980</v>
      </c>
      <c r="B981" t="s">
        <v>1485</v>
      </c>
      <c r="C981" t="s">
        <v>13</v>
      </c>
      <c r="D981" t="s">
        <v>231</v>
      </c>
      <c r="E981" t="s">
        <v>72</v>
      </c>
      <c r="F981" s="1">
        <v>1976</v>
      </c>
      <c r="G981" s="1">
        <v>137</v>
      </c>
      <c r="H981" s="1">
        <v>3078</v>
      </c>
    </row>
    <row r="982" spans="1:8" ht="17.25" x14ac:dyDescent="0.35">
      <c r="A982">
        <v>981</v>
      </c>
      <c r="B982" t="s">
        <v>1486</v>
      </c>
      <c r="C982" t="s">
        <v>13</v>
      </c>
      <c r="D982" t="s">
        <v>219</v>
      </c>
      <c r="E982" t="s">
        <v>355</v>
      </c>
      <c r="F982" s="1">
        <v>1958</v>
      </c>
      <c r="G982" s="1">
        <v>-1727</v>
      </c>
      <c r="H982" s="1">
        <v>1040</v>
      </c>
    </row>
    <row r="983" spans="1:8" ht="17.25" x14ac:dyDescent="0.35">
      <c r="A983">
        <v>982</v>
      </c>
      <c r="B983" t="s">
        <v>1487</v>
      </c>
      <c r="C983" t="s">
        <v>282</v>
      </c>
      <c r="D983" t="s">
        <v>283</v>
      </c>
      <c r="E983" t="s">
        <v>78</v>
      </c>
      <c r="F983" s="1">
        <v>1950</v>
      </c>
      <c r="G983" s="1">
        <v>-59</v>
      </c>
      <c r="H983" s="1">
        <v>1778</v>
      </c>
    </row>
    <row r="984" spans="1:8" ht="17.25" x14ac:dyDescent="0.35">
      <c r="A984">
        <v>983</v>
      </c>
      <c r="B984" t="s">
        <v>1488</v>
      </c>
      <c r="C984" t="s">
        <v>13</v>
      </c>
      <c r="D984" t="s">
        <v>14</v>
      </c>
      <c r="E984" t="s">
        <v>89</v>
      </c>
      <c r="F984" s="1">
        <v>1944</v>
      </c>
      <c r="G984" s="1">
        <v>-1</v>
      </c>
      <c r="H984" s="1">
        <v>809</v>
      </c>
    </row>
    <row r="985" spans="1:8" ht="17.25" x14ac:dyDescent="0.35">
      <c r="A985">
        <v>984</v>
      </c>
      <c r="B985" t="s">
        <v>1489</v>
      </c>
      <c r="C985" t="s">
        <v>17</v>
      </c>
      <c r="D985" t="s">
        <v>80</v>
      </c>
      <c r="E985" t="s">
        <v>1354</v>
      </c>
      <c r="F985" s="1">
        <v>1931</v>
      </c>
      <c r="G985" s="1">
        <v>-115</v>
      </c>
      <c r="H985" s="1">
        <v>13500</v>
      </c>
    </row>
    <row r="986" spans="1:8" ht="17.25" x14ac:dyDescent="0.35">
      <c r="A986">
        <v>985</v>
      </c>
      <c r="B986" t="s">
        <v>1490</v>
      </c>
      <c r="C986" t="s">
        <v>335</v>
      </c>
      <c r="D986" t="s">
        <v>336</v>
      </c>
      <c r="E986" t="s">
        <v>42</v>
      </c>
      <c r="F986" s="1">
        <v>1929</v>
      </c>
      <c r="G986" s="1">
        <v>37</v>
      </c>
      <c r="H986" s="1">
        <v>7011</v>
      </c>
    </row>
    <row r="987" spans="1:8" ht="17.25" x14ac:dyDescent="0.35">
      <c r="A987">
        <v>986</v>
      </c>
      <c r="B987" t="s">
        <v>1491</v>
      </c>
      <c r="C987" t="s">
        <v>282</v>
      </c>
      <c r="D987" t="s">
        <v>283</v>
      </c>
      <c r="E987" t="s">
        <v>529</v>
      </c>
      <c r="F987" s="1">
        <v>1924</v>
      </c>
      <c r="G987" s="1">
        <v>-197</v>
      </c>
      <c r="H987" s="1">
        <v>2955</v>
      </c>
    </row>
    <row r="988" spans="1:8" ht="17.25" x14ac:dyDescent="0.35">
      <c r="A988">
        <v>987</v>
      </c>
      <c r="B988" t="s">
        <v>1492</v>
      </c>
      <c r="C988" t="s">
        <v>76</v>
      </c>
      <c r="D988" t="s">
        <v>77</v>
      </c>
      <c r="E988" t="s">
        <v>120</v>
      </c>
      <c r="F988" s="1">
        <v>1923</v>
      </c>
      <c r="G988" s="1">
        <v>-133</v>
      </c>
      <c r="H988" s="1">
        <v>12000</v>
      </c>
    </row>
    <row r="989" spans="1:8" ht="17.25" x14ac:dyDescent="0.35">
      <c r="A989">
        <v>988</v>
      </c>
      <c r="B989" t="s">
        <v>1493</v>
      </c>
      <c r="C989" t="s">
        <v>21</v>
      </c>
      <c r="D989" t="s">
        <v>493</v>
      </c>
      <c r="E989" t="s">
        <v>1494</v>
      </c>
      <c r="F989" s="1">
        <v>1922</v>
      </c>
      <c r="G989" s="1">
        <v>166</v>
      </c>
      <c r="H989" s="1">
        <v>400</v>
      </c>
    </row>
    <row r="990" spans="1:8" ht="17.25" x14ac:dyDescent="0.35">
      <c r="A990">
        <v>989</v>
      </c>
      <c r="B990" t="s">
        <v>1495</v>
      </c>
      <c r="C990" t="s">
        <v>142</v>
      </c>
      <c r="D990" t="s">
        <v>485</v>
      </c>
      <c r="E990" t="s">
        <v>547</v>
      </c>
      <c r="F990" s="1">
        <v>1921</v>
      </c>
      <c r="G990" s="1">
        <v>-31</v>
      </c>
      <c r="H990" s="1">
        <v>7300</v>
      </c>
    </row>
    <row r="991" spans="1:8" ht="17.25" x14ac:dyDescent="0.35">
      <c r="A991">
        <v>990</v>
      </c>
      <c r="B991" t="s">
        <v>1496</v>
      </c>
      <c r="C991" t="s">
        <v>17</v>
      </c>
      <c r="D991" t="s">
        <v>146</v>
      </c>
      <c r="E991" t="s">
        <v>63</v>
      </c>
      <c r="F991" s="1">
        <v>1920</v>
      </c>
      <c r="G991" s="1">
        <v>365</v>
      </c>
      <c r="H991" s="1">
        <v>4178</v>
      </c>
    </row>
    <row r="992" spans="1:8" ht="17.25" x14ac:dyDescent="0.35">
      <c r="A992">
        <v>991</v>
      </c>
      <c r="B992" t="s">
        <v>1497</v>
      </c>
      <c r="C992" t="s">
        <v>153</v>
      </c>
      <c r="D992" t="s">
        <v>224</v>
      </c>
      <c r="E992" t="s">
        <v>86</v>
      </c>
      <c r="F992" s="1">
        <v>1917</v>
      </c>
      <c r="G992" s="1">
        <v>-12</v>
      </c>
      <c r="H992" s="1">
        <v>1600</v>
      </c>
    </row>
    <row r="993" spans="1:8" ht="17.25" x14ac:dyDescent="0.35">
      <c r="A993">
        <v>992</v>
      </c>
      <c r="B993" t="s">
        <v>1498</v>
      </c>
      <c r="C993" t="s">
        <v>98</v>
      </c>
      <c r="D993" t="s">
        <v>99</v>
      </c>
      <c r="E993" t="s">
        <v>50</v>
      </c>
      <c r="F993" s="1">
        <v>1914</v>
      </c>
      <c r="G993" s="1">
        <v>56</v>
      </c>
      <c r="H993" s="1">
        <v>5700</v>
      </c>
    </row>
    <row r="994" spans="1:8" ht="17.25" x14ac:dyDescent="0.35">
      <c r="A994">
        <v>993</v>
      </c>
      <c r="B994" t="s">
        <v>1499</v>
      </c>
      <c r="C994" t="s">
        <v>315</v>
      </c>
      <c r="D994" t="s">
        <v>1159</v>
      </c>
      <c r="E994" t="s">
        <v>578</v>
      </c>
      <c r="F994" s="1">
        <v>1910</v>
      </c>
      <c r="G994" s="1">
        <v>140</v>
      </c>
      <c r="H994" s="1">
        <v>11770</v>
      </c>
    </row>
    <row r="995" spans="1:8" ht="17.25" x14ac:dyDescent="0.35">
      <c r="A995">
        <v>994</v>
      </c>
      <c r="B995" t="s">
        <v>1500</v>
      </c>
      <c r="C995" t="s">
        <v>335</v>
      </c>
      <c r="D995" t="s">
        <v>495</v>
      </c>
      <c r="E995" t="s">
        <v>401</v>
      </c>
      <c r="F995" s="1">
        <v>1909</v>
      </c>
      <c r="G995" s="1">
        <v>66</v>
      </c>
      <c r="H995" s="1">
        <v>1225</v>
      </c>
    </row>
    <row r="996" spans="1:8" ht="17.25" x14ac:dyDescent="0.35">
      <c r="A996">
        <v>995</v>
      </c>
      <c r="B996" t="s">
        <v>1501</v>
      </c>
      <c r="C996" t="s">
        <v>13</v>
      </c>
      <c r="D996" t="s">
        <v>219</v>
      </c>
      <c r="E996" t="s">
        <v>89</v>
      </c>
      <c r="F996" s="1">
        <v>1908</v>
      </c>
      <c r="G996" s="1">
        <v>-3748</v>
      </c>
      <c r="H996" s="1">
        <v>665</v>
      </c>
    </row>
    <row r="997" spans="1:8" ht="17.25" x14ac:dyDescent="0.35">
      <c r="A997">
        <v>996</v>
      </c>
      <c r="B997" t="s">
        <v>1502</v>
      </c>
      <c r="C997" t="s">
        <v>21</v>
      </c>
      <c r="D997" t="s">
        <v>74</v>
      </c>
      <c r="E997" t="s">
        <v>1503</v>
      </c>
      <c r="F997" s="1">
        <v>1902</v>
      </c>
      <c r="G997" s="1">
        <v>-47</v>
      </c>
      <c r="H997" s="1">
        <v>3448</v>
      </c>
    </row>
    <row r="998" spans="1:8" ht="17.25" x14ac:dyDescent="0.35">
      <c r="A998">
        <v>997</v>
      </c>
      <c r="B998" t="s">
        <v>1504</v>
      </c>
      <c r="C998" t="s">
        <v>13</v>
      </c>
      <c r="D998" t="s">
        <v>231</v>
      </c>
      <c r="E998" t="s">
        <v>529</v>
      </c>
      <c r="F998" s="1">
        <v>1898</v>
      </c>
      <c r="G998" s="1">
        <v>172</v>
      </c>
      <c r="H998" s="1">
        <v>2646</v>
      </c>
    </row>
    <row r="999" spans="1:8" ht="17.25" x14ac:dyDescent="0.35">
      <c r="A999">
        <v>997</v>
      </c>
      <c r="B999" t="s">
        <v>1504</v>
      </c>
      <c r="C999" t="s">
        <v>13</v>
      </c>
      <c r="D999" t="s">
        <v>231</v>
      </c>
      <c r="E999" t="s">
        <v>529</v>
      </c>
      <c r="F999" s="1">
        <v>1898</v>
      </c>
      <c r="G999" s="1">
        <v>172</v>
      </c>
      <c r="H999" s="1">
        <v>2646</v>
      </c>
    </row>
    <row r="1000" spans="1:8" ht="17.25" x14ac:dyDescent="0.35">
      <c r="A1000">
        <v>999</v>
      </c>
      <c r="B1000" t="s">
        <v>1505</v>
      </c>
      <c r="C1000" t="s">
        <v>252</v>
      </c>
      <c r="D1000" t="s">
        <v>253</v>
      </c>
      <c r="E1000" t="s">
        <v>69</v>
      </c>
      <c r="F1000" s="1">
        <v>1896</v>
      </c>
      <c r="G1000" s="1">
        <v>161</v>
      </c>
      <c r="H1000" s="1">
        <v>21200</v>
      </c>
    </row>
    <row r="1001" spans="1:8" ht="17.25" x14ac:dyDescent="0.35">
      <c r="A1001">
        <v>1000</v>
      </c>
      <c r="B1001" t="s">
        <v>1506</v>
      </c>
      <c r="C1001" t="s">
        <v>44</v>
      </c>
      <c r="D1001" t="s">
        <v>45</v>
      </c>
      <c r="E1001" t="s">
        <v>1507</v>
      </c>
      <c r="F1001" s="1">
        <v>1895</v>
      </c>
      <c r="G1001" s="1">
        <v>46</v>
      </c>
      <c r="H1001" s="1">
        <v>5480</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F32"/>
  <sheetViews>
    <sheetView workbookViewId="0">
      <selection activeCell="J21" sqref="J21"/>
    </sheetView>
  </sheetViews>
  <sheetFormatPr defaultRowHeight="17.25" x14ac:dyDescent="0.35"/>
  <cols>
    <col min="1" max="1" width="18.25" customWidth="1"/>
    <col min="2" max="2" width="13.5" customWidth="1"/>
    <col min="3" max="4" width="23.25" customWidth="1"/>
    <col min="5" max="5" width="7.375" customWidth="1"/>
    <col min="6" max="6" width="9.5" customWidth="1"/>
    <col min="7" max="7" width="23.25" customWidth="1"/>
    <col min="8" max="417" width="20.375" bestFit="1" customWidth="1"/>
    <col min="418" max="419" width="9.875" bestFit="1" customWidth="1"/>
  </cols>
  <sheetData>
    <row r="3" spans="1:6" x14ac:dyDescent="0.35">
      <c r="A3" s="4" t="s">
        <v>1508</v>
      </c>
      <c r="B3" t="s">
        <v>1511</v>
      </c>
    </row>
    <row r="4" spans="1:6" x14ac:dyDescent="0.35">
      <c r="A4" s="5" t="s">
        <v>50</v>
      </c>
      <c r="B4" s="6">
        <v>139434</v>
      </c>
      <c r="D4" t="s">
        <v>1520</v>
      </c>
      <c r="E4" t="s">
        <v>1513</v>
      </c>
      <c r="F4">
        <f>GETPIVOTDATA("Profits",$A$3,"Location","New York, NY")</f>
        <v>139434</v>
      </c>
    </row>
    <row r="5" spans="1:6" x14ac:dyDescent="0.35">
      <c r="A5" s="5" t="s">
        <v>19</v>
      </c>
      <c r="B5" s="6">
        <v>53394</v>
      </c>
      <c r="D5" t="s">
        <v>1521</v>
      </c>
      <c r="E5" t="s">
        <v>925</v>
      </c>
      <c r="F5">
        <f>GETPIVOTDATA("Profits",$A$3,"Location","Cupertino, CA")</f>
        <v>53394</v>
      </c>
    </row>
    <row r="6" spans="1:6" x14ac:dyDescent="0.35">
      <c r="A6" s="5" t="s">
        <v>86</v>
      </c>
      <c r="B6" s="6">
        <v>32526</v>
      </c>
      <c r="D6" t="s">
        <v>1522</v>
      </c>
      <c r="E6" t="s">
        <v>1514</v>
      </c>
      <c r="F6">
        <f>GETPIVOTDATA("Profits",$A$3,"Location","Atlanta, GA")</f>
        <v>32526</v>
      </c>
    </row>
    <row r="7" spans="1:6" x14ac:dyDescent="0.35">
      <c r="A7" s="5" t="s">
        <v>23</v>
      </c>
      <c r="B7" s="6">
        <v>30412</v>
      </c>
      <c r="D7" t="s">
        <v>1523</v>
      </c>
      <c r="E7" t="s">
        <v>1515</v>
      </c>
      <c r="F7">
        <f>GETPIVOTDATA("Profits",$A$3,"Location","Omaha, NE")</f>
        <v>30412</v>
      </c>
    </row>
    <row r="8" spans="1:6" x14ac:dyDescent="0.35">
      <c r="A8" s="5" t="s">
        <v>27</v>
      </c>
      <c r="B8" s="6">
        <v>28953</v>
      </c>
      <c r="D8" t="s">
        <v>1524</v>
      </c>
      <c r="E8" t="s">
        <v>925</v>
      </c>
      <c r="F8">
        <f>GETPIVOTDATA("Profits",$A$3,"Location","San Francisco, CA")</f>
        <v>28953</v>
      </c>
    </row>
    <row r="9" spans="1:6" x14ac:dyDescent="0.35">
      <c r="A9" s="5" t="s">
        <v>210</v>
      </c>
      <c r="B9" s="6">
        <v>24436</v>
      </c>
      <c r="D9" t="s">
        <v>1525</v>
      </c>
      <c r="E9" t="s">
        <v>925</v>
      </c>
      <c r="F9">
        <f>GETPIVOTDATA("Profits",$A$3,"Location","Foster City, CA")</f>
        <v>24436</v>
      </c>
    </row>
    <row r="10" spans="1:6" x14ac:dyDescent="0.35">
      <c r="A10" s="5" t="s">
        <v>78</v>
      </c>
      <c r="B10" s="6">
        <v>24062</v>
      </c>
      <c r="D10" t="s">
        <v>1526</v>
      </c>
      <c r="E10" t="s">
        <v>1516</v>
      </c>
      <c r="F10">
        <f>GETPIVOTDATA("Profits",$A$3,"Location","Chicago, IL")</f>
        <v>24062</v>
      </c>
    </row>
    <row r="11" spans="1:6" x14ac:dyDescent="0.35">
      <c r="A11" s="5" t="s">
        <v>83</v>
      </c>
      <c r="B11" s="6">
        <v>20096</v>
      </c>
      <c r="D11" t="s">
        <v>1527</v>
      </c>
      <c r="E11" t="s">
        <v>1517</v>
      </c>
      <c r="F11">
        <f>GETPIVOTDATA("Profits",$A$3,"Location","Charlotte, NC")</f>
        <v>20096</v>
      </c>
    </row>
    <row r="12" spans="1:6" x14ac:dyDescent="0.35">
      <c r="A12" s="5" t="s">
        <v>15</v>
      </c>
      <c r="B12" s="6">
        <v>18155</v>
      </c>
      <c r="D12" t="s">
        <v>1528</v>
      </c>
      <c r="E12" t="s">
        <v>1518</v>
      </c>
      <c r="F12">
        <f>GETPIVOTDATA("Profits",$A$3,"Location","Irving, TX")</f>
        <v>18155</v>
      </c>
    </row>
    <row r="13" spans="1:6" x14ac:dyDescent="0.35">
      <c r="A13" s="5" t="s">
        <v>104</v>
      </c>
      <c r="B13" s="6">
        <v>17651</v>
      </c>
      <c r="D13" t="s">
        <v>1529</v>
      </c>
      <c r="E13" t="s">
        <v>925</v>
      </c>
      <c r="F13">
        <f>GETPIVOTDATA("Profits",$A$3,"Location","Mountain View, CA")</f>
        <v>17651</v>
      </c>
    </row>
    <row r="14" spans="1:6" x14ac:dyDescent="0.35">
      <c r="A14" s="5" t="s">
        <v>42</v>
      </c>
      <c r="B14" s="6">
        <v>16862</v>
      </c>
      <c r="D14" t="s">
        <v>1530</v>
      </c>
      <c r="E14" t="s">
        <v>1518</v>
      </c>
      <c r="F14">
        <f>GETPIVOTDATA("Profits",$A$3,"Location","Dallas, TX")</f>
        <v>16862</v>
      </c>
    </row>
    <row r="15" spans="1:6" x14ac:dyDescent="0.35">
      <c r="A15" s="5" t="s">
        <v>111</v>
      </c>
      <c r="B15" s="6">
        <v>15409</v>
      </c>
      <c r="D15" t="s">
        <v>1531</v>
      </c>
      <c r="E15" t="s">
        <v>1519</v>
      </c>
      <c r="F15">
        <f>GETPIVOTDATA("Profits",$A$3,"Location","New Brunswick, NJ")</f>
        <v>15409</v>
      </c>
    </row>
    <row r="16" spans="1:6" x14ac:dyDescent="0.35">
      <c r="A16" s="5" t="s">
        <v>1509</v>
      </c>
      <c r="B16" s="6">
        <v>421390</v>
      </c>
    </row>
    <row r="21" spans="4:5" x14ac:dyDescent="0.35">
      <c r="D21" t="s">
        <v>1520</v>
      </c>
      <c r="E21">
        <f>GETPIVOTDATA("Profits",$A$3,"Location","New York, NY")</f>
        <v>139434</v>
      </c>
    </row>
    <row r="22" spans="4:5" x14ac:dyDescent="0.35">
      <c r="D22" t="s">
        <v>1521</v>
      </c>
      <c r="E22">
        <f>GETPIVOTDATA("Profits",$A$3,"Location","Cupertino, CA")</f>
        <v>53394</v>
      </c>
    </row>
    <row r="23" spans="4:5" x14ac:dyDescent="0.35">
      <c r="D23" t="s">
        <v>1522</v>
      </c>
      <c r="E23">
        <f>GETPIVOTDATA("Profits",$A$3,"Location","Atlanta, GA")</f>
        <v>32526</v>
      </c>
    </row>
    <row r="24" spans="4:5" x14ac:dyDescent="0.35">
      <c r="D24" t="s">
        <v>1523</v>
      </c>
      <c r="E24">
        <f>GETPIVOTDATA("Profits",$A$3,"Location","Omaha, NE")</f>
        <v>30412</v>
      </c>
    </row>
    <row r="25" spans="4:5" x14ac:dyDescent="0.35">
      <c r="D25" t="s">
        <v>1524</v>
      </c>
      <c r="E25">
        <f>GETPIVOTDATA("Profits",$A$3,"Location","San Francisco, CA")</f>
        <v>28953</v>
      </c>
    </row>
    <row r="26" spans="4:5" x14ac:dyDescent="0.35">
      <c r="D26" t="s">
        <v>1525</v>
      </c>
      <c r="E26">
        <f>GETPIVOTDATA("Profits",$A$3,"Location","Foster City, CA")</f>
        <v>24436</v>
      </c>
    </row>
    <row r="27" spans="4:5" x14ac:dyDescent="0.35">
      <c r="D27" t="s">
        <v>1526</v>
      </c>
      <c r="E27">
        <f>GETPIVOTDATA("Profits",$A$3,"Location","Chicago, IL")</f>
        <v>24062</v>
      </c>
    </row>
    <row r="28" spans="4:5" x14ac:dyDescent="0.35">
      <c r="D28" t="s">
        <v>1527</v>
      </c>
      <c r="E28">
        <f>GETPIVOTDATA("Profits",$A$3,"Location","Charlotte, NC")</f>
        <v>20096</v>
      </c>
    </row>
    <row r="29" spans="4:5" x14ac:dyDescent="0.35">
      <c r="D29" t="s">
        <v>1528</v>
      </c>
      <c r="E29">
        <f>GETPIVOTDATA("Profits",$A$3,"Location","Irving, TX")</f>
        <v>18155</v>
      </c>
    </row>
    <row r="30" spans="4:5" x14ac:dyDescent="0.35">
      <c r="D30" t="s">
        <v>1529</v>
      </c>
      <c r="E30">
        <f>GETPIVOTDATA("Profits",$A$3,"Location","Mountain View, CA")</f>
        <v>17651</v>
      </c>
    </row>
    <row r="31" spans="4:5" x14ac:dyDescent="0.35">
      <c r="D31" t="s">
        <v>1530</v>
      </c>
      <c r="E31">
        <f>GETPIVOTDATA("Profits",$A$3,"Location","Dallas, TX")</f>
        <v>16862</v>
      </c>
    </row>
    <row r="32" spans="4:5" x14ac:dyDescent="0.35">
      <c r="D32" t="s">
        <v>1531</v>
      </c>
      <c r="E32">
        <f>GETPIVOTDATA("Profits",$A$3,"Location","New Brunswick, NJ")</f>
        <v>15409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78"/>
  <sheetViews>
    <sheetView topLeftCell="E1" workbookViewId="0">
      <selection activeCell="K9" sqref="K9"/>
    </sheetView>
  </sheetViews>
  <sheetFormatPr defaultRowHeight="17.25" x14ac:dyDescent="0.35"/>
  <cols>
    <col min="1" max="1" width="23.75" customWidth="1"/>
    <col min="2" max="2" width="17.75" customWidth="1"/>
    <col min="3" max="3" width="9.875" customWidth="1"/>
    <col min="4" max="4" width="13.75" customWidth="1"/>
    <col min="5" max="5" width="12.25" customWidth="1"/>
    <col min="6" max="6" width="10.5" customWidth="1"/>
    <col min="7" max="7" width="13.5" customWidth="1"/>
    <col min="8" max="8" width="46.5" customWidth="1"/>
    <col min="9" max="9" width="13.5" customWidth="1"/>
    <col min="10" max="10" width="12.75" customWidth="1"/>
    <col min="11" max="11" width="10.125" bestFit="1" customWidth="1"/>
    <col min="12" max="12" width="9.75" bestFit="1" customWidth="1"/>
    <col min="13" max="13" width="13.5" bestFit="1" customWidth="1"/>
    <col min="14" max="14" width="9.625" bestFit="1" customWidth="1"/>
    <col min="15" max="15" width="8.625" bestFit="1" customWidth="1"/>
    <col min="16" max="16" width="12.125" bestFit="1" customWidth="1"/>
    <col min="17" max="17" width="12.25" bestFit="1" customWidth="1"/>
    <col min="18" max="18" width="13.25" bestFit="1" customWidth="1"/>
    <col min="19" max="20" width="13.5" bestFit="1" customWidth="1"/>
    <col min="21" max="21" width="12.125" bestFit="1" customWidth="1"/>
    <col min="22" max="22" width="11.625" bestFit="1" customWidth="1"/>
    <col min="23" max="23" width="8.625" bestFit="1" customWidth="1"/>
    <col min="24" max="24" width="15.375" bestFit="1" customWidth="1"/>
    <col min="25" max="25" width="13" bestFit="1" customWidth="1"/>
    <col min="26" max="26" width="9.75" bestFit="1" customWidth="1"/>
    <col min="27" max="27" width="11.875" bestFit="1" customWidth="1"/>
    <col min="28" max="28" width="11.5" bestFit="1" customWidth="1"/>
    <col min="29" max="29" width="13.625" bestFit="1" customWidth="1"/>
    <col min="30" max="30" width="13.125" bestFit="1" customWidth="1"/>
    <col min="31" max="31" width="11" bestFit="1" customWidth="1"/>
    <col min="32" max="32" width="16.25" bestFit="1" customWidth="1"/>
    <col min="33" max="33" width="16.5" bestFit="1" customWidth="1"/>
    <col min="34" max="34" width="12.375" bestFit="1" customWidth="1"/>
    <col min="35" max="35" width="13.125" bestFit="1" customWidth="1"/>
    <col min="36" max="36" width="14.75" bestFit="1" customWidth="1"/>
    <col min="37" max="37" width="10.75" bestFit="1" customWidth="1"/>
    <col min="38" max="38" width="12" bestFit="1" customWidth="1"/>
    <col min="39" max="39" width="7.625" bestFit="1" customWidth="1"/>
    <col min="40" max="40" width="12.5" bestFit="1" customWidth="1"/>
    <col min="41" max="41" width="9.875" bestFit="1" customWidth="1"/>
    <col min="42" max="42" width="12.375" bestFit="1" customWidth="1"/>
    <col min="43" max="43" width="12.625" bestFit="1" customWidth="1"/>
    <col min="44" max="44" width="9" bestFit="1" customWidth="1"/>
    <col min="45" max="45" width="12.25" bestFit="1" customWidth="1"/>
    <col min="46" max="46" width="12.875" bestFit="1" customWidth="1"/>
    <col min="47" max="47" width="9.625" bestFit="1" customWidth="1"/>
    <col min="48" max="48" width="10.25" bestFit="1" customWidth="1"/>
    <col min="49" max="49" width="12.75" bestFit="1" customWidth="1"/>
    <col min="50" max="50" width="12.25" bestFit="1" customWidth="1"/>
    <col min="51" max="51" width="11.875" bestFit="1" customWidth="1"/>
    <col min="52" max="52" width="14.125" bestFit="1" customWidth="1"/>
    <col min="53" max="53" width="15.375" bestFit="1" customWidth="1"/>
    <col min="54" max="54" width="11.5" bestFit="1" customWidth="1"/>
    <col min="55" max="55" width="10.5" bestFit="1" customWidth="1"/>
    <col min="56" max="56" width="13" bestFit="1" customWidth="1"/>
    <col min="57" max="57" width="10" bestFit="1" customWidth="1"/>
    <col min="58" max="58" width="11.25" bestFit="1" customWidth="1"/>
    <col min="59" max="59" width="13.125" bestFit="1" customWidth="1"/>
    <col min="60" max="60" width="9" bestFit="1" customWidth="1"/>
    <col min="61" max="61" width="11.625" bestFit="1" customWidth="1"/>
    <col min="62" max="62" width="10.25" bestFit="1" customWidth="1"/>
    <col min="63" max="63" width="8.125" bestFit="1" customWidth="1"/>
    <col min="64" max="64" width="13.5" bestFit="1" customWidth="1"/>
    <col min="65" max="65" width="12.625" bestFit="1" customWidth="1"/>
    <col min="66" max="66" width="10.75" bestFit="1" customWidth="1"/>
    <col min="67" max="67" width="10.875" bestFit="1" customWidth="1"/>
    <col min="68" max="68" width="11.25" bestFit="1" customWidth="1"/>
    <col min="69" max="69" width="13.75" bestFit="1" customWidth="1"/>
    <col min="70" max="70" width="13.5" bestFit="1" customWidth="1"/>
    <col min="71" max="71" width="14.5" bestFit="1" customWidth="1"/>
    <col min="72" max="72" width="14.375" bestFit="1" customWidth="1"/>
    <col min="73" max="73" width="9" bestFit="1" customWidth="1"/>
    <col min="74" max="74" width="12" bestFit="1" customWidth="1"/>
    <col min="75" max="75" width="10.5" bestFit="1" customWidth="1"/>
    <col min="76" max="76" width="11.625" bestFit="1" customWidth="1"/>
    <col min="77" max="80" width="12" bestFit="1" customWidth="1"/>
    <col min="81" max="81" width="11.25" bestFit="1" customWidth="1"/>
    <col min="82" max="82" width="12" bestFit="1" customWidth="1"/>
    <col min="83" max="83" width="12.375" bestFit="1" customWidth="1"/>
    <col min="84" max="84" width="9.625" bestFit="1" customWidth="1"/>
    <col min="85" max="85" width="13.25" bestFit="1" customWidth="1"/>
    <col min="86" max="86" width="12.25" bestFit="1" customWidth="1"/>
    <col min="87" max="87" width="10" bestFit="1" customWidth="1"/>
    <col min="88" max="88" width="9.375" bestFit="1" customWidth="1"/>
    <col min="89" max="89" width="14.625" bestFit="1" customWidth="1"/>
    <col min="90" max="90" width="12.875" bestFit="1" customWidth="1"/>
    <col min="91" max="91" width="11.625" bestFit="1" customWidth="1"/>
    <col min="92" max="92" width="12.25" bestFit="1" customWidth="1"/>
    <col min="93" max="93" width="9.75" bestFit="1" customWidth="1"/>
    <col min="94" max="94" width="11.75" bestFit="1" customWidth="1"/>
    <col min="95" max="95" width="8.25" bestFit="1" customWidth="1"/>
    <col min="96" max="96" width="10.125" bestFit="1" customWidth="1"/>
    <col min="97" max="97" width="8.75" bestFit="1" customWidth="1"/>
    <col min="98" max="98" width="9.625" bestFit="1" customWidth="1"/>
    <col min="99" max="99" width="11.125" bestFit="1" customWidth="1"/>
    <col min="100" max="100" width="10.375" bestFit="1" customWidth="1"/>
    <col min="101" max="101" width="11.625" bestFit="1" customWidth="1"/>
    <col min="102" max="102" width="9.375" bestFit="1" customWidth="1"/>
    <col min="103" max="103" width="9.625" bestFit="1" customWidth="1"/>
    <col min="104" max="104" width="12.625" bestFit="1" customWidth="1"/>
    <col min="105" max="105" width="12.375" bestFit="1" customWidth="1"/>
    <col min="106" max="106" width="9.375" bestFit="1" customWidth="1"/>
    <col min="107" max="107" width="15.25" bestFit="1" customWidth="1"/>
    <col min="108" max="108" width="9" bestFit="1" customWidth="1"/>
    <col min="109" max="109" width="9.25" bestFit="1" customWidth="1"/>
    <col min="110" max="110" width="8.875" bestFit="1" customWidth="1"/>
    <col min="111" max="111" width="9.375" bestFit="1" customWidth="1"/>
    <col min="112" max="112" width="10.125" bestFit="1" customWidth="1"/>
    <col min="113" max="113" width="14.125" bestFit="1" customWidth="1"/>
    <col min="114" max="114" width="11.25" bestFit="1" customWidth="1"/>
    <col min="115" max="115" width="9" bestFit="1" customWidth="1"/>
    <col min="116" max="116" width="12.5" bestFit="1" customWidth="1"/>
    <col min="117" max="117" width="8.875" bestFit="1" customWidth="1"/>
    <col min="118" max="118" width="7.75" bestFit="1" customWidth="1"/>
    <col min="119" max="119" width="10.875" bestFit="1" customWidth="1"/>
    <col min="120" max="120" width="12.75" bestFit="1" customWidth="1"/>
    <col min="121" max="121" width="6.875" bestFit="1" customWidth="1"/>
    <col min="122" max="122" width="8.25" bestFit="1" customWidth="1"/>
    <col min="123" max="123" width="11.25" bestFit="1" customWidth="1"/>
    <col min="124" max="124" width="8.25" bestFit="1" customWidth="1"/>
    <col min="125" max="125" width="10.125" bestFit="1" customWidth="1"/>
    <col min="126" max="126" width="10.625" bestFit="1" customWidth="1"/>
    <col min="127" max="127" width="10.75" bestFit="1" customWidth="1"/>
    <col min="128" max="128" width="13.375" bestFit="1" customWidth="1"/>
    <col min="129" max="129" width="12.625" bestFit="1" customWidth="1"/>
    <col min="130" max="130" width="14.5" bestFit="1" customWidth="1"/>
    <col min="131" max="131" width="9.75" bestFit="1" customWidth="1"/>
    <col min="132" max="132" width="7.375" bestFit="1" customWidth="1"/>
    <col min="133" max="133" width="13.875" bestFit="1" customWidth="1"/>
    <col min="134" max="134" width="12.875" bestFit="1" customWidth="1"/>
    <col min="135" max="135" width="15.75" bestFit="1" customWidth="1"/>
    <col min="136" max="136" width="10.25" bestFit="1" customWidth="1"/>
    <col min="137" max="137" width="11.875" bestFit="1" customWidth="1"/>
    <col min="138" max="138" width="12" bestFit="1" customWidth="1"/>
    <col min="139" max="139" width="12.625" bestFit="1" customWidth="1"/>
    <col min="140" max="141" width="12.25" bestFit="1" customWidth="1"/>
    <col min="142" max="142" width="14.25" bestFit="1" customWidth="1"/>
    <col min="143" max="143" width="14.625" bestFit="1" customWidth="1"/>
    <col min="144" max="144" width="10.125" bestFit="1" customWidth="1"/>
    <col min="145" max="145" width="10.5" bestFit="1" customWidth="1"/>
    <col min="146" max="146" width="11.625" bestFit="1" customWidth="1"/>
    <col min="147" max="147" width="12.375" bestFit="1" customWidth="1"/>
    <col min="148" max="148" width="11" bestFit="1" customWidth="1"/>
    <col min="149" max="149" width="10.5" bestFit="1" customWidth="1"/>
    <col min="150" max="150" width="15.25" bestFit="1" customWidth="1"/>
    <col min="151" max="151" width="14.25" bestFit="1" customWidth="1"/>
    <col min="152" max="152" width="11.875" bestFit="1" customWidth="1"/>
    <col min="153" max="153" width="13.375" bestFit="1" customWidth="1"/>
    <col min="154" max="154" width="12" bestFit="1" customWidth="1"/>
    <col min="155" max="155" width="12.25" bestFit="1" customWidth="1"/>
    <col min="156" max="156" width="19.375" bestFit="1" customWidth="1"/>
    <col min="157" max="157" width="11" bestFit="1" customWidth="1"/>
    <col min="158" max="158" width="10.125" bestFit="1" customWidth="1"/>
    <col min="159" max="159" width="11" bestFit="1" customWidth="1"/>
    <col min="160" max="161" width="10.625" bestFit="1" customWidth="1"/>
    <col min="162" max="162" width="10.75" bestFit="1" customWidth="1"/>
    <col min="163" max="163" width="10.25" bestFit="1" customWidth="1"/>
    <col min="164" max="164" width="9.75" bestFit="1" customWidth="1"/>
    <col min="165" max="165" width="17.125" bestFit="1" customWidth="1"/>
    <col min="166" max="166" width="15.875" bestFit="1" customWidth="1"/>
    <col min="167" max="167" width="10.5" bestFit="1" customWidth="1"/>
    <col min="168" max="168" width="12.75" bestFit="1" customWidth="1"/>
    <col min="169" max="169" width="10.75" bestFit="1" customWidth="1"/>
    <col min="170" max="170" width="10.125" bestFit="1" customWidth="1"/>
    <col min="171" max="171" width="13.625" bestFit="1" customWidth="1"/>
    <col min="172" max="173" width="13.125" bestFit="1" customWidth="1"/>
    <col min="174" max="174" width="20.375" bestFit="1" customWidth="1"/>
    <col min="175" max="175" width="8.375" bestFit="1" customWidth="1"/>
    <col min="176" max="176" width="8"/>
    <col min="177" max="177" width="11.5" bestFit="1" customWidth="1"/>
    <col min="178" max="178" width="7.375" bestFit="1" customWidth="1"/>
    <col min="179" max="179" width="9.75" bestFit="1" customWidth="1"/>
    <col min="180" max="180" width="12.75" bestFit="1" customWidth="1"/>
    <col min="181" max="181" width="12" bestFit="1" customWidth="1"/>
    <col min="182" max="182" width="10.25" bestFit="1" customWidth="1"/>
    <col min="183" max="183" width="12.125" bestFit="1" customWidth="1"/>
    <col min="184" max="184" width="12.375" bestFit="1" customWidth="1"/>
    <col min="185" max="185" width="13.375" bestFit="1" customWidth="1"/>
    <col min="186" max="186" width="12.375" bestFit="1" customWidth="1"/>
    <col min="187" max="187" width="16.125" bestFit="1" customWidth="1"/>
    <col min="188" max="188" width="10.625" bestFit="1" customWidth="1"/>
    <col min="189" max="189" width="15.375" bestFit="1" customWidth="1"/>
    <col min="190" max="190" width="11.25" bestFit="1" customWidth="1"/>
    <col min="191" max="191" width="11.5" bestFit="1" customWidth="1"/>
    <col min="192" max="192" width="11.125" bestFit="1" customWidth="1"/>
    <col min="193" max="193" width="10.75" bestFit="1" customWidth="1"/>
    <col min="194" max="194" width="11.875" bestFit="1" customWidth="1"/>
    <col min="195" max="195" width="14.25" bestFit="1" customWidth="1"/>
    <col min="196" max="196" width="13.875" bestFit="1" customWidth="1"/>
    <col min="197" max="197" width="10.25" bestFit="1" customWidth="1"/>
    <col min="198" max="198" width="11.125" bestFit="1" customWidth="1"/>
    <col min="199" max="199" width="9.625" bestFit="1" customWidth="1"/>
    <col min="200" max="200" width="11.625" bestFit="1" customWidth="1"/>
    <col min="201" max="201" width="9" bestFit="1" customWidth="1"/>
    <col min="202" max="202" width="10.5" bestFit="1" customWidth="1"/>
    <col min="203" max="203" width="11.5" bestFit="1" customWidth="1"/>
    <col min="204" max="204" width="8.75" bestFit="1" customWidth="1"/>
    <col min="205" max="205" width="12.5" bestFit="1" customWidth="1"/>
    <col min="206" max="206" width="6.5" bestFit="1" customWidth="1"/>
    <col min="207" max="207" width="12" bestFit="1" customWidth="1"/>
    <col min="208" max="208" width="9.375" bestFit="1" customWidth="1"/>
    <col min="209" max="209" width="12.625" bestFit="1" customWidth="1"/>
    <col min="210" max="210" width="16.25" bestFit="1" customWidth="1"/>
    <col min="211" max="211" width="13.125" bestFit="1" customWidth="1"/>
    <col min="212" max="212" width="11.25" bestFit="1" customWidth="1"/>
    <col min="213" max="213" width="11.125" bestFit="1" customWidth="1"/>
    <col min="214" max="214" width="9" bestFit="1" customWidth="1"/>
    <col min="215" max="215" width="10.375" bestFit="1" customWidth="1"/>
    <col min="216" max="216" width="10.75" bestFit="1" customWidth="1"/>
    <col min="217" max="218" width="10.375" bestFit="1" customWidth="1"/>
    <col min="219" max="219" width="17.625" bestFit="1" customWidth="1"/>
    <col min="220" max="220" width="12.875" bestFit="1" customWidth="1"/>
    <col min="221" max="221" width="14.75" bestFit="1" customWidth="1"/>
    <col min="222" max="222" width="12.375" bestFit="1" customWidth="1"/>
    <col min="223" max="223" width="11.125" bestFit="1" customWidth="1"/>
    <col min="224" max="224" width="17.125" bestFit="1" customWidth="1"/>
    <col min="225" max="225" width="11.5" bestFit="1" customWidth="1"/>
    <col min="226" max="226" width="10" bestFit="1" customWidth="1"/>
    <col min="227" max="228" width="15.875" bestFit="1" customWidth="1"/>
    <col min="229" max="229" width="10.875" bestFit="1" customWidth="1"/>
    <col min="230" max="230" width="10.625" bestFit="1" customWidth="1"/>
    <col min="231" max="231" width="10.125" bestFit="1" customWidth="1"/>
    <col min="232" max="232" width="12.25" bestFit="1" customWidth="1"/>
    <col min="233" max="233" width="10.5" bestFit="1" customWidth="1"/>
    <col min="234" max="234" width="11.25" bestFit="1" customWidth="1"/>
    <col min="235" max="235" width="12.875" bestFit="1" customWidth="1"/>
    <col min="236" max="236" width="18.25" bestFit="1" customWidth="1"/>
    <col min="237" max="237" width="10.375" bestFit="1" customWidth="1"/>
    <col min="238" max="238" width="12.375" bestFit="1" customWidth="1"/>
    <col min="239" max="239" width="12.625" bestFit="1" customWidth="1"/>
    <col min="240" max="240" width="8.375" bestFit="1" customWidth="1"/>
    <col min="241" max="242" width="10.375" bestFit="1" customWidth="1"/>
    <col min="243" max="243" width="10.25" bestFit="1" customWidth="1"/>
    <col min="244" max="244" width="12.875" bestFit="1" customWidth="1"/>
    <col min="245" max="245" width="14.5" bestFit="1" customWidth="1"/>
    <col min="246" max="246" width="14.25" bestFit="1" customWidth="1"/>
    <col min="247" max="247" width="10" bestFit="1" customWidth="1"/>
    <col min="248" max="248" width="8.625" bestFit="1" customWidth="1"/>
    <col min="249" max="249" width="9.875" bestFit="1" customWidth="1"/>
    <col min="250" max="250" width="13.5" bestFit="1" customWidth="1"/>
    <col min="251" max="251" width="13.875" bestFit="1" customWidth="1"/>
    <col min="252" max="252" width="12.625" bestFit="1" customWidth="1"/>
    <col min="253" max="253" width="16.125" bestFit="1" customWidth="1"/>
    <col min="254" max="254" width="12.375" bestFit="1" customWidth="1"/>
    <col min="255" max="255" width="11.625" bestFit="1" customWidth="1"/>
    <col min="256" max="256" width="11.125" bestFit="1" customWidth="1"/>
    <col min="257" max="257" width="10.125" bestFit="1" customWidth="1"/>
    <col min="258" max="258" width="13.625" bestFit="1" customWidth="1"/>
    <col min="259" max="259" width="15.25" bestFit="1" customWidth="1"/>
    <col min="260" max="260" width="12.875" bestFit="1" customWidth="1"/>
    <col min="261" max="261" width="15.75" bestFit="1" customWidth="1"/>
    <col min="262" max="262" width="12.625" bestFit="1" customWidth="1"/>
    <col min="263" max="263" width="13.75" bestFit="1" customWidth="1"/>
    <col min="264" max="264" width="11.625" bestFit="1" customWidth="1"/>
    <col min="265" max="265" width="9.625" bestFit="1" customWidth="1"/>
    <col min="266" max="266" width="16" bestFit="1" customWidth="1"/>
    <col min="267" max="267" width="15.875" bestFit="1" customWidth="1"/>
    <col min="268" max="268" width="10.75" bestFit="1" customWidth="1"/>
    <col min="269" max="269" width="9.875" bestFit="1" customWidth="1"/>
    <col min="270" max="270" width="14.625" bestFit="1" customWidth="1"/>
    <col min="271" max="271" width="14" bestFit="1" customWidth="1"/>
    <col min="272" max="272" width="18.375" bestFit="1" customWidth="1"/>
    <col min="273" max="273" width="12.125" bestFit="1" customWidth="1"/>
    <col min="274" max="274" width="10.125" bestFit="1" customWidth="1"/>
    <col min="275" max="275" width="10.75" bestFit="1" customWidth="1"/>
    <col min="276" max="276" width="11.875" bestFit="1" customWidth="1"/>
    <col min="277" max="277" width="7.5" bestFit="1" customWidth="1"/>
    <col min="278" max="278" width="10.875" bestFit="1" customWidth="1"/>
    <col min="279" max="279" width="10.25" bestFit="1" customWidth="1"/>
    <col min="280" max="280" width="15.5" bestFit="1" customWidth="1"/>
    <col min="281" max="281" width="9.375" bestFit="1" customWidth="1"/>
    <col min="282" max="282" width="9.625" bestFit="1" customWidth="1"/>
    <col min="283" max="283" width="10" bestFit="1" customWidth="1"/>
    <col min="284" max="284" width="10.625" bestFit="1" customWidth="1"/>
    <col min="285" max="285" width="14.625" bestFit="1" customWidth="1"/>
    <col min="286" max="286" width="19.5" bestFit="1" customWidth="1"/>
    <col min="287" max="287" width="10.875" bestFit="1" customWidth="1"/>
    <col min="288" max="288" width="12.25" bestFit="1" customWidth="1"/>
    <col min="289" max="289" width="11.25" bestFit="1" customWidth="1"/>
    <col min="290" max="290" width="11.5" bestFit="1" customWidth="1"/>
    <col min="291" max="291" width="8"/>
    <col min="292" max="292" width="12.625" bestFit="1" customWidth="1"/>
    <col min="293" max="293" width="13.75" bestFit="1" customWidth="1"/>
    <col min="294" max="294" width="10.125" bestFit="1" customWidth="1"/>
    <col min="295" max="295" width="12" bestFit="1" customWidth="1"/>
    <col min="296" max="296" width="8"/>
    <col min="297" max="297" width="12.25" bestFit="1" customWidth="1"/>
    <col min="298" max="298" width="17.25" bestFit="1" customWidth="1"/>
    <col min="299" max="299" width="10.625" bestFit="1" customWidth="1"/>
    <col min="300" max="300" width="13.375" bestFit="1" customWidth="1"/>
    <col min="301" max="301" width="11.125" bestFit="1" customWidth="1"/>
    <col min="302" max="302" width="12.125" bestFit="1" customWidth="1"/>
    <col min="303" max="303" width="8.375" bestFit="1" customWidth="1"/>
    <col min="304" max="304" width="11" bestFit="1" customWidth="1"/>
    <col min="305" max="305" width="9.375" bestFit="1" customWidth="1"/>
    <col min="306" max="306" width="9.75" bestFit="1" customWidth="1"/>
    <col min="307" max="307" width="10.125" bestFit="1" customWidth="1"/>
    <col min="308" max="308" width="10.75" bestFit="1" customWidth="1"/>
    <col min="309" max="309" width="12.25" bestFit="1" customWidth="1"/>
    <col min="310" max="310" width="14.75" bestFit="1" customWidth="1"/>
    <col min="311" max="311" width="8.125" bestFit="1" customWidth="1"/>
    <col min="312" max="312" width="9.375" bestFit="1" customWidth="1"/>
    <col min="313" max="313" width="12.25" bestFit="1" customWidth="1"/>
    <col min="314" max="314" width="11.625" bestFit="1" customWidth="1"/>
    <col min="315" max="315" width="11.875" bestFit="1" customWidth="1"/>
    <col min="316" max="316" width="12.25" bestFit="1" customWidth="1"/>
    <col min="317" max="317" width="10.75" bestFit="1" customWidth="1"/>
    <col min="318" max="318" width="15.625" bestFit="1" customWidth="1"/>
    <col min="319" max="319" width="11.875" bestFit="1" customWidth="1"/>
    <col min="320" max="320" width="10.75" bestFit="1" customWidth="1"/>
    <col min="321" max="321" width="14.25" bestFit="1" customWidth="1"/>
    <col min="322" max="322" width="10.75" bestFit="1" customWidth="1"/>
    <col min="323" max="323" width="12.125" bestFit="1" customWidth="1"/>
    <col min="324" max="324" width="10.875" bestFit="1" customWidth="1"/>
    <col min="325" max="325" width="11.875" bestFit="1" customWidth="1"/>
    <col min="326" max="326" width="14.125" bestFit="1" customWidth="1"/>
    <col min="327" max="327" width="13.125" bestFit="1" customWidth="1"/>
    <col min="328" max="328" width="11.625" bestFit="1" customWidth="1"/>
    <col min="329" max="329" width="14.25" bestFit="1" customWidth="1"/>
    <col min="330" max="331" width="10.375" bestFit="1" customWidth="1"/>
    <col min="332" max="332" width="13.375" bestFit="1" customWidth="1"/>
    <col min="333" max="333" width="12.25" bestFit="1" customWidth="1"/>
    <col min="334" max="334" width="12" bestFit="1" customWidth="1"/>
    <col min="335" max="335" width="12.5" bestFit="1" customWidth="1"/>
    <col min="336" max="336" width="11.625" bestFit="1" customWidth="1"/>
    <col min="337" max="337" width="12.5" bestFit="1" customWidth="1"/>
    <col min="338" max="338" width="14.375" bestFit="1" customWidth="1"/>
    <col min="339" max="339" width="12.25" bestFit="1" customWidth="1"/>
    <col min="340" max="340" width="9.875" bestFit="1" customWidth="1"/>
    <col min="341" max="341" width="12.625" bestFit="1" customWidth="1"/>
    <col min="342" max="342" width="11.875" bestFit="1" customWidth="1"/>
    <col min="343" max="343" width="10.125" bestFit="1" customWidth="1"/>
    <col min="344" max="344" width="9.625" bestFit="1" customWidth="1"/>
    <col min="345" max="345" width="9.125" bestFit="1" customWidth="1"/>
    <col min="346" max="346" width="14.25" bestFit="1" customWidth="1"/>
    <col min="347" max="347" width="19.375" bestFit="1" customWidth="1"/>
    <col min="348" max="348" width="12.125" bestFit="1" customWidth="1"/>
    <col min="349" max="349" width="11.5" bestFit="1" customWidth="1"/>
    <col min="350" max="350" width="9.5" bestFit="1" customWidth="1"/>
    <col min="351" max="351" width="12.25" bestFit="1" customWidth="1"/>
    <col min="352" max="352" width="13.125" bestFit="1" customWidth="1"/>
    <col min="353" max="353" width="13.25" bestFit="1" customWidth="1"/>
    <col min="354" max="354" width="12.125" bestFit="1" customWidth="1"/>
    <col min="355" max="355" width="11" bestFit="1" customWidth="1"/>
    <col min="356" max="356" width="10.375" bestFit="1" customWidth="1"/>
    <col min="357" max="357" width="14.375" bestFit="1" customWidth="1"/>
    <col min="358" max="358" width="10.75" bestFit="1" customWidth="1"/>
    <col min="359" max="359" width="14.75" bestFit="1" customWidth="1"/>
    <col min="360" max="360" width="9.625" bestFit="1" customWidth="1"/>
    <col min="361" max="361" width="10.25" bestFit="1" customWidth="1"/>
    <col min="362" max="362" width="12" bestFit="1" customWidth="1"/>
    <col min="363" max="363" width="9.125" bestFit="1" customWidth="1"/>
    <col min="364" max="364" width="9.25" bestFit="1" customWidth="1"/>
    <col min="365" max="365" width="9.125" bestFit="1" customWidth="1"/>
    <col min="366" max="366" width="18.875" bestFit="1" customWidth="1"/>
    <col min="367" max="367" width="10.5" bestFit="1" customWidth="1"/>
    <col min="368" max="368" width="8.5" bestFit="1" customWidth="1"/>
    <col min="369" max="369" width="12" bestFit="1" customWidth="1"/>
    <col min="370" max="370" width="8.625" bestFit="1" customWidth="1"/>
    <col min="371" max="371" width="10" bestFit="1" customWidth="1"/>
    <col min="372" max="372" width="9.125" bestFit="1" customWidth="1"/>
    <col min="373" max="373" width="16" bestFit="1" customWidth="1"/>
    <col min="374" max="374" width="13.625" bestFit="1" customWidth="1"/>
    <col min="375" max="375" width="13.5" bestFit="1" customWidth="1"/>
    <col min="376" max="376" width="15.75" bestFit="1" customWidth="1"/>
    <col min="377" max="377" width="9.5" bestFit="1" customWidth="1"/>
    <col min="378" max="378" width="9.25" bestFit="1" customWidth="1"/>
    <col min="379" max="379" width="7.25" bestFit="1" customWidth="1"/>
    <col min="380" max="380" width="9.125" bestFit="1" customWidth="1"/>
    <col min="381" max="381" width="8"/>
    <col min="382" max="382" width="8.375" bestFit="1" customWidth="1"/>
    <col min="383" max="383" width="20.125" bestFit="1" customWidth="1"/>
    <col min="384" max="384" width="8.625" bestFit="1" customWidth="1"/>
    <col min="385" max="385" width="11.125" bestFit="1" customWidth="1"/>
    <col min="386" max="386" width="7.25" bestFit="1" customWidth="1"/>
    <col min="387" max="387" width="13" bestFit="1" customWidth="1"/>
    <col min="388" max="388" width="11.75" bestFit="1" customWidth="1"/>
    <col min="389" max="390" width="9.75" bestFit="1" customWidth="1"/>
    <col min="391" max="391" width="13.375" bestFit="1" customWidth="1"/>
    <col min="392" max="393" width="12.25" bestFit="1" customWidth="1"/>
    <col min="394" max="394" width="13.375" bestFit="1" customWidth="1"/>
    <col min="395" max="395" width="13.25" bestFit="1" customWidth="1"/>
    <col min="396" max="396" width="9.125" bestFit="1" customWidth="1"/>
    <col min="397" max="397" width="12.25" bestFit="1" customWidth="1"/>
    <col min="398" max="398" width="14.75" bestFit="1" customWidth="1"/>
    <col min="399" max="399" width="17" bestFit="1" customWidth="1"/>
    <col min="400" max="400" width="11.75" bestFit="1" customWidth="1"/>
    <col min="401" max="401" width="13" bestFit="1" customWidth="1"/>
    <col min="402" max="402" width="11.625" bestFit="1" customWidth="1"/>
    <col min="403" max="403" width="11" bestFit="1" customWidth="1"/>
    <col min="404" max="404" width="14" bestFit="1" customWidth="1"/>
    <col min="405" max="405" width="9.625" bestFit="1" customWidth="1"/>
    <col min="406" max="406" width="14.375" bestFit="1" customWidth="1"/>
    <col min="407" max="407" width="13.25" bestFit="1" customWidth="1"/>
    <col min="408" max="408" width="13.125" bestFit="1" customWidth="1"/>
    <col min="409" max="409" width="10.75" bestFit="1" customWidth="1"/>
    <col min="410" max="410" width="16.25" bestFit="1" customWidth="1"/>
    <col min="411" max="411" width="10.875" bestFit="1" customWidth="1"/>
    <col min="412" max="412" width="16" bestFit="1" customWidth="1"/>
    <col min="413" max="413" width="13.125" bestFit="1" customWidth="1"/>
    <col min="414" max="414" width="12.75" bestFit="1" customWidth="1"/>
    <col min="415" max="415" width="13.5" bestFit="1" customWidth="1"/>
    <col min="416" max="416" width="7.375" bestFit="1" customWidth="1"/>
    <col min="417" max="417" width="10.125" bestFit="1" customWidth="1"/>
    <col min="418" max="418" width="9.875" bestFit="1" customWidth="1"/>
  </cols>
  <sheetData>
    <row r="1" spans="1:9" x14ac:dyDescent="0.35">
      <c r="A1" s="4" t="s">
        <v>4</v>
      </c>
      <c r="B1" t="s">
        <v>1532</v>
      </c>
    </row>
    <row r="3" spans="1:9" x14ac:dyDescent="0.35">
      <c r="A3" s="4" t="s">
        <v>1508</v>
      </c>
      <c r="B3" t="s">
        <v>1511</v>
      </c>
    </row>
    <row r="4" spans="1:9" x14ac:dyDescent="0.35">
      <c r="A4" s="5" t="s">
        <v>122</v>
      </c>
      <c r="B4" s="6">
        <v>308</v>
      </c>
      <c r="H4" s="4" t="s">
        <v>1508</v>
      </c>
      <c r="I4" t="s">
        <v>1511</v>
      </c>
    </row>
    <row r="5" spans="1:9" x14ac:dyDescent="0.35">
      <c r="A5" s="5" t="s">
        <v>54</v>
      </c>
      <c r="B5" s="6">
        <v>181</v>
      </c>
      <c r="H5" s="5" t="s">
        <v>74</v>
      </c>
      <c r="I5" s="6">
        <v>129760</v>
      </c>
    </row>
    <row r="6" spans="1:9" x14ac:dyDescent="0.35">
      <c r="A6" s="5" t="s">
        <v>1509</v>
      </c>
      <c r="B6" s="6">
        <v>489</v>
      </c>
      <c r="H6" s="5" t="s">
        <v>110</v>
      </c>
      <c r="I6" s="6">
        <v>68273</v>
      </c>
    </row>
    <row r="7" spans="1:9" x14ac:dyDescent="0.35">
      <c r="H7" s="5" t="s">
        <v>18</v>
      </c>
      <c r="I7" s="6">
        <v>58433</v>
      </c>
    </row>
    <row r="8" spans="1:9" x14ac:dyDescent="0.35">
      <c r="H8" s="5" t="s">
        <v>41</v>
      </c>
      <c r="I8" s="6">
        <v>48637</v>
      </c>
    </row>
    <row r="9" spans="1:9" x14ac:dyDescent="0.35">
      <c r="H9" s="5" t="s">
        <v>22</v>
      </c>
      <c r="I9" s="6">
        <v>44803</v>
      </c>
    </row>
    <row r="10" spans="1:9" x14ac:dyDescent="0.35">
      <c r="H10" s="5" t="s">
        <v>14</v>
      </c>
      <c r="I10" s="6">
        <v>31888</v>
      </c>
    </row>
    <row r="11" spans="1:9" x14ac:dyDescent="0.35">
      <c r="H11" s="5" t="s">
        <v>231</v>
      </c>
      <c r="I11" s="6">
        <v>30015</v>
      </c>
    </row>
    <row r="12" spans="1:9" x14ac:dyDescent="0.35">
      <c r="H12" s="5" t="s">
        <v>77</v>
      </c>
      <c r="I12" s="6">
        <v>28742</v>
      </c>
    </row>
    <row r="13" spans="1:9" x14ac:dyDescent="0.35">
      <c r="H13" s="5" t="s">
        <v>57</v>
      </c>
      <c r="I13" s="6">
        <v>28548</v>
      </c>
    </row>
    <row r="14" spans="1:9" x14ac:dyDescent="0.35">
      <c r="H14" s="5" t="s">
        <v>80</v>
      </c>
      <c r="I14" s="6">
        <v>26457</v>
      </c>
    </row>
    <row r="15" spans="1:9" x14ac:dyDescent="0.35">
      <c r="H15" s="5" t="s">
        <v>36</v>
      </c>
      <c r="I15" s="6">
        <v>25898</v>
      </c>
    </row>
    <row r="16" spans="1:9" x14ac:dyDescent="0.35">
      <c r="H16" s="5" t="s">
        <v>143</v>
      </c>
      <c r="I16" s="6">
        <v>25686</v>
      </c>
    </row>
    <row r="17" spans="8:9" x14ac:dyDescent="0.35">
      <c r="H17" s="5" t="s">
        <v>137</v>
      </c>
      <c r="I17" s="6">
        <v>24721</v>
      </c>
    </row>
    <row r="18" spans="8:9" x14ac:dyDescent="0.35">
      <c r="H18" s="5" t="s">
        <v>177</v>
      </c>
      <c r="I18" s="6">
        <v>23800</v>
      </c>
    </row>
    <row r="19" spans="8:9" x14ac:dyDescent="0.35">
      <c r="H19" s="5" t="s">
        <v>150</v>
      </c>
      <c r="I19" s="6">
        <v>22628</v>
      </c>
    </row>
    <row r="20" spans="8:9" x14ac:dyDescent="0.35">
      <c r="H20" s="5" t="s">
        <v>62</v>
      </c>
      <c r="I20" s="6">
        <v>22232</v>
      </c>
    </row>
    <row r="21" spans="8:9" x14ac:dyDescent="0.35">
      <c r="H21" s="5" t="s">
        <v>54</v>
      </c>
      <c r="I21" s="6">
        <v>20560</v>
      </c>
    </row>
    <row r="22" spans="8:9" x14ac:dyDescent="0.35">
      <c r="H22" s="5" t="s">
        <v>10</v>
      </c>
      <c r="I22" s="6">
        <v>20137</v>
      </c>
    </row>
    <row r="23" spans="8:9" x14ac:dyDescent="0.35">
      <c r="H23" s="5" t="s">
        <v>113</v>
      </c>
      <c r="I23" s="6">
        <v>19731</v>
      </c>
    </row>
    <row r="24" spans="8:9" x14ac:dyDescent="0.35">
      <c r="H24" s="5" t="s">
        <v>122</v>
      </c>
      <c r="I24" s="6">
        <v>19263</v>
      </c>
    </row>
    <row r="25" spans="8:9" x14ac:dyDescent="0.35">
      <c r="H25" s="5" t="s">
        <v>146</v>
      </c>
      <c r="I25" s="6">
        <v>18907</v>
      </c>
    </row>
    <row r="26" spans="8:9" x14ac:dyDescent="0.35">
      <c r="H26" s="5" t="s">
        <v>408</v>
      </c>
      <c r="I26" s="6">
        <v>17456</v>
      </c>
    </row>
    <row r="27" spans="8:9" x14ac:dyDescent="0.35">
      <c r="H27" s="5" t="s">
        <v>32</v>
      </c>
      <c r="I27" s="6">
        <v>16759</v>
      </c>
    </row>
    <row r="28" spans="8:9" x14ac:dyDescent="0.35">
      <c r="H28" s="5" t="s">
        <v>91</v>
      </c>
      <c r="I28" s="6">
        <v>16402</v>
      </c>
    </row>
    <row r="29" spans="8:9" x14ac:dyDescent="0.35">
      <c r="H29" s="5" t="s">
        <v>246</v>
      </c>
      <c r="I29" s="6">
        <v>15467</v>
      </c>
    </row>
    <row r="30" spans="8:9" x14ac:dyDescent="0.35">
      <c r="H30" s="5" t="s">
        <v>29</v>
      </c>
      <c r="I30" s="6">
        <v>15019</v>
      </c>
    </row>
    <row r="31" spans="8:9" x14ac:dyDescent="0.35">
      <c r="H31" s="5" t="s">
        <v>479</v>
      </c>
      <c r="I31" s="6">
        <v>14255</v>
      </c>
    </row>
    <row r="32" spans="8:9" x14ac:dyDescent="0.35">
      <c r="H32" s="5" t="s">
        <v>165</v>
      </c>
      <c r="I32" s="6">
        <v>11698</v>
      </c>
    </row>
    <row r="33" spans="8:9" x14ac:dyDescent="0.35">
      <c r="H33" s="5" t="s">
        <v>253</v>
      </c>
      <c r="I33" s="6">
        <v>10873</v>
      </c>
    </row>
    <row r="34" spans="8:9" x14ac:dyDescent="0.35">
      <c r="H34" s="5" t="s">
        <v>305</v>
      </c>
      <c r="I34" s="6">
        <v>10834</v>
      </c>
    </row>
    <row r="35" spans="8:9" x14ac:dyDescent="0.35">
      <c r="H35" s="5" t="s">
        <v>192</v>
      </c>
      <c r="I35" s="6">
        <v>10345</v>
      </c>
    </row>
    <row r="36" spans="8:9" x14ac:dyDescent="0.35">
      <c r="H36" s="5" t="s">
        <v>99</v>
      </c>
      <c r="I36" s="6">
        <v>10139</v>
      </c>
    </row>
    <row r="37" spans="8:9" x14ac:dyDescent="0.35">
      <c r="H37" s="5" t="s">
        <v>393</v>
      </c>
      <c r="I37" s="6">
        <v>9824</v>
      </c>
    </row>
    <row r="38" spans="8:9" x14ac:dyDescent="0.35">
      <c r="H38" s="5" t="s">
        <v>493</v>
      </c>
      <c r="I38" s="6">
        <v>9480</v>
      </c>
    </row>
    <row r="39" spans="8:9" x14ac:dyDescent="0.35">
      <c r="H39" s="5" t="s">
        <v>294</v>
      </c>
      <c r="I39" s="6">
        <v>9346</v>
      </c>
    </row>
    <row r="40" spans="8:9" x14ac:dyDescent="0.35">
      <c r="H40" s="5" t="s">
        <v>288</v>
      </c>
      <c r="I40" s="6">
        <v>9005</v>
      </c>
    </row>
    <row r="41" spans="8:9" x14ac:dyDescent="0.35">
      <c r="H41" s="5" t="s">
        <v>227</v>
      </c>
      <c r="I41" s="6">
        <v>8591</v>
      </c>
    </row>
    <row r="42" spans="8:9" x14ac:dyDescent="0.35">
      <c r="H42" s="5" t="s">
        <v>221</v>
      </c>
      <c r="I42" s="6">
        <v>8236</v>
      </c>
    </row>
    <row r="43" spans="8:9" x14ac:dyDescent="0.35">
      <c r="H43" s="5" t="s">
        <v>101</v>
      </c>
      <c r="I43" s="6">
        <v>8031</v>
      </c>
    </row>
    <row r="44" spans="8:9" x14ac:dyDescent="0.35">
      <c r="H44" s="5" t="s">
        <v>132</v>
      </c>
      <c r="I44" s="6">
        <v>5894</v>
      </c>
    </row>
    <row r="45" spans="8:9" x14ac:dyDescent="0.35">
      <c r="H45" s="5" t="s">
        <v>173</v>
      </c>
      <c r="I45" s="6">
        <v>5814</v>
      </c>
    </row>
    <row r="46" spans="8:9" x14ac:dyDescent="0.35">
      <c r="H46" s="5" t="s">
        <v>71</v>
      </c>
      <c r="I46" s="6">
        <v>5644</v>
      </c>
    </row>
    <row r="47" spans="8:9" x14ac:dyDescent="0.35">
      <c r="H47" s="5" t="s">
        <v>163</v>
      </c>
      <c r="I47" s="6">
        <v>5601</v>
      </c>
    </row>
    <row r="48" spans="8:9" x14ac:dyDescent="0.35">
      <c r="H48" s="5" t="s">
        <v>224</v>
      </c>
      <c r="I48" s="6">
        <v>5193</v>
      </c>
    </row>
    <row r="49" spans="8:9" x14ac:dyDescent="0.35">
      <c r="H49" s="5" t="s">
        <v>116</v>
      </c>
      <c r="I49" s="6">
        <v>4989</v>
      </c>
    </row>
    <row r="50" spans="8:9" x14ac:dyDescent="0.35">
      <c r="H50" s="5" t="s">
        <v>158</v>
      </c>
      <c r="I50" s="6">
        <v>4981</v>
      </c>
    </row>
    <row r="51" spans="8:9" x14ac:dyDescent="0.35">
      <c r="H51" s="5" t="s">
        <v>216</v>
      </c>
      <c r="I51" s="6">
        <v>4583</v>
      </c>
    </row>
    <row r="52" spans="8:9" x14ac:dyDescent="0.35">
      <c r="H52" s="5" t="s">
        <v>285</v>
      </c>
      <c r="I52" s="6">
        <v>4445</v>
      </c>
    </row>
    <row r="53" spans="8:9" x14ac:dyDescent="0.35">
      <c r="H53" s="5" t="s">
        <v>399</v>
      </c>
      <c r="I53" s="6">
        <v>4305</v>
      </c>
    </row>
    <row r="54" spans="8:9" x14ac:dyDescent="0.35">
      <c r="H54" s="5" t="s">
        <v>261</v>
      </c>
      <c r="I54" s="6">
        <v>3975</v>
      </c>
    </row>
    <row r="55" spans="8:9" x14ac:dyDescent="0.35">
      <c r="H55" s="5" t="s">
        <v>495</v>
      </c>
      <c r="I55" s="6">
        <v>3539</v>
      </c>
    </row>
    <row r="56" spans="8:9" x14ac:dyDescent="0.35">
      <c r="H56" s="5" t="s">
        <v>487</v>
      </c>
      <c r="I56" s="6">
        <v>3388</v>
      </c>
    </row>
    <row r="57" spans="8:9" x14ac:dyDescent="0.35">
      <c r="H57" s="5" t="s">
        <v>26</v>
      </c>
      <c r="I57" s="6">
        <v>3361</v>
      </c>
    </row>
    <row r="58" spans="8:9" x14ac:dyDescent="0.35">
      <c r="H58" s="5" t="s">
        <v>167</v>
      </c>
      <c r="I58" s="6">
        <v>2983</v>
      </c>
    </row>
    <row r="59" spans="8:9" x14ac:dyDescent="0.35">
      <c r="H59" s="5" t="s">
        <v>300</v>
      </c>
      <c r="I59" s="6">
        <v>2550</v>
      </c>
    </row>
    <row r="60" spans="8:9" x14ac:dyDescent="0.35">
      <c r="H60" s="5" t="s">
        <v>710</v>
      </c>
      <c r="I60" s="6">
        <v>2438</v>
      </c>
    </row>
    <row r="61" spans="8:9" x14ac:dyDescent="0.35">
      <c r="H61" s="5" t="s">
        <v>812</v>
      </c>
      <c r="I61" s="6">
        <v>2222</v>
      </c>
    </row>
    <row r="62" spans="8:9" x14ac:dyDescent="0.35">
      <c r="H62" s="5" t="s">
        <v>691</v>
      </c>
      <c r="I62" s="6">
        <v>1910</v>
      </c>
    </row>
    <row r="63" spans="8:9" x14ac:dyDescent="0.35">
      <c r="H63" s="5" t="s">
        <v>170</v>
      </c>
      <c r="I63" s="6">
        <v>1857</v>
      </c>
    </row>
    <row r="64" spans="8:9" x14ac:dyDescent="0.35">
      <c r="H64" s="5" t="s">
        <v>336</v>
      </c>
      <c r="I64" s="6">
        <v>1765</v>
      </c>
    </row>
    <row r="65" spans="8:9" x14ac:dyDescent="0.35">
      <c r="H65" s="5" t="s">
        <v>435</v>
      </c>
      <c r="I65" s="6">
        <v>1718</v>
      </c>
    </row>
    <row r="66" spans="8:9" x14ac:dyDescent="0.35">
      <c r="H66" s="5" t="s">
        <v>380</v>
      </c>
      <c r="I66" s="6">
        <v>1549</v>
      </c>
    </row>
    <row r="67" spans="8:9" x14ac:dyDescent="0.35">
      <c r="H67" s="5" t="s">
        <v>154</v>
      </c>
      <c r="I67" s="6">
        <v>1166</v>
      </c>
    </row>
    <row r="68" spans="8:9" x14ac:dyDescent="0.35">
      <c r="H68" s="5" t="s">
        <v>316</v>
      </c>
      <c r="I68" s="6">
        <v>1000</v>
      </c>
    </row>
    <row r="69" spans="8:9" x14ac:dyDescent="0.35">
      <c r="H69" s="5" t="s">
        <v>415</v>
      </c>
      <c r="I69" s="6">
        <v>895</v>
      </c>
    </row>
    <row r="70" spans="8:9" x14ac:dyDescent="0.35">
      <c r="H70" s="5" t="s">
        <v>45</v>
      </c>
      <c r="I70" s="6">
        <v>605</v>
      </c>
    </row>
    <row r="71" spans="8:9" x14ac:dyDescent="0.35">
      <c r="H71" s="5" t="s">
        <v>1159</v>
      </c>
      <c r="I71" s="6">
        <v>69</v>
      </c>
    </row>
    <row r="72" spans="8:9" x14ac:dyDescent="0.35">
      <c r="H72" s="5" t="s">
        <v>660</v>
      </c>
      <c r="I72" s="6">
        <v>-5</v>
      </c>
    </row>
    <row r="73" spans="8:9" x14ac:dyDescent="0.35">
      <c r="H73" s="5" t="s">
        <v>485</v>
      </c>
      <c r="I73" s="6">
        <v>-1339</v>
      </c>
    </row>
    <row r="74" spans="8:9" x14ac:dyDescent="0.35">
      <c r="H74" s="5" t="s">
        <v>283</v>
      </c>
      <c r="I74" s="6">
        <v>-2241</v>
      </c>
    </row>
    <row r="75" spans="8:9" x14ac:dyDescent="0.35">
      <c r="H75" s="5" t="s">
        <v>267</v>
      </c>
      <c r="I75" s="6">
        <v>-4047</v>
      </c>
    </row>
    <row r="76" spans="8:9" x14ac:dyDescent="0.35">
      <c r="H76" s="5" t="s">
        <v>13</v>
      </c>
      <c r="I76" s="6">
        <v>-13038</v>
      </c>
    </row>
    <row r="77" spans="8:9" x14ac:dyDescent="0.35">
      <c r="H77" s="5" t="s">
        <v>219</v>
      </c>
      <c r="I77" s="6">
        <v>-124555</v>
      </c>
    </row>
    <row r="78" spans="8:9" x14ac:dyDescent="0.35">
      <c r="H78" s="5" t="s">
        <v>1509</v>
      </c>
      <c r="I78" s="6">
        <v>894093</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999"/>
  <sheetViews>
    <sheetView topLeftCell="B2" workbookViewId="0">
      <selection activeCell="L3" sqref="L3:M14"/>
    </sheetView>
  </sheetViews>
  <sheetFormatPr defaultRowHeight="15" x14ac:dyDescent="0.35"/>
  <cols>
    <col min="1" max="1" width="36.5" customWidth="1"/>
    <col min="2" max="2" width="15.5" customWidth="1"/>
    <col min="3" max="3" width="13.5" customWidth="1"/>
    <col min="4" max="4" width="17.5" customWidth="1"/>
    <col min="9" max="9" width="20.625" customWidth="1"/>
    <col min="10" max="11" width="13.5" customWidth="1"/>
    <col min="12" max="12" width="20.625" customWidth="1"/>
    <col min="13" max="13" width="13.5" customWidth="1"/>
    <col min="17" max="17" width="18.875" customWidth="1"/>
    <col min="18" max="18" width="15.5" customWidth="1"/>
    <col min="19" max="19" width="13.5" customWidth="1"/>
    <col min="20" max="20" width="17.5" customWidth="1"/>
  </cols>
  <sheetData>
    <row r="3" spans="1:19" ht="17.25" x14ac:dyDescent="0.35">
      <c r="A3" s="4" t="s">
        <v>1508</v>
      </c>
      <c r="B3" t="s">
        <v>1510</v>
      </c>
      <c r="C3" t="s">
        <v>1511</v>
      </c>
      <c r="D3" t="s">
        <v>1512</v>
      </c>
      <c r="I3" s="4" t="s">
        <v>1508</v>
      </c>
      <c r="J3" t="s">
        <v>1511</v>
      </c>
      <c r="L3" s="4" t="s">
        <v>1508</v>
      </c>
      <c r="M3" t="s">
        <v>1511</v>
      </c>
      <c r="N3" s="4"/>
      <c r="Q3" s="4" t="s">
        <v>1508</v>
      </c>
      <c r="R3" t="s">
        <v>1510</v>
      </c>
      <c r="S3" t="s">
        <v>1511</v>
      </c>
    </row>
    <row r="4" spans="1:19" ht="17.25" x14ac:dyDescent="0.35">
      <c r="A4" s="5" t="s">
        <v>8</v>
      </c>
      <c r="B4" s="7">
        <v>482130</v>
      </c>
      <c r="C4" s="7">
        <v>14694</v>
      </c>
      <c r="D4" s="7">
        <v>2300000</v>
      </c>
      <c r="F4" s="7">
        <v>997</v>
      </c>
      <c r="I4" s="5" t="s">
        <v>16</v>
      </c>
      <c r="J4" s="7">
        <v>53394</v>
      </c>
      <c r="L4" s="5" t="s">
        <v>16</v>
      </c>
      <c r="M4" s="7">
        <v>53394</v>
      </c>
      <c r="Q4" s="5" t="s">
        <v>40</v>
      </c>
      <c r="R4" s="7">
        <v>146801</v>
      </c>
      <c r="S4" s="7">
        <v>13345</v>
      </c>
    </row>
    <row r="5" spans="1:19" ht="17.25" x14ac:dyDescent="0.35">
      <c r="A5" s="5" t="s">
        <v>12</v>
      </c>
      <c r="B5" s="7">
        <v>246204</v>
      </c>
      <c r="C5" s="7">
        <v>16150</v>
      </c>
      <c r="D5" s="7">
        <v>75600</v>
      </c>
      <c r="F5" s="7">
        <v>37</v>
      </c>
      <c r="I5" s="5" t="s">
        <v>73</v>
      </c>
      <c r="J5" s="7">
        <v>24442</v>
      </c>
      <c r="L5" s="5" t="s">
        <v>73</v>
      </c>
      <c r="M5" s="7">
        <v>24442</v>
      </c>
      <c r="Q5" s="5" t="s">
        <v>38</v>
      </c>
      <c r="R5" s="7">
        <v>149558</v>
      </c>
      <c r="S5" s="7">
        <v>7373</v>
      </c>
    </row>
    <row r="6" spans="1:19" ht="17.25" x14ac:dyDescent="0.35">
      <c r="A6" s="5" t="s">
        <v>16</v>
      </c>
      <c r="B6" s="7">
        <v>233715</v>
      </c>
      <c r="C6" s="7">
        <v>53394</v>
      </c>
      <c r="D6" s="7">
        <v>110000</v>
      </c>
      <c r="F6" s="7">
        <f>F4-F5+1</f>
        <v>961</v>
      </c>
      <c r="I6" s="5" t="s">
        <v>20</v>
      </c>
      <c r="J6" s="7">
        <v>24083</v>
      </c>
      <c r="L6" s="5" t="s">
        <v>20</v>
      </c>
      <c r="M6" s="7">
        <v>24083</v>
      </c>
      <c r="Q6" s="5" t="s">
        <v>34</v>
      </c>
      <c r="R6" s="7">
        <v>152356</v>
      </c>
      <c r="S6" s="7">
        <v>9687</v>
      </c>
    </row>
    <row r="7" spans="1:19" ht="17.25" x14ac:dyDescent="0.35">
      <c r="A7" s="5" t="s">
        <v>20</v>
      </c>
      <c r="B7" s="7">
        <v>210821</v>
      </c>
      <c r="C7" s="7">
        <v>24083</v>
      </c>
      <c r="D7" s="7">
        <v>331000</v>
      </c>
      <c r="I7" s="5" t="s">
        <v>84</v>
      </c>
      <c r="J7" s="7">
        <v>22894</v>
      </c>
      <c r="L7" s="5" t="s">
        <v>84</v>
      </c>
      <c r="M7" s="7">
        <v>22894</v>
      </c>
      <c r="Q7" s="5" t="s">
        <v>31</v>
      </c>
      <c r="R7" s="7">
        <v>153290</v>
      </c>
      <c r="S7" s="7">
        <v>5237</v>
      </c>
    </row>
    <row r="8" spans="1:19" ht="17.25" x14ac:dyDescent="0.35">
      <c r="A8" s="5" t="s">
        <v>24</v>
      </c>
      <c r="B8" s="7">
        <v>181241</v>
      </c>
      <c r="C8" s="7">
        <v>1476</v>
      </c>
      <c r="D8" s="7">
        <v>70400</v>
      </c>
      <c r="I8" s="5" t="s">
        <v>209</v>
      </c>
      <c r="J8" s="7">
        <v>18108</v>
      </c>
      <c r="L8" s="5" t="s">
        <v>209</v>
      </c>
      <c r="M8" s="7">
        <v>18108</v>
      </c>
      <c r="Q8" s="5" t="s">
        <v>28</v>
      </c>
      <c r="R8" s="7">
        <v>157107</v>
      </c>
      <c r="S8" s="7">
        <v>5813</v>
      </c>
    </row>
    <row r="9" spans="1:19" ht="17.25" x14ac:dyDescent="0.35">
      <c r="A9" s="5" t="s">
        <v>28</v>
      </c>
      <c r="B9" s="7">
        <v>157107</v>
      </c>
      <c r="C9" s="7">
        <v>5813</v>
      </c>
      <c r="D9" s="7">
        <v>200000</v>
      </c>
      <c r="I9" s="5" t="s">
        <v>49</v>
      </c>
      <c r="J9" s="7">
        <v>17879</v>
      </c>
      <c r="L9" s="5" t="s">
        <v>49</v>
      </c>
      <c r="M9" s="7">
        <v>17879</v>
      </c>
      <c r="Q9" s="5" t="s">
        <v>24</v>
      </c>
      <c r="R9" s="7">
        <v>181241</v>
      </c>
      <c r="S9" s="7">
        <v>1476</v>
      </c>
    </row>
    <row r="10" spans="1:19" ht="17.25" x14ac:dyDescent="0.35">
      <c r="A10" s="5" t="s">
        <v>31</v>
      </c>
      <c r="B10" s="7">
        <v>153290</v>
      </c>
      <c r="C10" s="7">
        <v>5237</v>
      </c>
      <c r="D10" s="7">
        <v>199000</v>
      </c>
      <c r="I10" s="5" t="s">
        <v>87</v>
      </c>
      <c r="J10" s="7">
        <v>17242</v>
      </c>
      <c r="L10" s="5" t="s">
        <v>87</v>
      </c>
      <c r="M10" s="7">
        <v>17242</v>
      </c>
      <c r="Q10" s="5" t="s">
        <v>20</v>
      </c>
      <c r="R10" s="7">
        <v>210821</v>
      </c>
      <c r="S10" s="7">
        <v>24083</v>
      </c>
    </row>
    <row r="11" spans="1:19" ht="17.25" x14ac:dyDescent="0.35">
      <c r="A11" s="5" t="s">
        <v>34</v>
      </c>
      <c r="B11" s="7">
        <v>152356</v>
      </c>
      <c r="C11" s="7">
        <v>9687</v>
      </c>
      <c r="D11" s="7">
        <v>215000</v>
      </c>
      <c r="I11" s="5" t="s">
        <v>103</v>
      </c>
      <c r="J11" s="7">
        <v>16348</v>
      </c>
      <c r="L11" s="5" t="s">
        <v>103</v>
      </c>
      <c r="M11" s="7">
        <v>16348</v>
      </c>
      <c r="Q11" s="5" t="s">
        <v>16</v>
      </c>
      <c r="R11" s="7">
        <v>233715</v>
      </c>
      <c r="S11" s="7">
        <v>53394</v>
      </c>
    </row>
    <row r="12" spans="1:19" ht="17.25" x14ac:dyDescent="0.35">
      <c r="A12" s="5" t="s">
        <v>38</v>
      </c>
      <c r="B12" s="7">
        <v>149558</v>
      </c>
      <c r="C12" s="7">
        <v>7373</v>
      </c>
      <c r="D12" s="7">
        <v>199000</v>
      </c>
      <c r="I12" s="5" t="s">
        <v>12</v>
      </c>
      <c r="J12" s="7">
        <v>16150</v>
      </c>
      <c r="L12" s="5" t="s">
        <v>12</v>
      </c>
      <c r="M12" s="7">
        <v>16150</v>
      </c>
      <c r="Q12" s="5" t="s">
        <v>12</v>
      </c>
      <c r="R12" s="7">
        <v>246204</v>
      </c>
      <c r="S12" s="7">
        <v>16150</v>
      </c>
    </row>
    <row r="13" spans="1:19" ht="17.25" x14ac:dyDescent="0.35">
      <c r="A13" s="5" t="s">
        <v>40</v>
      </c>
      <c r="B13" s="7">
        <v>146801</v>
      </c>
      <c r="C13" s="7">
        <v>13345</v>
      </c>
      <c r="D13" s="7">
        <v>281450</v>
      </c>
      <c r="I13" s="5" t="s">
        <v>82</v>
      </c>
      <c r="J13" s="7">
        <v>15888</v>
      </c>
      <c r="L13" s="5" t="s">
        <v>82</v>
      </c>
      <c r="M13" s="7">
        <v>15888</v>
      </c>
      <c r="Q13" s="5" t="s">
        <v>8</v>
      </c>
      <c r="R13" s="7">
        <v>482130</v>
      </c>
      <c r="S13" s="7">
        <v>14694</v>
      </c>
    </row>
    <row r="14" spans="1:19" ht="17.25" x14ac:dyDescent="0.35">
      <c r="A14" s="5" t="s">
        <v>43</v>
      </c>
      <c r="B14" s="7">
        <v>140389</v>
      </c>
      <c r="C14" s="7">
        <v>-6126</v>
      </c>
      <c r="D14" s="7">
        <v>333000</v>
      </c>
      <c r="I14" s="5" t="s">
        <v>1509</v>
      </c>
      <c r="J14" s="7">
        <v>226428</v>
      </c>
      <c r="L14" s="5" t="s">
        <v>1509</v>
      </c>
      <c r="M14" s="7">
        <v>226428</v>
      </c>
      <c r="Q14" s="5" t="s">
        <v>1509</v>
      </c>
      <c r="R14" s="7">
        <v>2113223</v>
      </c>
      <c r="S14" s="7">
        <v>151252</v>
      </c>
    </row>
    <row r="15" spans="1:19" ht="17.25" x14ac:dyDescent="0.35">
      <c r="A15" s="5" t="s">
        <v>47</v>
      </c>
      <c r="B15" s="7">
        <v>135962</v>
      </c>
      <c r="C15" s="7">
        <v>-135</v>
      </c>
      <c r="D15" s="7">
        <v>17000</v>
      </c>
    </row>
    <row r="16" spans="1:19" ht="17.25" x14ac:dyDescent="0.35">
      <c r="A16" s="5" t="s">
        <v>49</v>
      </c>
      <c r="B16" s="7">
        <v>131620</v>
      </c>
      <c r="C16" s="7">
        <v>17879</v>
      </c>
      <c r="D16" s="7">
        <v>177700</v>
      </c>
    </row>
    <row r="17" spans="1:4" ht="17.25" x14ac:dyDescent="0.35">
      <c r="A17" s="5" t="s">
        <v>51</v>
      </c>
      <c r="B17" s="7">
        <v>131118</v>
      </c>
      <c r="C17" s="7">
        <v>4587</v>
      </c>
      <c r="D17" s="7">
        <v>61500</v>
      </c>
    </row>
    <row r="18" spans="1:4" ht="17.25" x14ac:dyDescent="0.35">
      <c r="A18" s="5" t="s">
        <v>53</v>
      </c>
      <c r="B18" s="7">
        <v>116199</v>
      </c>
      <c r="C18" s="7">
        <v>2377</v>
      </c>
      <c r="D18" s="7">
        <v>161000</v>
      </c>
    </row>
    <row r="19" spans="1:4" ht="17.25" x14ac:dyDescent="0.35">
      <c r="A19" s="5" t="s">
        <v>56</v>
      </c>
      <c r="B19" s="7">
        <v>110359</v>
      </c>
      <c r="C19" s="7">
        <v>10954</v>
      </c>
      <c r="D19" s="7">
        <v>7300</v>
      </c>
    </row>
    <row r="20" spans="1:4" ht="17.25" x14ac:dyDescent="0.35">
      <c r="A20" s="5" t="s">
        <v>59</v>
      </c>
      <c r="B20" s="7">
        <v>109830</v>
      </c>
      <c r="C20" s="7">
        <v>2039</v>
      </c>
      <c r="D20" s="7">
        <v>431000</v>
      </c>
    </row>
    <row r="21" spans="1:4" ht="17.25" x14ac:dyDescent="0.35">
      <c r="A21" s="5" t="s">
        <v>61</v>
      </c>
      <c r="B21" s="7">
        <v>107006</v>
      </c>
      <c r="C21" s="7">
        <v>596</v>
      </c>
      <c r="D21" s="7">
        <v>230800</v>
      </c>
    </row>
    <row r="22" spans="1:4" ht="17.25" x14ac:dyDescent="0.35">
      <c r="A22" s="5" t="s">
        <v>64</v>
      </c>
      <c r="B22" s="7">
        <v>103444</v>
      </c>
      <c r="C22" s="7">
        <v>4220</v>
      </c>
      <c r="D22" s="7">
        <v>302500</v>
      </c>
    </row>
    <row r="23" spans="1:4" ht="17.25" x14ac:dyDescent="0.35">
      <c r="A23" s="5" t="s">
        <v>66</v>
      </c>
      <c r="B23" s="7">
        <v>103355</v>
      </c>
      <c r="C23" s="7">
        <v>4554</v>
      </c>
      <c r="D23" s="7">
        <v>287000</v>
      </c>
    </row>
    <row r="24" spans="1:4" ht="17.25" x14ac:dyDescent="0.35">
      <c r="A24" s="5" t="s">
        <v>68</v>
      </c>
      <c r="B24" s="7">
        <v>102531</v>
      </c>
      <c r="C24" s="7">
        <v>1215</v>
      </c>
      <c r="D24" s="7">
        <v>34500</v>
      </c>
    </row>
    <row r="25" spans="1:4" ht="17.25" x14ac:dyDescent="0.35">
      <c r="A25" s="5" t="s">
        <v>70</v>
      </c>
      <c r="B25" s="7">
        <v>101752</v>
      </c>
      <c r="C25" s="7">
        <v>2476</v>
      </c>
      <c r="D25" s="7">
        <v>25900</v>
      </c>
    </row>
    <row r="26" spans="1:4" ht="17.25" x14ac:dyDescent="0.35">
      <c r="A26" s="5" t="s">
        <v>73</v>
      </c>
      <c r="B26" s="7">
        <v>101006</v>
      </c>
      <c r="C26" s="7">
        <v>24442</v>
      </c>
      <c r="D26" s="7">
        <v>234598</v>
      </c>
    </row>
    <row r="27" spans="1:4" ht="17.25" x14ac:dyDescent="0.35">
      <c r="A27" s="5" t="s">
        <v>75</v>
      </c>
      <c r="B27" s="7">
        <v>96114</v>
      </c>
      <c r="C27" s="7">
        <v>5176</v>
      </c>
      <c r="D27" s="7">
        <v>161400</v>
      </c>
    </row>
    <row r="28" spans="1:4" ht="17.25" x14ac:dyDescent="0.35">
      <c r="A28" s="5" t="s">
        <v>79</v>
      </c>
      <c r="B28" s="7">
        <v>93580</v>
      </c>
      <c r="C28" s="7">
        <v>12193</v>
      </c>
      <c r="D28" s="7">
        <v>118000</v>
      </c>
    </row>
    <row r="29" spans="1:4" ht="17.25" x14ac:dyDescent="0.35">
      <c r="A29" s="5" t="s">
        <v>82</v>
      </c>
      <c r="B29" s="7">
        <v>93056</v>
      </c>
      <c r="C29" s="7">
        <v>15888</v>
      </c>
      <c r="D29" s="7">
        <v>213280</v>
      </c>
    </row>
    <row r="30" spans="1:4" ht="17.25" x14ac:dyDescent="0.35">
      <c r="A30" s="5" t="s">
        <v>84</v>
      </c>
      <c r="B30" s="7">
        <v>90033</v>
      </c>
      <c r="C30" s="7">
        <v>22894</v>
      </c>
      <c r="D30" s="7">
        <v>264700</v>
      </c>
    </row>
    <row r="31" spans="1:4" ht="17.25" x14ac:dyDescent="0.35">
      <c r="A31" s="5" t="s">
        <v>85</v>
      </c>
      <c r="B31" s="7">
        <v>88519</v>
      </c>
      <c r="C31" s="7">
        <v>7009</v>
      </c>
      <c r="D31" s="7">
        <v>385000</v>
      </c>
    </row>
    <row r="32" spans="1:4" ht="17.25" x14ac:dyDescent="0.35">
      <c r="A32" s="5" t="s">
        <v>87</v>
      </c>
      <c r="B32" s="7">
        <v>88275</v>
      </c>
      <c r="C32" s="7">
        <v>17242</v>
      </c>
      <c r="D32" s="7">
        <v>231000</v>
      </c>
    </row>
    <row r="33" spans="1:4" ht="17.25" x14ac:dyDescent="0.35">
      <c r="A33" s="5" t="s">
        <v>88</v>
      </c>
      <c r="B33" s="7">
        <v>87169</v>
      </c>
      <c r="C33" s="7">
        <v>4227</v>
      </c>
      <c r="D33" s="7">
        <v>14000</v>
      </c>
    </row>
    <row r="34" spans="1:4" ht="17.25" x14ac:dyDescent="0.35">
      <c r="A34" s="5" t="s">
        <v>90</v>
      </c>
      <c r="B34" s="7">
        <v>82461</v>
      </c>
      <c r="C34" s="7">
        <v>13190</v>
      </c>
      <c r="D34" s="7">
        <v>411798</v>
      </c>
    </row>
    <row r="35" spans="1:4" ht="17.25" x14ac:dyDescent="0.35">
      <c r="A35" s="5" t="s">
        <v>93</v>
      </c>
      <c r="B35" s="7">
        <v>81824</v>
      </c>
      <c r="C35" s="7">
        <v>3990</v>
      </c>
      <c r="D35" s="7">
        <v>10103</v>
      </c>
    </row>
    <row r="36" spans="1:4" ht="17.25" x14ac:dyDescent="0.35">
      <c r="A36" s="5" t="s">
        <v>95</v>
      </c>
      <c r="B36" s="7">
        <v>79157</v>
      </c>
      <c r="C36" s="7">
        <v>2560</v>
      </c>
      <c r="D36" s="7">
        <v>53000</v>
      </c>
    </row>
    <row r="37" spans="1:4" ht="17.25" x14ac:dyDescent="0.35">
      <c r="A37" s="5" t="s">
        <v>97</v>
      </c>
      <c r="B37" s="7">
        <v>78756</v>
      </c>
      <c r="C37" s="7">
        <v>7036</v>
      </c>
      <c r="D37" s="7">
        <v>110000</v>
      </c>
    </row>
    <row r="38" spans="1:4" ht="17.25" x14ac:dyDescent="0.35">
      <c r="A38" s="5" t="s">
        <v>100</v>
      </c>
      <c r="B38" s="7">
        <v>75697</v>
      </c>
      <c r="C38" s="7">
        <v>6229</v>
      </c>
      <c r="D38" s="7">
        <v>70425</v>
      </c>
    </row>
    <row r="39" spans="1:4" ht="17.25" x14ac:dyDescent="0.35">
      <c r="A39" s="5" t="s">
        <v>103</v>
      </c>
      <c r="B39" s="7">
        <v>74989</v>
      </c>
      <c r="C39" s="7">
        <v>16348</v>
      </c>
      <c r="D39" s="7">
        <v>61814</v>
      </c>
    </row>
    <row r="40" spans="1:4" ht="17.25" x14ac:dyDescent="0.35">
      <c r="A40" s="5" t="s">
        <v>105</v>
      </c>
      <c r="B40" s="7">
        <v>74510</v>
      </c>
      <c r="C40" s="7">
        <v>8163</v>
      </c>
      <c r="D40" s="7">
        <v>153000</v>
      </c>
    </row>
    <row r="41" spans="1:4" ht="17.25" x14ac:dyDescent="0.35">
      <c r="A41" s="5" t="s">
        <v>107</v>
      </c>
      <c r="B41" s="7">
        <v>73785</v>
      </c>
      <c r="C41" s="7">
        <v>3363</v>
      </c>
      <c r="D41" s="7">
        <v>341000</v>
      </c>
    </row>
    <row r="42" spans="1:4" ht="17.25" x14ac:dyDescent="0.35">
      <c r="A42" s="5" t="s">
        <v>109</v>
      </c>
      <c r="B42" s="7">
        <v>70074</v>
      </c>
      <c r="C42" s="7">
        <v>15409</v>
      </c>
      <c r="D42" s="7">
        <v>127100</v>
      </c>
    </row>
    <row r="43" spans="1:4" ht="17.25" x14ac:dyDescent="0.35">
      <c r="A43" s="5" t="s">
        <v>112</v>
      </c>
      <c r="B43" s="7">
        <v>69951</v>
      </c>
      <c r="C43" s="7">
        <v>5310</v>
      </c>
      <c r="D43" s="7">
        <v>69000</v>
      </c>
    </row>
    <row r="44" spans="1:4" ht="17.25" x14ac:dyDescent="0.35">
      <c r="A44" s="5" t="s">
        <v>114</v>
      </c>
      <c r="B44" s="7">
        <v>67702</v>
      </c>
      <c r="C44" s="7">
        <v>1849</v>
      </c>
      <c r="D44" s="7">
        <v>32300</v>
      </c>
    </row>
    <row r="45" spans="1:4" ht="17.25" x14ac:dyDescent="0.35">
      <c r="A45" s="5" t="s">
        <v>117</v>
      </c>
      <c r="B45" s="7">
        <v>64566</v>
      </c>
      <c r="C45" s="7">
        <v>2852</v>
      </c>
      <c r="D45" s="7">
        <v>45440</v>
      </c>
    </row>
    <row r="46" spans="1:4" ht="17.25" x14ac:dyDescent="0.35">
      <c r="A46" s="5" t="s">
        <v>119</v>
      </c>
      <c r="B46" s="7">
        <v>63491</v>
      </c>
      <c r="C46" s="7">
        <v>6376</v>
      </c>
      <c r="D46" s="7">
        <v>5439</v>
      </c>
    </row>
    <row r="47" spans="1:4" ht="17.25" x14ac:dyDescent="0.35">
      <c r="A47" s="5" t="s">
        <v>121</v>
      </c>
      <c r="B47" s="7">
        <v>63056</v>
      </c>
      <c r="C47" s="7">
        <v>5452</v>
      </c>
      <c r="D47" s="7">
        <v>263000</v>
      </c>
    </row>
    <row r="48" spans="1:4" ht="17.25" x14ac:dyDescent="0.35">
      <c r="A48" s="5" t="s">
        <v>124</v>
      </c>
      <c r="B48" s="7">
        <v>61047</v>
      </c>
      <c r="C48" s="7">
        <v>7608</v>
      </c>
      <c r="D48" s="7">
        <v>197200</v>
      </c>
    </row>
    <row r="49" spans="1:4" ht="17.25" x14ac:dyDescent="0.35">
      <c r="A49" s="5" t="s">
        <v>126</v>
      </c>
      <c r="B49" s="7">
        <v>60337</v>
      </c>
      <c r="C49" s="7">
        <v>2390</v>
      </c>
      <c r="D49" s="7">
        <v>50100</v>
      </c>
    </row>
    <row r="50" spans="1:4" ht="17.25" x14ac:dyDescent="0.35">
      <c r="A50" s="5" t="s">
        <v>128</v>
      </c>
      <c r="B50" s="7">
        <v>59074</v>
      </c>
      <c r="C50" s="7">
        <v>2546</v>
      </c>
      <c r="D50" s="7">
        <v>225000</v>
      </c>
    </row>
    <row r="51" spans="1:4" ht="17.25" x14ac:dyDescent="0.35">
      <c r="A51" s="5" t="s">
        <v>130</v>
      </c>
      <c r="B51" s="7">
        <v>58363</v>
      </c>
      <c r="C51" s="7">
        <v>4844</v>
      </c>
      <c r="D51" s="7">
        <v>341240</v>
      </c>
    </row>
    <row r="52" spans="1:4" ht="17.25" x14ac:dyDescent="0.35">
      <c r="A52" s="5" t="s">
        <v>133</v>
      </c>
      <c r="B52" s="7">
        <v>58327</v>
      </c>
      <c r="C52" s="7">
        <v>2196</v>
      </c>
      <c r="D52" s="7">
        <v>66400</v>
      </c>
    </row>
    <row r="53" spans="1:4" ht="17.25" x14ac:dyDescent="0.35">
      <c r="A53" s="5" t="s">
        <v>134</v>
      </c>
      <c r="B53" s="7">
        <v>57119</v>
      </c>
      <c r="C53" s="7">
        <v>5642</v>
      </c>
      <c r="D53" s="7">
        <v>49384</v>
      </c>
    </row>
    <row r="54" spans="1:4" ht="17.25" x14ac:dyDescent="0.35">
      <c r="A54" s="5" t="s">
        <v>136</v>
      </c>
      <c r="B54" s="7">
        <v>55355</v>
      </c>
      <c r="C54" s="7">
        <v>11420</v>
      </c>
      <c r="D54" s="7">
        <v>107300</v>
      </c>
    </row>
    <row r="55" spans="1:4" ht="17.25" x14ac:dyDescent="0.35">
      <c r="A55" s="5" t="s">
        <v>139</v>
      </c>
      <c r="B55" s="7">
        <v>54289</v>
      </c>
      <c r="C55" s="7">
        <v>1276</v>
      </c>
      <c r="D55" s="7">
        <v>50100</v>
      </c>
    </row>
    <row r="56" spans="1:4" ht="17.25" x14ac:dyDescent="0.35">
      <c r="A56" s="5" t="s">
        <v>141</v>
      </c>
      <c r="B56" s="7">
        <v>52465</v>
      </c>
      <c r="C56" s="7">
        <v>8382</v>
      </c>
      <c r="D56" s="7">
        <v>185000</v>
      </c>
    </row>
    <row r="57" spans="1:4" ht="17.25" x14ac:dyDescent="0.35">
      <c r="A57" s="5" t="s">
        <v>145</v>
      </c>
      <c r="B57" s="7">
        <v>49161</v>
      </c>
      <c r="C57" s="7">
        <v>8981</v>
      </c>
      <c r="D57" s="7">
        <v>71833</v>
      </c>
    </row>
    <row r="58" spans="1:4" ht="17.25" x14ac:dyDescent="0.35">
      <c r="A58" s="5" t="s">
        <v>148</v>
      </c>
      <c r="B58" s="7">
        <v>48851</v>
      </c>
      <c r="C58" s="7">
        <v>6960</v>
      </c>
      <c r="D58" s="7">
        <v>97900</v>
      </c>
    </row>
    <row r="59" spans="1:4" ht="17.25" x14ac:dyDescent="0.35">
      <c r="A59" s="5" t="s">
        <v>149</v>
      </c>
      <c r="B59" s="7">
        <v>48778</v>
      </c>
      <c r="C59" s="7">
        <v>7685</v>
      </c>
      <c r="D59" s="7">
        <v>49495</v>
      </c>
    </row>
    <row r="60" spans="1:4" ht="17.25" x14ac:dyDescent="0.35">
      <c r="A60" s="5" t="s">
        <v>152</v>
      </c>
      <c r="B60" s="7">
        <v>48681</v>
      </c>
      <c r="C60" s="7">
        <v>687</v>
      </c>
      <c r="D60" s="7">
        <v>51700</v>
      </c>
    </row>
    <row r="61" spans="1:4" ht="17.25" x14ac:dyDescent="0.35">
      <c r="A61" s="5" t="s">
        <v>155</v>
      </c>
      <c r="B61" s="7">
        <v>47453</v>
      </c>
      <c r="C61" s="7">
        <v>1050</v>
      </c>
      <c r="D61" s="7">
        <v>323035</v>
      </c>
    </row>
    <row r="62" spans="1:4" ht="17.25" x14ac:dyDescent="0.35">
      <c r="A62" s="5" t="s">
        <v>157</v>
      </c>
      <c r="B62" s="7">
        <v>47011</v>
      </c>
      <c r="C62" s="7">
        <v>2102</v>
      </c>
      <c r="D62" s="7">
        <v>112200</v>
      </c>
    </row>
    <row r="63" spans="1:4" ht="17.25" x14ac:dyDescent="0.35">
      <c r="A63" s="5" t="s">
        <v>160</v>
      </c>
      <c r="B63" s="7">
        <v>46132</v>
      </c>
      <c r="C63" s="7">
        <v>3605</v>
      </c>
      <c r="D63" s="7">
        <v>126000</v>
      </c>
    </row>
    <row r="64" spans="1:4" ht="17.25" x14ac:dyDescent="0.35">
      <c r="A64" s="5" t="s">
        <v>162</v>
      </c>
      <c r="B64" s="7">
        <v>45891</v>
      </c>
      <c r="C64" s="7">
        <v>257</v>
      </c>
      <c r="D64" s="7">
        <v>11463</v>
      </c>
    </row>
    <row r="65" spans="1:4" ht="17.25" x14ac:dyDescent="0.35">
      <c r="A65" s="5" t="s">
        <v>164</v>
      </c>
      <c r="B65" s="7">
        <v>44294</v>
      </c>
      <c r="C65" s="7">
        <v>7351</v>
      </c>
      <c r="D65" s="7">
        <v>123200</v>
      </c>
    </row>
    <row r="66" spans="1:4" ht="17.25" x14ac:dyDescent="0.35">
      <c r="A66" s="5" t="s">
        <v>166</v>
      </c>
      <c r="B66" s="7">
        <v>43591</v>
      </c>
      <c r="C66" s="7">
        <v>2129</v>
      </c>
      <c r="D66" s="7">
        <v>203500</v>
      </c>
    </row>
    <row r="67" spans="1:4" ht="17.25" x14ac:dyDescent="0.35">
      <c r="A67" s="5" t="s">
        <v>169</v>
      </c>
      <c r="B67" s="7">
        <v>43026</v>
      </c>
      <c r="C67" s="7">
        <v>215</v>
      </c>
      <c r="D67" s="7">
        <v>27700</v>
      </c>
    </row>
    <row r="68" spans="1:4" ht="17.25" x14ac:dyDescent="0.35">
      <c r="A68" s="5" t="s">
        <v>172</v>
      </c>
      <c r="B68" s="7">
        <v>42126</v>
      </c>
      <c r="C68" s="7">
        <v>1189</v>
      </c>
      <c r="D68" s="7">
        <v>30078</v>
      </c>
    </row>
    <row r="69" spans="1:4" ht="17.25" x14ac:dyDescent="0.35">
      <c r="A69" s="5" t="s">
        <v>174</v>
      </c>
      <c r="B69" s="7">
        <v>41373</v>
      </c>
      <c r="C69" s="7">
        <v>1220</v>
      </c>
      <c r="D69" s="7">
        <v>113000</v>
      </c>
    </row>
    <row r="70" spans="1:4" ht="17.25" x14ac:dyDescent="0.35">
      <c r="A70" s="5" t="s">
        <v>176</v>
      </c>
      <c r="B70" s="7">
        <v>40990</v>
      </c>
      <c r="C70" s="7">
        <v>7610</v>
      </c>
      <c r="D70" s="7">
        <v>118500</v>
      </c>
    </row>
    <row r="71" spans="1:4" ht="17.25" x14ac:dyDescent="0.35">
      <c r="A71" s="5" t="s">
        <v>179</v>
      </c>
      <c r="B71" s="7">
        <v>40704</v>
      </c>
      <c r="C71" s="7">
        <v>4526</v>
      </c>
      <c r="D71" s="7">
        <v>82949</v>
      </c>
    </row>
    <row r="72" spans="1:4" ht="17.25" x14ac:dyDescent="0.35">
      <c r="A72" s="5" t="s">
        <v>180</v>
      </c>
      <c r="B72" s="7">
        <v>40222</v>
      </c>
      <c r="C72" s="7">
        <v>581</v>
      </c>
      <c r="D72" s="7">
        <v>34032</v>
      </c>
    </row>
    <row r="73" spans="1:4" ht="17.25" x14ac:dyDescent="0.35">
      <c r="A73" s="5" t="s">
        <v>182</v>
      </c>
      <c r="B73" s="7">
        <v>40204</v>
      </c>
      <c r="C73" s="7">
        <v>1563</v>
      </c>
      <c r="D73" s="7">
        <v>139000</v>
      </c>
    </row>
    <row r="74" spans="1:4" ht="17.25" x14ac:dyDescent="0.35">
      <c r="A74" s="5" t="s">
        <v>184</v>
      </c>
      <c r="B74" s="7">
        <v>39745</v>
      </c>
      <c r="C74" s="7">
        <v>897</v>
      </c>
      <c r="D74" s="7">
        <v>125000</v>
      </c>
    </row>
    <row r="75" spans="1:4" ht="17.25" x14ac:dyDescent="0.35">
      <c r="A75" s="5" t="s">
        <v>186</v>
      </c>
      <c r="B75" s="7">
        <v>39498</v>
      </c>
      <c r="C75" s="7">
        <v>4442</v>
      </c>
      <c r="D75" s="7">
        <v>68000</v>
      </c>
    </row>
    <row r="76" spans="1:4" ht="17.25" x14ac:dyDescent="0.35">
      <c r="A76" s="5" t="s">
        <v>188</v>
      </c>
      <c r="B76" s="7">
        <v>39450</v>
      </c>
      <c r="C76" s="7">
        <v>514</v>
      </c>
      <c r="D76" s="7">
        <v>50000</v>
      </c>
    </row>
    <row r="77" spans="1:4" ht="17.25" x14ac:dyDescent="0.35">
      <c r="A77" s="5" t="s">
        <v>190</v>
      </c>
      <c r="B77" s="7">
        <v>39208</v>
      </c>
      <c r="C77" s="7">
        <v>6083</v>
      </c>
      <c r="D77" s="7">
        <v>36800</v>
      </c>
    </row>
    <row r="78" spans="1:4" ht="17.25" x14ac:dyDescent="0.35">
      <c r="A78" s="5" t="s">
        <v>191</v>
      </c>
      <c r="B78" s="7">
        <v>38581</v>
      </c>
      <c r="C78" s="7">
        <v>4768</v>
      </c>
      <c r="D78" s="7">
        <v>129000</v>
      </c>
    </row>
    <row r="79" spans="1:4" ht="17.25" x14ac:dyDescent="0.35">
      <c r="A79" s="5" t="s">
        <v>194</v>
      </c>
      <c r="B79" s="7">
        <v>38243</v>
      </c>
      <c r="C79" s="7">
        <v>1425</v>
      </c>
      <c r="D79" s="7">
        <v>11593</v>
      </c>
    </row>
    <row r="80" spans="1:4" ht="17.25" x14ac:dyDescent="0.35">
      <c r="A80" s="5" t="s">
        <v>196</v>
      </c>
      <c r="B80" s="7">
        <v>38226</v>
      </c>
      <c r="C80" s="7">
        <v>9938</v>
      </c>
      <c r="D80" s="7">
        <v>132000</v>
      </c>
    </row>
    <row r="81" spans="1:4" ht="17.25" x14ac:dyDescent="0.35">
      <c r="A81" s="5" t="s">
        <v>198</v>
      </c>
      <c r="B81" s="7">
        <v>37897</v>
      </c>
      <c r="C81" s="7">
        <v>6127</v>
      </c>
      <c r="D81" s="7">
        <v>56218</v>
      </c>
    </row>
    <row r="82" spans="1:4" ht="17.25" x14ac:dyDescent="0.35">
      <c r="A82" s="5" t="s">
        <v>199</v>
      </c>
      <c r="B82" s="7">
        <v>37876</v>
      </c>
      <c r="C82" s="7">
        <v>2094</v>
      </c>
      <c r="D82" s="7">
        <v>39300</v>
      </c>
    </row>
    <row r="83" spans="1:4" ht="17.25" x14ac:dyDescent="0.35">
      <c r="A83" s="5" t="s">
        <v>201</v>
      </c>
      <c r="B83" s="7">
        <v>37864</v>
      </c>
      <c r="C83" s="7">
        <v>7340</v>
      </c>
      <c r="D83" s="7">
        <v>84000</v>
      </c>
    </row>
    <row r="84" spans="1:4" ht="17.25" x14ac:dyDescent="0.35">
      <c r="A84" s="5" t="s">
        <v>202</v>
      </c>
      <c r="B84" s="7">
        <v>35653</v>
      </c>
      <c r="C84" s="7">
        <v>2171</v>
      </c>
      <c r="D84" s="7">
        <v>41350</v>
      </c>
    </row>
    <row r="85" spans="1:4" ht="17.25" x14ac:dyDescent="0.35">
      <c r="A85" s="5" t="s">
        <v>204</v>
      </c>
      <c r="B85" s="7">
        <v>35181</v>
      </c>
      <c r="C85" s="7">
        <v>1214</v>
      </c>
      <c r="D85" s="7">
        <v>12735</v>
      </c>
    </row>
    <row r="86" spans="1:4" ht="17.25" x14ac:dyDescent="0.35">
      <c r="A86" s="5" t="s">
        <v>205</v>
      </c>
      <c r="B86" s="7">
        <v>34693</v>
      </c>
      <c r="C86" s="7">
        <v>56</v>
      </c>
      <c r="D86" s="7">
        <v>1231</v>
      </c>
    </row>
    <row r="87" spans="1:4" ht="17.25" x14ac:dyDescent="0.35">
      <c r="A87" s="5" t="s">
        <v>206</v>
      </c>
      <c r="B87" s="7">
        <v>34582</v>
      </c>
      <c r="C87" s="7">
        <v>781</v>
      </c>
      <c r="D87" s="7">
        <v>12511</v>
      </c>
    </row>
    <row r="88" spans="1:4" ht="17.25" x14ac:dyDescent="0.35">
      <c r="A88" s="5" t="s">
        <v>208</v>
      </c>
      <c r="B88" s="7">
        <v>34441</v>
      </c>
      <c r="C88" s="7">
        <v>5163</v>
      </c>
      <c r="D88" s="7">
        <v>54800</v>
      </c>
    </row>
    <row r="89" spans="1:4" ht="17.25" x14ac:dyDescent="0.35">
      <c r="A89" s="5" t="s">
        <v>209</v>
      </c>
      <c r="B89" s="7">
        <v>32639</v>
      </c>
      <c r="C89" s="7">
        <v>18108</v>
      </c>
      <c r="D89" s="7">
        <v>8000</v>
      </c>
    </row>
    <row r="90" spans="1:4" ht="17.25" x14ac:dyDescent="0.35">
      <c r="A90" s="5" t="s">
        <v>211</v>
      </c>
      <c r="B90" s="7">
        <v>32619</v>
      </c>
      <c r="C90" s="7">
        <v>1965</v>
      </c>
      <c r="D90" s="7">
        <v>180000</v>
      </c>
    </row>
    <row r="91" spans="1:4" ht="17.25" x14ac:dyDescent="0.35">
      <c r="A91" s="5" t="s">
        <v>213</v>
      </c>
      <c r="B91" s="7">
        <v>31469</v>
      </c>
      <c r="C91" s="7">
        <v>2965</v>
      </c>
      <c r="D91" s="7">
        <v>99900</v>
      </c>
    </row>
    <row r="92" spans="1:4" ht="17.25" x14ac:dyDescent="0.35">
      <c r="A92" s="5" t="s">
        <v>215</v>
      </c>
      <c r="B92" s="7">
        <v>30945</v>
      </c>
      <c r="C92" s="7">
        <v>2278</v>
      </c>
      <c r="D92" s="7">
        <v>216000</v>
      </c>
    </row>
    <row r="93" spans="1:4" ht="17.25" x14ac:dyDescent="0.35">
      <c r="A93" s="5" t="s">
        <v>218</v>
      </c>
      <c r="B93" s="7">
        <v>30935</v>
      </c>
      <c r="C93" s="7">
        <v>-4428</v>
      </c>
      <c r="D93" s="7">
        <v>15900</v>
      </c>
    </row>
    <row r="94" spans="1:4" ht="17.25" x14ac:dyDescent="0.35">
      <c r="A94" s="5" t="s">
        <v>220</v>
      </c>
      <c r="B94" s="7">
        <v>30601</v>
      </c>
      <c r="C94" s="7">
        <v>3273</v>
      </c>
      <c r="D94" s="7">
        <v>62600</v>
      </c>
    </row>
    <row r="95" spans="1:4" ht="17.25" x14ac:dyDescent="0.35">
      <c r="A95" s="5" t="s">
        <v>223</v>
      </c>
      <c r="B95" s="7">
        <v>30380</v>
      </c>
      <c r="C95" s="7">
        <v>187</v>
      </c>
      <c r="D95" s="7">
        <v>4700</v>
      </c>
    </row>
    <row r="96" spans="1:4" ht="17.25" x14ac:dyDescent="0.35">
      <c r="A96" s="5" t="s">
        <v>226</v>
      </c>
      <c r="B96" s="7">
        <v>30274</v>
      </c>
      <c r="C96" s="7">
        <v>4833</v>
      </c>
      <c r="D96" s="7">
        <v>89446</v>
      </c>
    </row>
    <row r="97" spans="1:4" ht="17.25" x14ac:dyDescent="0.35">
      <c r="A97" s="5" t="s">
        <v>229</v>
      </c>
      <c r="B97" s="7">
        <v>29636</v>
      </c>
      <c r="C97" s="7">
        <v>7267</v>
      </c>
      <c r="D97" s="7">
        <v>99000</v>
      </c>
    </row>
    <row r="98" spans="1:4" ht="17.25" x14ac:dyDescent="0.35">
      <c r="A98" s="5" t="s">
        <v>230</v>
      </c>
      <c r="B98" s="7">
        <v>29447</v>
      </c>
      <c r="C98" s="7">
        <v>2269</v>
      </c>
      <c r="D98" s="7">
        <v>29762</v>
      </c>
    </row>
    <row r="99" spans="1:4" ht="17.25" x14ac:dyDescent="0.35">
      <c r="A99" s="5" t="s">
        <v>232</v>
      </c>
      <c r="B99" s="7">
        <v>28987</v>
      </c>
      <c r="C99" s="7">
        <v>8306</v>
      </c>
      <c r="D99" s="7">
        <v>20500</v>
      </c>
    </row>
    <row r="100" spans="1:4" ht="17.25" x14ac:dyDescent="0.35">
      <c r="A100" s="5" t="s">
        <v>233</v>
      </c>
      <c r="B100" s="7">
        <v>28863</v>
      </c>
      <c r="C100" s="7">
        <v>1940</v>
      </c>
      <c r="D100" s="7">
        <v>57180</v>
      </c>
    </row>
    <row r="101" spans="1:4" ht="17.25" x14ac:dyDescent="0.35">
      <c r="A101" s="5" t="s">
        <v>235</v>
      </c>
      <c r="B101" s="7">
        <v>28150</v>
      </c>
      <c r="C101" s="7">
        <v>1540</v>
      </c>
      <c r="D101" s="7">
        <v>6016</v>
      </c>
    </row>
    <row r="102" spans="1:4" ht="17.25" x14ac:dyDescent="0.35">
      <c r="A102" s="5" t="s">
        <v>236</v>
      </c>
      <c r="B102" s="7">
        <v>28118</v>
      </c>
      <c r="C102" s="7">
        <v>3833</v>
      </c>
      <c r="D102" s="7">
        <v>24800</v>
      </c>
    </row>
    <row r="103" spans="1:4" ht="17.25" x14ac:dyDescent="0.35">
      <c r="A103" s="5" t="s">
        <v>237</v>
      </c>
      <c r="B103" s="7">
        <v>28111</v>
      </c>
      <c r="C103" s="7">
        <v>815</v>
      </c>
      <c r="D103" s="7">
        <v>5530</v>
      </c>
    </row>
    <row r="104" spans="1:4" ht="17.25" x14ac:dyDescent="0.35">
      <c r="A104" s="5" t="s">
        <v>238</v>
      </c>
      <c r="B104" s="7">
        <v>27940</v>
      </c>
      <c r="C104" s="7">
        <v>1953</v>
      </c>
      <c r="D104" s="7">
        <v>52000</v>
      </c>
    </row>
    <row r="105" spans="1:4" ht="17.25" x14ac:dyDescent="0.35">
      <c r="A105" s="5" t="s">
        <v>240</v>
      </c>
      <c r="B105" s="7">
        <v>27925</v>
      </c>
      <c r="C105" s="7">
        <v>572</v>
      </c>
      <c r="D105" s="7">
        <v>18800</v>
      </c>
    </row>
    <row r="106" spans="1:4" ht="17.25" x14ac:dyDescent="0.35">
      <c r="A106" s="5" t="s">
        <v>242</v>
      </c>
      <c r="B106" s="7">
        <v>27079</v>
      </c>
      <c r="C106" s="7">
        <v>1072</v>
      </c>
      <c r="D106" s="7">
        <v>157500</v>
      </c>
    </row>
    <row r="107" spans="1:4" ht="17.25" x14ac:dyDescent="0.35">
      <c r="A107" s="5" t="s">
        <v>243</v>
      </c>
      <c r="B107" s="7">
        <v>27028</v>
      </c>
      <c r="C107" s="7">
        <v>2521</v>
      </c>
      <c r="D107" s="7">
        <v>6800</v>
      </c>
    </row>
    <row r="108" spans="1:4" ht="17.25" x14ac:dyDescent="0.35">
      <c r="A108" s="5" t="s">
        <v>244</v>
      </c>
      <c r="B108" s="7">
        <v>26800</v>
      </c>
      <c r="C108" s="7">
        <v>3439</v>
      </c>
      <c r="D108" s="7">
        <v>30900</v>
      </c>
    </row>
    <row r="109" spans="1:4" ht="17.25" x14ac:dyDescent="0.35">
      <c r="A109" s="5" t="s">
        <v>245</v>
      </c>
      <c r="B109" s="7">
        <v>26794</v>
      </c>
      <c r="C109" s="7">
        <v>6873</v>
      </c>
      <c r="D109" s="7">
        <v>80200</v>
      </c>
    </row>
    <row r="110" spans="1:4" ht="17.25" x14ac:dyDescent="0.35">
      <c r="A110" s="5" t="s">
        <v>247</v>
      </c>
      <c r="B110" s="7">
        <v>26528</v>
      </c>
      <c r="C110" s="7">
        <v>2109</v>
      </c>
      <c r="D110" s="7">
        <v>69865</v>
      </c>
    </row>
    <row r="111" spans="1:4" ht="17.25" x14ac:dyDescent="0.35">
      <c r="A111" s="5" t="s">
        <v>249</v>
      </c>
      <c r="B111" s="7">
        <v>26380</v>
      </c>
      <c r="C111" s="7">
        <v>266</v>
      </c>
      <c r="D111" s="7">
        <v>9000</v>
      </c>
    </row>
    <row r="112" spans="1:4" ht="17.25" x14ac:dyDescent="0.35">
      <c r="A112" s="5" t="s">
        <v>251</v>
      </c>
      <c r="B112" s="7">
        <v>25413</v>
      </c>
      <c r="C112" s="7">
        <v>4529</v>
      </c>
      <c r="D112" s="7">
        <v>420000</v>
      </c>
    </row>
    <row r="113" spans="1:4" ht="17.25" x14ac:dyDescent="0.35">
      <c r="A113" s="5" t="s">
        <v>255</v>
      </c>
      <c r="B113" s="7">
        <v>25281</v>
      </c>
      <c r="C113" s="7">
        <v>5271</v>
      </c>
      <c r="D113" s="7">
        <v>33000</v>
      </c>
    </row>
    <row r="114" spans="1:4" ht="17.25" x14ac:dyDescent="0.35">
      <c r="A114" s="5" t="s">
        <v>257</v>
      </c>
      <c r="B114" s="7">
        <v>25146</v>
      </c>
      <c r="C114" s="7">
        <v>-1129</v>
      </c>
      <c r="D114" s="7">
        <v>178000</v>
      </c>
    </row>
    <row r="115" spans="1:4" ht="17.25" x14ac:dyDescent="0.35">
      <c r="A115" s="5" t="s">
        <v>259</v>
      </c>
      <c r="B115" s="7">
        <v>25098</v>
      </c>
      <c r="C115" s="7">
        <v>4050</v>
      </c>
      <c r="D115" s="7">
        <v>45400</v>
      </c>
    </row>
    <row r="116" spans="1:4" ht="17.25" x14ac:dyDescent="0.35">
      <c r="A116" s="5" t="s">
        <v>260</v>
      </c>
      <c r="B116" s="7">
        <v>24704</v>
      </c>
      <c r="C116" s="7">
        <v>1990</v>
      </c>
      <c r="D116" s="7">
        <v>72000</v>
      </c>
    </row>
    <row r="117" spans="1:4" ht="17.25" x14ac:dyDescent="0.35">
      <c r="A117" s="5" t="s">
        <v>263</v>
      </c>
      <c r="B117" s="7">
        <v>24361</v>
      </c>
      <c r="C117" s="7">
        <v>2272</v>
      </c>
      <c r="D117" s="7">
        <v>28681</v>
      </c>
    </row>
    <row r="118" spans="1:4" ht="17.25" x14ac:dyDescent="0.35">
      <c r="A118" s="5" t="s">
        <v>264</v>
      </c>
      <c r="B118" s="7">
        <v>24002</v>
      </c>
      <c r="C118" s="7">
        <v>2816</v>
      </c>
      <c r="D118" s="7">
        <v>29188</v>
      </c>
    </row>
    <row r="119" spans="1:4" ht="17.25" x14ac:dyDescent="0.35">
      <c r="A119" s="5" t="s">
        <v>265</v>
      </c>
      <c r="B119" s="7">
        <v>23697</v>
      </c>
      <c r="C119" s="7">
        <v>1844</v>
      </c>
      <c r="D119" s="7">
        <v>56430</v>
      </c>
    </row>
    <row r="120" spans="1:4" ht="17.25" x14ac:dyDescent="0.35">
      <c r="A120" s="5" t="s">
        <v>266</v>
      </c>
      <c r="B120" s="7">
        <v>23633</v>
      </c>
      <c r="C120" s="7">
        <v>-671</v>
      </c>
      <c r="D120" s="7">
        <v>65000</v>
      </c>
    </row>
    <row r="121" spans="1:4" ht="17.25" x14ac:dyDescent="0.35">
      <c r="A121" s="5" t="s">
        <v>268</v>
      </c>
      <c r="B121" s="7">
        <v>23526</v>
      </c>
      <c r="C121" s="7">
        <v>1990</v>
      </c>
      <c r="D121" s="7">
        <v>65000</v>
      </c>
    </row>
    <row r="122" spans="1:4" ht="17.25" x14ac:dyDescent="0.35">
      <c r="A122" s="5" t="s">
        <v>269</v>
      </c>
      <c r="B122" s="7">
        <v>23282</v>
      </c>
      <c r="C122" s="7">
        <v>498</v>
      </c>
      <c r="D122" s="7">
        <v>18500</v>
      </c>
    </row>
    <row r="123" spans="1:4" ht="17.25" x14ac:dyDescent="0.35">
      <c r="A123" s="5" t="s">
        <v>271</v>
      </c>
      <c r="B123" s="7">
        <v>23247</v>
      </c>
      <c r="C123" s="7">
        <v>2074</v>
      </c>
      <c r="D123" s="7">
        <v>61000</v>
      </c>
    </row>
    <row r="124" spans="1:4" ht="17.25" x14ac:dyDescent="0.35">
      <c r="A124" s="5" t="s">
        <v>273</v>
      </c>
      <c r="B124" s="7">
        <v>23152</v>
      </c>
      <c r="C124" s="7">
        <v>118</v>
      </c>
      <c r="D124" s="7">
        <v>5400</v>
      </c>
    </row>
    <row r="125" spans="1:4" ht="17.25" x14ac:dyDescent="0.35">
      <c r="A125" s="5" t="s">
        <v>274</v>
      </c>
      <c r="B125" s="7">
        <v>23128</v>
      </c>
      <c r="C125" s="7">
        <v>168</v>
      </c>
      <c r="D125" s="7">
        <v>25000</v>
      </c>
    </row>
    <row r="126" spans="1:4" ht="17.25" x14ac:dyDescent="0.35">
      <c r="A126" s="5" t="s">
        <v>276</v>
      </c>
      <c r="B126" s="7">
        <v>22859</v>
      </c>
      <c r="C126" s="7">
        <v>5144</v>
      </c>
      <c r="D126" s="7">
        <v>28000</v>
      </c>
    </row>
    <row r="127" spans="1:4" ht="17.25" x14ac:dyDescent="0.35">
      <c r="A127" s="5" t="s">
        <v>278</v>
      </c>
      <c r="B127" s="7">
        <v>22795</v>
      </c>
      <c r="C127" s="7">
        <v>355</v>
      </c>
      <c r="D127" s="7">
        <v>18200</v>
      </c>
    </row>
    <row r="128" spans="1:4" ht="17.25" x14ac:dyDescent="0.35">
      <c r="A128" s="5" t="s">
        <v>279</v>
      </c>
      <c r="B128" s="7">
        <v>22678</v>
      </c>
      <c r="C128" s="7">
        <v>158</v>
      </c>
      <c r="D128" s="7">
        <v>123000</v>
      </c>
    </row>
    <row r="129" spans="1:4" ht="17.25" x14ac:dyDescent="0.35">
      <c r="A129" s="5" t="s">
        <v>281</v>
      </c>
      <c r="B129" s="7">
        <v>22534</v>
      </c>
      <c r="C129" s="7">
        <v>-322</v>
      </c>
      <c r="D129" s="7">
        <v>60000</v>
      </c>
    </row>
    <row r="130" spans="1:4" ht="17.25" x14ac:dyDescent="0.35">
      <c r="A130" s="5" t="s">
        <v>284</v>
      </c>
      <c r="B130" s="7">
        <v>22365</v>
      </c>
      <c r="C130" s="7">
        <v>938</v>
      </c>
      <c r="D130" s="7">
        <v>56000</v>
      </c>
    </row>
    <row r="131" spans="1:4" ht="17.25" x14ac:dyDescent="0.35">
      <c r="A131" s="5" t="s">
        <v>286</v>
      </c>
      <c r="B131" s="7">
        <v>22304</v>
      </c>
      <c r="C131" s="7">
        <v>2710</v>
      </c>
      <c r="D131" s="7">
        <v>110800</v>
      </c>
    </row>
    <row r="132" spans="1:4" ht="17.25" x14ac:dyDescent="0.35">
      <c r="A132" s="5" t="s">
        <v>287</v>
      </c>
      <c r="B132" s="7">
        <v>21813</v>
      </c>
      <c r="C132" s="7">
        <v>4772</v>
      </c>
      <c r="D132" s="7">
        <v>47457</v>
      </c>
    </row>
    <row r="133" spans="1:4" ht="17.25" x14ac:dyDescent="0.35">
      <c r="A133" s="5" t="s">
        <v>289</v>
      </c>
      <c r="B133" s="7">
        <v>21662</v>
      </c>
      <c r="C133" s="7">
        <v>6939</v>
      </c>
      <c r="D133" s="7">
        <v>17900</v>
      </c>
    </row>
    <row r="134" spans="1:4" ht="17.25" x14ac:dyDescent="0.35">
      <c r="A134" s="5" t="s">
        <v>291</v>
      </c>
      <c r="B134" s="7">
        <v>21494</v>
      </c>
      <c r="C134" s="7">
        <v>5879</v>
      </c>
      <c r="D134" s="7">
        <v>65433</v>
      </c>
    </row>
    <row r="135" spans="1:4" ht="17.25" x14ac:dyDescent="0.35">
      <c r="A135" s="5" t="s">
        <v>292</v>
      </c>
      <c r="B135" s="7">
        <v>21059</v>
      </c>
      <c r="C135" s="7">
        <v>379</v>
      </c>
      <c r="D135" s="7">
        <v>58963</v>
      </c>
    </row>
    <row r="136" spans="1:4" ht="17.25" x14ac:dyDescent="0.35">
      <c r="A136" s="5" t="s">
        <v>293</v>
      </c>
      <c r="B136" s="7">
        <v>20909</v>
      </c>
      <c r="C136" s="7">
        <v>3357</v>
      </c>
      <c r="D136" s="7">
        <v>81000</v>
      </c>
    </row>
    <row r="137" spans="1:4" ht="17.25" x14ac:dyDescent="0.35">
      <c r="A137" s="5" t="s">
        <v>295</v>
      </c>
      <c r="B137" s="7">
        <v>20891</v>
      </c>
      <c r="C137" s="7">
        <v>783</v>
      </c>
      <c r="D137" s="7">
        <v>97000</v>
      </c>
    </row>
    <row r="138" spans="1:4" ht="17.25" x14ac:dyDescent="0.35">
      <c r="A138" s="5" t="s">
        <v>297</v>
      </c>
      <c r="B138" s="7">
        <v>20872</v>
      </c>
      <c r="C138" s="7">
        <v>2533</v>
      </c>
      <c r="D138" s="7">
        <v>9915</v>
      </c>
    </row>
    <row r="139" spans="1:4" ht="17.25" x14ac:dyDescent="0.35">
      <c r="A139" s="5" t="s">
        <v>299</v>
      </c>
      <c r="B139" s="7">
        <v>20862</v>
      </c>
      <c r="C139" s="7">
        <v>443</v>
      </c>
      <c r="D139" s="7">
        <v>26000</v>
      </c>
    </row>
    <row r="140" spans="1:4" ht="17.25" x14ac:dyDescent="0.35">
      <c r="A140" s="5" t="s">
        <v>302</v>
      </c>
      <c r="B140" s="7">
        <v>20854</v>
      </c>
      <c r="C140" s="7">
        <v>1268</v>
      </c>
      <c r="D140" s="7">
        <v>28580</v>
      </c>
    </row>
    <row r="141" spans="1:4" ht="17.25" x14ac:dyDescent="0.35">
      <c r="A141" s="5" t="s">
        <v>304</v>
      </c>
      <c r="B141" s="7">
        <v>20661</v>
      </c>
      <c r="C141" s="7">
        <v>4423</v>
      </c>
      <c r="D141" s="7">
        <v>74000</v>
      </c>
    </row>
    <row r="142" spans="1:4" ht="17.25" x14ac:dyDescent="0.35">
      <c r="A142" s="5" t="s">
        <v>307</v>
      </c>
      <c r="B142" s="7">
        <v>20369</v>
      </c>
      <c r="C142" s="7">
        <v>1165</v>
      </c>
      <c r="D142" s="7">
        <v>113400</v>
      </c>
    </row>
    <row r="143" spans="1:4" ht="17.25" x14ac:dyDescent="0.35">
      <c r="A143" s="5" t="s">
        <v>309</v>
      </c>
      <c r="B143" s="7">
        <v>20111</v>
      </c>
      <c r="C143" s="7">
        <v>-140</v>
      </c>
      <c r="D143" s="7">
        <v>119148</v>
      </c>
    </row>
    <row r="144" spans="1:4" ht="17.25" x14ac:dyDescent="0.35">
      <c r="A144" s="5" t="s">
        <v>310</v>
      </c>
      <c r="B144" s="7">
        <v>19959</v>
      </c>
      <c r="C144" s="7">
        <v>2408</v>
      </c>
      <c r="D144" s="7">
        <v>41275</v>
      </c>
    </row>
    <row r="145" spans="1:4" ht="17.25" x14ac:dyDescent="0.35">
      <c r="A145" s="5" t="s">
        <v>311</v>
      </c>
      <c r="B145" s="7">
        <v>19820</v>
      </c>
      <c r="C145" s="7">
        <v>2181</v>
      </c>
      <c r="D145" s="7">
        <v>49583</v>
      </c>
    </row>
    <row r="146" spans="1:4" ht="17.25" x14ac:dyDescent="0.35">
      <c r="A146" s="5" t="s">
        <v>312</v>
      </c>
      <c r="B146" s="7">
        <v>19361</v>
      </c>
      <c r="C146" s="7">
        <v>326</v>
      </c>
      <c r="D146" s="7">
        <v>23000</v>
      </c>
    </row>
    <row r="147" spans="1:4" ht="17.25" x14ac:dyDescent="0.35">
      <c r="A147" s="5" t="s">
        <v>314</v>
      </c>
      <c r="B147" s="7">
        <v>19330</v>
      </c>
      <c r="C147" s="7">
        <v>419</v>
      </c>
      <c r="D147" s="7">
        <v>27000</v>
      </c>
    </row>
    <row r="148" spans="1:4" ht="17.25" x14ac:dyDescent="0.35">
      <c r="A148" s="5" t="s">
        <v>317</v>
      </c>
      <c r="B148" s="7">
        <v>19204</v>
      </c>
      <c r="C148" s="7">
        <v>673</v>
      </c>
      <c r="D148" s="7">
        <v>86000</v>
      </c>
    </row>
    <row r="149" spans="1:4" ht="17.25" x14ac:dyDescent="0.35">
      <c r="A149" s="5" t="s">
        <v>319</v>
      </c>
      <c r="B149" s="7">
        <v>19163</v>
      </c>
      <c r="C149" s="7">
        <v>2757</v>
      </c>
      <c r="D149" s="7">
        <v>238000</v>
      </c>
    </row>
    <row r="150" spans="1:4" ht="17.25" x14ac:dyDescent="0.35">
      <c r="A150" s="5" t="s">
        <v>320</v>
      </c>
      <c r="B150" s="7">
        <v>19115</v>
      </c>
      <c r="C150" s="7">
        <v>1604</v>
      </c>
      <c r="D150" s="7">
        <v>23000</v>
      </c>
    </row>
    <row r="151" spans="1:4" ht="17.25" x14ac:dyDescent="0.35">
      <c r="A151" s="5" t="s">
        <v>322</v>
      </c>
      <c r="B151" s="7">
        <v>19110</v>
      </c>
      <c r="C151" s="7">
        <v>1399</v>
      </c>
      <c r="D151" s="7">
        <v>55200</v>
      </c>
    </row>
    <row r="152" spans="1:4" ht="17.25" x14ac:dyDescent="0.35">
      <c r="A152" s="5" t="s">
        <v>324</v>
      </c>
      <c r="B152" s="7">
        <v>18854</v>
      </c>
      <c r="C152" s="7">
        <v>5241</v>
      </c>
      <c r="D152" s="7">
        <v>8800</v>
      </c>
    </row>
    <row r="153" spans="1:4" ht="17.25" x14ac:dyDescent="0.35">
      <c r="A153" s="5" t="s">
        <v>326</v>
      </c>
      <c r="B153" s="7">
        <v>18664</v>
      </c>
      <c r="C153" s="7">
        <v>474</v>
      </c>
      <c r="D153" s="7">
        <v>143600</v>
      </c>
    </row>
    <row r="154" spans="1:4" ht="17.25" x14ac:dyDescent="0.35">
      <c r="A154" s="5" t="s">
        <v>328</v>
      </c>
      <c r="B154" s="7">
        <v>18591</v>
      </c>
      <c r="C154" s="7">
        <v>1013</v>
      </c>
      <c r="D154" s="7">
        <v>43000</v>
      </c>
    </row>
    <row r="155" spans="1:4" ht="17.25" x14ac:dyDescent="0.35">
      <c r="A155" s="5" t="s">
        <v>329</v>
      </c>
      <c r="B155" s="7">
        <v>18377</v>
      </c>
      <c r="C155" s="7">
        <v>1682</v>
      </c>
      <c r="D155" s="7">
        <v>17400</v>
      </c>
    </row>
    <row r="156" spans="1:4" ht="17.25" x14ac:dyDescent="0.35">
      <c r="A156" s="5" t="s">
        <v>330</v>
      </c>
      <c r="B156" s="7">
        <v>18338</v>
      </c>
      <c r="C156" s="7">
        <v>634</v>
      </c>
      <c r="D156" s="7">
        <v>42000</v>
      </c>
    </row>
    <row r="157" spans="1:4" ht="17.25" x14ac:dyDescent="0.35">
      <c r="A157" s="5" t="s">
        <v>332</v>
      </c>
      <c r="B157" s="7">
        <v>18211</v>
      </c>
      <c r="C157" s="7">
        <v>746</v>
      </c>
      <c r="D157" s="7">
        <v>136200</v>
      </c>
    </row>
    <row r="158" spans="1:4" ht="17.25" x14ac:dyDescent="0.35">
      <c r="A158" s="5" t="s">
        <v>334</v>
      </c>
      <c r="B158" s="7">
        <v>18114</v>
      </c>
      <c r="C158" s="7">
        <v>413</v>
      </c>
      <c r="D158" s="7">
        <v>38758</v>
      </c>
    </row>
    <row r="159" spans="1:4" ht="17.25" x14ac:dyDescent="0.35">
      <c r="A159" s="5" t="s">
        <v>337</v>
      </c>
      <c r="B159" s="7">
        <v>17990</v>
      </c>
      <c r="C159" s="7">
        <v>-155</v>
      </c>
      <c r="D159" s="7">
        <v>92000</v>
      </c>
    </row>
    <row r="160" spans="1:4" ht="17.25" x14ac:dyDescent="0.35">
      <c r="A160" s="5" t="s">
        <v>339</v>
      </c>
      <c r="B160" s="7">
        <v>17928</v>
      </c>
      <c r="C160" s="7">
        <v>3688</v>
      </c>
      <c r="D160" s="7">
        <v>12691</v>
      </c>
    </row>
    <row r="161" spans="1:4" ht="17.25" x14ac:dyDescent="0.35">
      <c r="A161" s="5" t="s">
        <v>341</v>
      </c>
      <c r="B161" s="7">
        <v>17914</v>
      </c>
      <c r="C161" s="7">
        <v>284</v>
      </c>
      <c r="D161" s="7">
        <v>161000</v>
      </c>
    </row>
    <row r="162" spans="1:4" ht="17.25" x14ac:dyDescent="0.35">
      <c r="A162" s="5" t="s">
        <v>343</v>
      </c>
      <c r="B162" s="7">
        <v>17900</v>
      </c>
      <c r="C162" s="7">
        <v>878</v>
      </c>
      <c r="D162" s="7">
        <v>43000</v>
      </c>
    </row>
    <row r="163" spans="1:4" ht="17.25" x14ac:dyDescent="0.35">
      <c r="A163" s="5" t="s">
        <v>345</v>
      </c>
      <c r="B163" s="7">
        <v>17820</v>
      </c>
      <c r="C163" s="7">
        <v>192</v>
      </c>
      <c r="D163" s="7">
        <v>38500</v>
      </c>
    </row>
    <row r="164" spans="1:4" ht="17.25" x14ac:dyDescent="0.35">
      <c r="A164" s="5" t="s">
        <v>347</v>
      </c>
      <c r="B164" s="7">
        <v>17630</v>
      </c>
      <c r="C164" s="7">
        <v>1221</v>
      </c>
      <c r="D164" s="7">
        <v>42000</v>
      </c>
    </row>
    <row r="165" spans="1:4" ht="17.25" x14ac:dyDescent="0.35">
      <c r="A165" s="5" t="s">
        <v>348</v>
      </c>
      <c r="B165" s="7">
        <v>17489</v>
      </c>
      <c r="C165" s="7">
        <v>2367</v>
      </c>
      <c r="D165" s="7">
        <v>26703</v>
      </c>
    </row>
    <row r="166" spans="1:4" ht="17.25" x14ac:dyDescent="0.35">
      <c r="A166" s="5" t="s">
        <v>349</v>
      </c>
      <c r="B166" s="7">
        <v>17486</v>
      </c>
      <c r="C166" s="7">
        <v>2752</v>
      </c>
      <c r="D166" s="7">
        <v>14300</v>
      </c>
    </row>
    <row r="167" spans="1:4" ht="17.25" x14ac:dyDescent="0.35">
      <c r="A167" s="5" t="s">
        <v>351</v>
      </c>
      <c r="B167" s="7">
        <v>16965</v>
      </c>
      <c r="C167" s="7">
        <v>1975</v>
      </c>
      <c r="D167" s="7">
        <v>52400</v>
      </c>
    </row>
    <row r="168" spans="1:4" ht="17.25" x14ac:dyDescent="0.35">
      <c r="A168" s="5" t="s">
        <v>352</v>
      </c>
      <c r="B168" s="7">
        <v>16900</v>
      </c>
      <c r="C168" s="7">
        <v>2047</v>
      </c>
      <c r="D168" s="7">
        <v>17405</v>
      </c>
    </row>
    <row r="169" spans="1:4" ht="17.25" x14ac:dyDescent="0.35">
      <c r="A169" s="5" t="s">
        <v>353</v>
      </c>
      <c r="B169" s="7">
        <v>16833</v>
      </c>
      <c r="C169" s="7">
        <v>874</v>
      </c>
      <c r="D169" s="7">
        <v>23323</v>
      </c>
    </row>
    <row r="170" spans="1:4" ht="17.25" x14ac:dyDescent="0.35">
      <c r="A170" s="5" t="s">
        <v>354</v>
      </c>
      <c r="B170" s="7">
        <v>16802</v>
      </c>
      <c r="C170" s="7">
        <v>17</v>
      </c>
      <c r="D170" s="7">
        <v>3100</v>
      </c>
    </row>
    <row r="171" spans="1:4" ht="17.25" x14ac:dyDescent="0.35">
      <c r="A171" s="5" t="s">
        <v>356</v>
      </c>
      <c r="B171" s="7">
        <v>16560</v>
      </c>
      <c r="C171" s="7">
        <v>1565</v>
      </c>
      <c r="D171" s="7">
        <v>25000</v>
      </c>
    </row>
    <row r="172" spans="1:4" ht="17.25" x14ac:dyDescent="0.35">
      <c r="A172" s="5" t="s">
        <v>357</v>
      </c>
      <c r="B172" s="7">
        <v>16443</v>
      </c>
      <c r="C172" s="7">
        <v>307</v>
      </c>
      <c r="D172" s="7">
        <v>66000</v>
      </c>
    </row>
    <row r="173" spans="1:4" ht="17.25" x14ac:dyDescent="0.35">
      <c r="A173" s="5" t="s">
        <v>359</v>
      </c>
      <c r="B173" s="7">
        <v>16439</v>
      </c>
      <c r="C173" s="7">
        <v>358</v>
      </c>
      <c r="D173" s="7">
        <v>23700</v>
      </c>
    </row>
    <row r="174" spans="1:4" ht="17.25" x14ac:dyDescent="0.35">
      <c r="A174" s="5" t="s">
        <v>360</v>
      </c>
      <c r="B174" s="7">
        <v>16270</v>
      </c>
      <c r="C174" s="7">
        <v>4106</v>
      </c>
      <c r="D174" s="7">
        <v>50831</v>
      </c>
    </row>
    <row r="175" spans="1:4" ht="17.25" x14ac:dyDescent="0.35">
      <c r="A175" s="5" t="s">
        <v>361</v>
      </c>
      <c r="B175" s="7">
        <v>16244</v>
      </c>
      <c r="C175" s="7">
        <v>186</v>
      </c>
      <c r="D175" s="7">
        <v>8584</v>
      </c>
    </row>
    <row r="176" spans="1:4" ht="17.25" x14ac:dyDescent="0.35">
      <c r="A176" s="5" t="s">
        <v>363</v>
      </c>
      <c r="B176" s="7">
        <v>16192</v>
      </c>
      <c r="C176" s="7">
        <v>2899</v>
      </c>
      <c r="D176" s="7">
        <v>31800</v>
      </c>
    </row>
    <row r="177" spans="1:4" ht="17.25" x14ac:dyDescent="0.35">
      <c r="A177" s="5" t="s">
        <v>365</v>
      </c>
      <c r="B177" s="7">
        <v>16034</v>
      </c>
      <c r="C177" s="7">
        <v>1384</v>
      </c>
      <c r="D177" s="7">
        <v>37900</v>
      </c>
    </row>
    <row r="178" spans="1:4" ht="17.25" x14ac:dyDescent="0.35">
      <c r="A178" s="5" t="s">
        <v>366</v>
      </c>
      <c r="B178" s="7">
        <v>15877</v>
      </c>
      <c r="C178" s="7">
        <v>-12236</v>
      </c>
      <c r="D178" s="7">
        <v>34500</v>
      </c>
    </row>
    <row r="179" spans="1:4" ht="17.25" x14ac:dyDescent="0.35">
      <c r="A179" s="5" t="s">
        <v>367</v>
      </c>
      <c r="B179" s="7">
        <v>15849</v>
      </c>
      <c r="C179" s="7">
        <v>-253</v>
      </c>
      <c r="D179" s="7">
        <v>32900</v>
      </c>
    </row>
    <row r="180" spans="1:4" ht="17.25" x14ac:dyDescent="0.35">
      <c r="A180" s="5" t="s">
        <v>368</v>
      </c>
      <c r="B180" s="7">
        <v>15797</v>
      </c>
      <c r="C180" s="7">
        <v>920</v>
      </c>
      <c r="D180" s="7">
        <v>141000</v>
      </c>
    </row>
    <row r="181" spans="1:4" ht="17.25" x14ac:dyDescent="0.35">
      <c r="A181" s="5" t="s">
        <v>369</v>
      </c>
      <c r="B181" s="7">
        <v>15742</v>
      </c>
      <c r="C181" s="7">
        <v>-1967</v>
      </c>
      <c r="D181" s="7">
        <v>43000</v>
      </c>
    </row>
    <row r="182" spans="1:4" ht="17.25" x14ac:dyDescent="0.35">
      <c r="A182" s="5" t="s">
        <v>370</v>
      </c>
      <c r="B182" s="7">
        <v>15523</v>
      </c>
      <c r="C182" s="7">
        <v>3158</v>
      </c>
      <c r="D182" s="7">
        <v>51200</v>
      </c>
    </row>
    <row r="183" spans="1:4" ht="17.25" x14ac:dyDescent="0.35">
      <c r="A183" s="5" t="s">
        <v>371</v>
      </c>
      <c r="B183" s="7">
        <v>15498</v>
      </c>
      <c r="C183" s="7">
        <v>282</v>
      </c>
      <c r="D183" s="7">
        <v>111550</v>
      </c>
    </row>
    <row r="184" spans="1:4" ht="17.25" x14ac:dyDescent="0.35">
      <c r="A184" s="5" t="s">
        <v>373</v>
      </c>
      <c r="B184" s="7">
        <v>15389</v>
      </c>
      <c r="C184" s="7">
        <v>536</v>
      </c>
      <c r="D184" s="7">
        <v>76300</v>
      </c>
    </row>
    <row r="185" spans="1:4" ht="17.25" x14ac:dyDescent="0.35">
      <c r="A185" s="5" t="s">
        <v>375</v>
      </c>
      <c r="B185" s="7">
        <v>15330</v>
      </c>
      <c r="C185" s="7">
        <v>1406</v>
      </c>
      <c r="D185" s="7">
        <v>46600</v>
      </c>
    </row>
    <row r="186" spans="1:4" ht="17.25" x14ac:dyDescent="0.35">
      <c r="A186" s="5" t="s">
        <v>376</v>
      </c>
      <c r="B186" s="7">
        <v>15280</v>
      </c>
      <c r="C186" s="7">
        <v>706</v>
      </c>
      <c r="D186" s="7">
        <v>39600</v>
      </c>
    </row>
    <row r="187" spans="1:4" ht="17.25" x14ac:dyDescent="0.35">
      <c r="A187" s="5" t="s">
        <v>377</v>
      </c>
      <c r="B187" s="7">
        <v>15272</v>
      </c>
      <c r="C187" s="7">
        <v>-1194</v>
      </c>
      <c r="D187" s="7">
        <v>73807</v>
      </c>
    </row>
    <row r="188" spans="1:4" ht="17.25" x14ac:dyDescent="0.35">
      <c r="A188" s="5" t="s">
        <v>378</v>
      </c>
      <c r="B188" s="7">
        <v>15270</v>
      </c>
      <c r="C188" s="7">
        <v>57</v>
      </c>
      <c r="D188" s="7">
        <v>12000</v>
      </c>
    </row>
    <row r="189" spans="1:4" ht="17.25" x14ac:dyDescent="0.35">
      <c r="A189" s="5" t="s">
        <v>379</v>
      </c>
      <c r="B189" s="7">
        <v>15134</v>
      </c>
      <c r="C189" s="7">
        <v>1094</v>
      </c>
      <c r="D189" s="7">
        <v>74900</v>
      </c>
    </row>
    <row r="190" spans="1:4" ht="17.25" x14ac:dyDescent="0.35">
      <c r="A190" s="5" t="s">
        <v>381</v>
      </c>
      <c r="B190" s="7">
        <v>15069</v>
      </c>
      <c r="C190" s="7">
        <v>747</v>
      </c>
      <c r="D190" s="7">
        <v>18000</v>
      </c>
    </row>
    <row r="191" spans="1:4" ht="17.25" x14ac:dyDescent="0.35">
      <c r="A191" s="5" t="s">
        <v>383</v>
      </c>
      <c r="B191" s="7">
        <v>15026</v>
      </c>
      <c r="C191" s="7">
        <v>578</v>
      </c>
      <c r="D191" s="7">
        <v>15781</v>
      </c>
    </row>
    <row r="192" spans="1:4" ht="17.25" x14ac:dyDescent="0.35">
      <c r="A192" s="5" t="s">
        <v>384</v>
      </c>
      <c r="B192" s="7">
        <v>15001</v>
      </c>
      <c r="C192" s="7">
        <v>2314</v>
      </c>
      <c r="D192" s="7">
        <v>24000</v>
      </c>
    </row>
    <row r="193" spans="1:4" ht="17.25" x14ac:dyDescent="0.35">
      <c r="A193" s="5" t="s">
        <v>385</v>
      </c>
      <c r="B193" s="7">
        <v>14963</v>
      </c>
      <c r="C193" s="7">
        <v>306</v>
      </c>
      <c r="D193" s="7">
        <v>21000</v>
      </c>
    </row>
    <row r="194" spans="1:4" ht="17.25" x14ac:dyDescent="0.35">
      <c r="A194" s="5" t="s">
        <v>387</v>
      </c>
      <c r="B194" s="7">
        <v>14874</v>
      </c>
      <c r="C194" s="7">
        <v>597</v>
      </c>
      <c r="D194" s="7">
        <v>22064</v>
      </c>
    </row>
    <row r="195" spans="1:4" ht="17.25" x14ac:dyDescent="0.35">
      <c r="A195" s="5" t="s">
        <v>388</v>
      </c>
      <c r="B195" s="7">
        <v>14757</v>
      </c>
      <c r="C195" s="7">
        <v>-769</v>
      </c>
      <c r="D195" s="7">
        <v>47262</v>
      </c>
    </row>
    <row r="196" spans="1:4" ht="17.25" x14ac:dyDescent="0.35">
      <c r="A196" s="5" t="s">
        <v>389</v>
      </c>
      <c r="B196" s="7">
        <v>14674</v>
      </c>
      <c r="C196" s="7">
        <v>-6382</v>
      </c>
      <c r="D196" s="7">
        <v>10468</v>
      </c>
    </row>
    <row r="197" spans="1:4" ht="17.25" x14ac:dyDescent="0.35">
      <c r="A197" s="5" t="s">
        <v>391</v>
      </c>
      <c r="B197" s="7">
        <v>14572</v>
      </c>
      <c r="C197" s="7">
        <v>1465</v>
      </c>
      <c r="D197" s="7">
        <v>76449</v>
      </c>
    </row>
    <row r="198" spans="1:4" ht="17.25" x14ac:dyDescent="0.35">
      <c r="A198" s="5" t="s">
        <v>392</v>
      </c>
      <c r="B198" s="7">
        <v>14486</v>
      </c>
      <c r="C198" s="7">
        <v>859</v>
      </c>
      <c r="D198" s="7">
        <v>127500</v>
      </c>
    </row>
    <row r="199" spans="1:4" ht="17.25" x14ac:dyDescent="0.35">
      <c r="A199" s="5" t="s">
        <v>394</v>
      </c>
      <c r="B199" s="7">
        <v>14485</v>
      </c>
      <c r="C199" s="7">
        <v>8</v>
      </c>
      <c r="D199" s="7">
        <v>49000</v>
      </c>
    </row>
    <row r="200" spans="1:4" ht="17.25" x14ac:dyDescent="0.35">
      <c r="A200" s="5" t="s">
        <v>396</v>
      </c>
      <c r="B200" s="7">
        <v>14437</v>
      </c>
      <c r="C200" s="7">
        <v>600</v>
      </c>
      <c r="D200" s="7">
        <v>72500</v>
      </c>
    </row>
    <row r="201" spans="1:4" ht="17.25" x14ac:dyDescent="0.35">
      <c r="A201" s="5" t="s">
        <v>397</v>
      </c>
      <c r="B201" s="7">
        <v>14403</v>
      </c>
      <c r="C201" s="7">
        <v>253</v>
      </c>
      <c r="D201" s="7">
        <v>11290</v>
      </c>
    </row>
    <row r="202" spans="1:4" ht="17.25" x14ac:dyDescent="0.35">
      <c r="A202" s="5" t="s">
        <v>398</v>
      </c>
      <c r="B202" s="7">
        <v>14329</v>
      </c>
      <c r="C202" s="7">
        <v>236</v>
      </c>
      <c r="D202" s="7">
        <v>216500</v>
      </c>
    </row>
    <row r="203" spans="1:4" ht="17.25" x14ac:dyDescent="0.35">
      <c r="A203" s="5" t="s">
        <v>400</v>
      </c>
      <c r="B203" s="7">
        <v>14210</v>
      </c>
      <c r="C203" s="7">
        <v>270</v>
      </c>
      <c r="D203" s="7">
        <v>60400</v>
      </c>
    </row>
    <row r="204" spans="1:4" ht="17.25" x14ac:dyDescent="0.35">
      <c r="A204" s="5" t="s">
        <v>402</v>
      </c>
      <c r="B204" s="7">
        <v>14178</v>
      </c>
      <c r="C204" s="7">
        <v>143</v>
      </c>
      <c r="D204" s="7">
        <v>21000</v>
      </c>
    </row>
    <row r="205" spans="1:4" ht="17.25" x14ac:dyDescent="0.35">
      <c r="A205" s="5" t="s">
        <v>404</v>
      </c>
      <c r="B205" s="7">
        <v>13890</v>
      </c>
      <c r="C205" s="7">
        <v>119</v>
      </c>
      <c r="D205" s="7">
        <v>6900</v>
      </c>
    </row>
    <row r="206" spans="1:4" ht="17.25" x14ac:dyDescent="0.35">
      <c r="A206" s="5" t="s">
        <v>406</v>
      </c>
      <c r="B206" s="7">
        <v>13886</v>
      </c>
      <c r="C206" s="7">
        <v>1413</v>
      </c>
      <c r="D206" s="7">
        <v>19080</v>
      </c>
    </row>
    <row r="207" spans="1:4" ht="17.25" x14ac:dyDescent="0.35">
      <c r="A207" s="5" t="s">
        <v>407</v>
      </c>
      <c r="B207" s="7">
        <v>13880</v>
      </c>
      <c r="C207" s="7">
        <v>6328</v>
      </c>
      <c r="D207" s="7">
        <v>11300</v>
      </c>
    </row>
    <row r="208" spans="1:4" ht="17.25" x14ac:dyDescent="0.35">
      <c r="A208" s="5" t="s">
        <v>409</v>
      </c>
      <c r="B208" s="7">
        <v>13572</v>
      </c>
      <c r="C208" s="7">
        <v>1154</v>
      </c>
      <c r="D208" s="7">
        <v>9312</v>
      </c>
    </row>
    <row r="209" spans="1:4" ht="17.25" x14ac:dyDescent="0.35">
      <c r="A209" s="5" t="s">
        <v>411</v>
      </c>
      <c r="B209" s="7">
        <v>13545</v>
      </c>
      <c r="C209" s="7">
        <v>1002</v>
      </c>
      <c r="D209" s="7">
        <v>47145</v>
      </c>
    </row>
    <row r="210" spans="1:4" ht="17.25" x14ac:dyDescent="0.35">
      <c r="A210" s="5" t="s">
        <v>412</v>
      </c>
      <c r="B210" s="7">
        <v>13525</v>
      </c>
      <c r="C210" s="7">
        <v>614</v>
      </c>
      <c r="D210" s="7">
        <v>33577</v>
      </c>
    </row>
    <row r="211" spans="1:4" ht="17.25" x14ac:dyDescent="0.35">
      <c r="A211" s="5" t="s">
        <v>414</v>
      </c>
      <c r="B211" s="7">
        <v>13476</v>
      </c>
      <c r="C211" s="7">
        <v>510</v>
      </c>
      <c r="D211" s="7">
        <v>13159</v>
      </c>
    </row>
    <row r="212" spans="1:4" ht="17.25" x14ac:dyDescent="0.35">
      <c r="A212" s="5" t="s">
        <v>416</v>
      </c>
      <c r="B212" s="7">
        <v>13423</v>
      </c>
      <c r="C212" s="7">
        <v>697</v>
      </c>
      <c r="D212" s="7">
        <v>35000</v>
      </c>
    </row>
    <row r="213" spans="1:4" ht="17.25" x14ac:dyDescent="0.35">
      <c r="A213" s="5" t="s">
        <v>418</v>
      </c>
      <c r="B213" s="7">
        <v>13415</v>
      </c>
      <c r="C213" s="7">
        <v>260</v>
      </c>
      <c r="D213" s="7">
        <v>16700</v>
      </c>
    </row>
    <row r="214" spans="1:4" ht="17.25" x14ac:dyDescent="0.35">
      <c r="A214" s="5" t="s">
        <v>419</v>
      </c>
      <c r="B214" s="7">
        <v>13405</v>
      </c>
      <c r="C214" s="7">
        <v>1899</v>
      </c>
      <c r="D214" s="7">
        <v>48000</v>
      </c>
    </row>
    <row r="215" spans="1:4" ht="17.25" x14ac:dyDescent="0.35">
      <c r="A215" s="5" t="s">
        <v>421</v>
      </c>
      <c r="B215" s="7">
        <v>13338</v>
      </c>
      <c r="C215" s="7">
        <v>209</v>
      </c>
      <c r="D215" s="7">
        <v>78500</v>
      </c>
    </row>
    <row r="216" spans="1:4" ht="17.25" x14ac:dyDescent="0.35">
      <c r="A216" s="5" t="s">
        <v>423</v>
      </c>
      <c r="B216" s="7">
        <v>13268</v>
      </c>
      <c r="C216" s="7">
        <v>1922</v>
      </c>
      <c r="D216" s="7">
        <v>9445</v>
      </c>
    </row>
    <row r="217" spans="1:4" ht="17.25" x14ac:dyDescent="0.35">
      <c r="A217" s="5" t="s">
        <v>424</v>
      </c>
      <c r="B217" s="7">
        <v>13238</v>
      </c>
      <c r="C217" s="7">
        <v>740</v>
      </c>
      <c r="D217" s="7">
        <v>2704</v>
      </c>
    </row>
    <row r="218" spans="1:4" ht="17.25" x14ac:dyDescent="0.35">
      <c r="A218" s="5" t="s">
        <v>425</v>
      </c>
      <c r="B218" s="7">
        <v>13161</v>
      </c>
      <c r="C218" s="7">
        <v>308</v>
      </c>
      <c r="D218" s="7">
        <v>10000</v>
      </c>
    </row>
    <row r="219" spans="1:4" ht="17.25" x14ac:dyDescent="0.35">
      <c r="A219" s="5" t="s">
        <v>427</v>
      </c>
      <c r="B219" s="7">
        <v>13145</v>
      </c>
      <c r="C219" s="7">
        <v>-14454</v>
      </c>
      <c r="D219" s="7">
        <v>5167</v>
      </c>
    </row>
    <row r="220" spans="1:4" ht="17.25" x14ac:dyDescent="0.35">
      <c r="A220" s="5" t="s">
        <v>429</v>
      </c>
      <c r="B220" s="7">
        <v>13124</v>
      </c>
      <c r="C220" s="7">
        <v>146</v>
      </c>
      <c r="D220" s="7">
        <v>2270</v>
      </c>
    </row>
    <row r="221" spans="1:4" ht="17.25" x14ac:dyDescent="0.35">
      <c r="A221" s="5" t="s">
        <v>431</v>
      </c>
      <c r="B221" s="7">
        <v>13105</v>
      </c>
      <c r="C221" s="7">
        <v>1293</v>
      </c>
      <c r="D221" s="7">
        <v>505000</v>
      </c>
    </row>
    <row r="222" spans="1:4" ht="17.25" x14ac:dyDescent="0.35">
      <c r="A222" s="5" t="s">
        <v>432</v>
      </c>
      <c r="B222" s="7">
        <v>13000</v>
      </c>
      <c r="C222" s="7">
        <v>2986</v>
      </c>
      <c r="D222" s="7">
        <v>29977</v>
      </c>
    </row>
    <row r="223" spans="1:4" ht="17.25" x14ac:dyDescent="0.35">
      <c r="A223" s="5" t="s">
        <v>433</v>
      </c>
      <c r="B223" s="7">
        <v>12989</v>
      </c>
      <c r="C223" s="7">
        <v>403</v>
      </c>
      <c r="D223" s="7">
        <v>8465</v>
      </c>
    </row>
    <row r="224" spans="1:4" ht="17.25" x14ac:dyDescent="0.35">
      <c r="A224" s="5" t="s">
        <v>435</v>
      </c>
      <c r="B224" s="7">
        <v>12961</v>
      </c>
      <c r="C224" s="7">
        <v>753</v>
      </c>
      <c r="D224" s="7">
        <v>40600</v>
      </c>
    </row>
    <row r="225" spans="1:4" ht="17.25" x14ac:dyDescent="0.35">
      <c r="A225" s="5" t="s">
        <v>436</v>
      </c>
      <c r="B225" s="7">
        <v>12893</v>
      </c>
      <c r="C225" s="7">
        <v>1599</v>
      </c>
      <c r="D225" s="7">
        <v>60000</v>
      </c>
    </row>
    <row r="226" spans="1:4" ht="17.25" x14ac:dyDescent="0.35">
      <c r="A226" s="5" t="s">
        <v>437</v>
      </c>
      <c r="B226" s="7">
        <v>12764</v>
      </c>
      <c r="C226" s="7">
        <v>-14685</v>
      </c>
      <c r="D226" s="7">
        <v>4400</v>
      </c>
    </row>
    <row r="227" spans="1:4" ht="17.25" x14ac:dyDescent="0.35">
      <c r="A227" s="5" t="s">
        <v>438</v>
      </c>
      <c r="B227" s="7">
        <v>12712</v>
      </c>
      <c r="C227" s="7">
        <v>1012</v>
      </c>
      <c r="D227" s="7">
        <v>54750</v>
      </c>
    </row>
    <row r="228" spans="1:4" ht="17.25" x14ac:dyDescent="0.35">
      <c r="A228" s="5" t="s">
        <v>440</v>
      </c>
      <c r="B228" s="7">
        <v>12699</v>
      </c>
      <c r="C228" s="7">
        <v>-7829</v>
      </c>
      <c r="D228" s="7">
        <v>11100</v>
      </c>
    </row>
    <row r="229" spans="1:4" ht="17.25" x14ac:dyDescent="0.35">
      <c r="A229" s="5" t="s">
        <v>441</v>
      </c>
      <c r="B229" s="7">
        <v>12628</v>
      </c>
      <c r="C229" s="7">
        <v>411</v>
      </c>
      <c r="D229" s="7">
        <v>8000</v>
      </c>
    </row>
    <row r="230" spans="1:4" ht="17.25" x14ac:dyDescent="0.35">
      <c r="A230" s="5" t="s">
        <v>442</v>
      </c>
      <c r="B230" s="7">
        <v>12626</v>
      </c>
      <c r="C230" s="7">
        <v>-114</v>
      </c>
      <c r="D230" s="7">
        <v>13184</v>
      </c>
    </row>
    <row r="231" spans="1:4" ht="17.25" x14ac:dyDescent="0.35">
      <c r="A231" s="5" t="s">
        <v>443</v>
      </c>
      <c r="B231" s="7">
        <v>12625</v>
      </c>
      <c r="C231" s="7">
        <v>-513</v>
      </c>
      <c r="D231" s="7">
        <v>105000</v>
      </c>
    </row>
    <row r="232" spans="1:4" ht="17.25" x14ac:dyDescent="0.35">
      <c r="A232" s="5" t="s">
        <v>445</v>
      </c>
      <c r="B232" s="7">
        <v>12554</v>
      </c>
      <c r="C232" s="7">
        <v>1193</v>
      </c>
      <c r="D232" s="7">
        <v>14806</v>
      </c>
    </row>
    <row r="233" spans="1:4" ht="17.25" x14ac:dyDescent="0.35">
      <c r="A233" s="5" t="s">
        <v>446</v>
      </c>
      <c r="B233" s="7">
        <v>12416</v>
      </c>
      <c r="C233" s="7">
        <v>1624</v>
      </c>
      <c r="D233" s="7">
        <v>221700</v>
      </c>
    </row>
    <row r="234" spans="1:4" ht="17.25" x14ac:dyDescent="0.35">
      <c r="A234" s="5" t="s">
        <v>448</v>
      </c>
      <c r="B234" s="7">
        <v>12377</v>
      </c>
      <c r="C234" s="7">
        <v>1232</v>
      </c>
      <c r="D234" s="7">
        <v>64000</v>
      </c>
    </row>
    <row r="235" spans="1:4" ht="17.25" x14ac:dyDescent="0.35">
      <c r="A235" s="5" t="s">
        <v>450</v>
      </c>
      <c r="B235" s="7">
        <v>12200</v>
      </c>
      <c r="C235" s="7">
        <v>1562</v>
      </c>
      <c r="D235" s="7">
        <v>13000</v>
      </c>
    </row>
    <row r="236" spans="1:4" ht="17.25" x14ac:dyDescent="0.35">
      <c r="A236" s="5" t="s">
        <v>451</v>
      </c>
      <c r="B236" s="7">
        <v>12183</v>
      </c>
      <c r="C236" s="7">
        <v>-8</v>
      </c>
      <c r="D236" s="7">
        <v>70000</v>
      </c>
    </row>
    <row r="237" spans="1:4" ht="17.25" x14ac:dyDescent="0.35">
      <c r="A237" s="5" t="s">
        <v>452</v>
      </c>
      <c r="B237" s="7">
        <v>12154</v>
      </c>
      <c r="C237" s="7">
        <v>1253</v>
      </c>
      <c r="D237" s="7">
        <v>55400</v>
      </c>
    </row>
    <row r="238" spans="1:4" ht="17.25" x14ac:dyDescent="0.35">
      <c r="A238" s="5" t="s">
        <v>453</v>
      </c>
      <c r="B238" s="7">
        <v>12115</v>
      </c>
      <c r="C238" s="7">
        <v>303</v>
      </c>
      <c r="D238" s="7">
        <v>56950</v>
      </c>
    </row>
    <row r="239" spans="1:4" ht="17.25" x14ac:dyDescent="0.35">
      <c r="A239" s="5" t="s">
        <v>455</v>
      </c>
      <c r="B239" s="7">
        <v>11964</v>
      </c>
      <c r="C239" s="7">
        <v>1234</v>
      </c>
      <c r="D239" s="7">
        <v>14895</v>
      </c>
    </row>
    <row r="240" spans="1:4" ht="17.25" x14ac:dyDescent="0.35">
      <c r="A240" s="5" t="s">
        <v>457</v>
      </c>
      <c r="B240" s="7">
        <v>11940</v>
      </c>
      <c r="C240" s="7">
        <v>1021</v>
      </c>
      <c r="D240" s="7">
        <v>77800</v>
      </c>
    </row>
    <row r="241" spans="1:4" ht="17.25" x14ac:dyDescent="0.35">
      <c r="A241" s="5" t="s">
        <v>459</v>
      </c>
      <c r="B241" s="7">
        <v>11881</v>
      </c>
      <c r="C241" s="7">
        <v>958</v>
      </c>
      <c r="D241" s="7">
        <v>60000</v>
      </c>
    </row>
    <row r="242" spans="1:4" ht="17.25" x14ac:dyDescent="0.35">
      <c r="A242" s="5" t="s">
        <v>461</v>
      </c>
      <c r="B242" s="7">
        <v>11811</v>
      </c>
      <c r="C242" s="7">
        <v>1968</v>
      </c>
      <c r="D242" s="7">
        <v>29761</v>
      </c>
    </row>
    <row r="243" spans="1:4" ht="17.25" x14ac:dyDescent="0.35">
      <c r="A243" s="5" t="s">
        <v>463</v>
      </c>
      <c r="B243" s="7">
        <v>11802</v>
      </c>
      <c r="C243" s="7">
        <v>-130</v>
      </c>
      <c r="D243" s="7">
        <v>62000</v>
      </c>
    </row>
    <row r="244" spans="1:4" ht="17.25" x14ac:dyDescent="0.35">
      <c r="A244" s="5" t="s">
        <v>465</v>
      </c>
      <c r="B244" s="7">
        <v>11689</v>
      </c>
      <c r="C244" s="7">
        <v>1966</v>
      </c>
      <c r="D244" s="7">
        <v>46500</v>
      </c>
    </row>
    <row r="245" spans="1:4" ht="17.25" x14ac:dyDescent="0.35">
      <c r="A245" s="5" t="s">
        <v>467</v>
      </c>
      <c r="B245" s="7">
        <v>11684</v>
      </c>
      <c r="C245" s="7">
        <v>284</v>
      </c>
      <c r="D245" s="7">
        <v>13300</v>
      </c>
    </row>
    <row r="246" spans="1:4" ht="17.25" x14ac:dyDescent="0.35">
      <c r="A246" s="5" t="s">
        <v>468</v>
      </c>
      <c r="B246" s="7">
        <v>11683</v>
      </c>
      <c r="C246" s="7">
        <v>1899</v>
      </c>
      <c r="D246" s="7">
        <v>14700</v>
      </c>
    </row>
    <row r="247" spans="1:4" ht="17.25" x14ac:dyDescent="0.35">
      <c r="A247" s="5" t="s">
        <v>469</v>
      </c>
      <c r="B247" s="7">
        <v>11574</v>
      </c>
      <c r="C247" s="7">
        <v>-1642</v>
      </c>
      <c r="D247" s="7">
        <v>33200</v>
      </c>
    </row>
    <row r="248" spans="1:4" ht="17.25" x14ac:dyDescent="0.35">
      <c r="A248" s="5" t="s">
        <v>470</v>
      </c>
      <c r="B248" s="7">
        <v>11554</v>
      </c>
      <c r="C248" s="7">
        <v>-240</v>
      </c>
      <c r="D248" s="7">
        <v>38000</v>
      </c>
    </row>
    <row r="249" spans="1:4" ht="17.25" x14ac:dyDescent="0.35">
      <c r="A249" s="5" t="s">
        <v>471</v>
      </c>
      <c r="B249" s="7">
        <v>11524</v>
      </c>
      <c r="C249" s="7">
        <v>1020</v>
      </c>
      <c r="D249" s="7">
        <v>12768</v>
      </c>
    </row>
    <row r="250" spans="1:4" ht="17.25" x14ac:dyDescent="0.35">
      <c r="A250" s="5" t="s">
        <v>473</v>
      </c>
      <c r="B250" s="7">
        <v>11513</v>
      </c>
      <c r="C250" s="7">
        <v>-177</v>
      </c>
      <c r="D250" s="7">
        <v>13579</v>
      </c>
    </row>
    <row r="251" spans="1:4" ht="17.25" x14ac:dyDescent="0.35">
      <c r="A251" s="5" t="s">
        <v>475</v>
      </c>
      <c r="B251" s="7">
        <v>11477</v>
      </c>
      <c r="C251" s="7">
        <v>1453</v>
      </c>
      <c r="D251" s="7">
        <v>55000</v>
      </c>
    </row>
    <row r="252" spans="1:4" ht="17.25" x14ac:dyDescent="0.35">
      <c r="A252" s="5" t="s">
        <v>477</v>
      </c>
      <c r="B252" s="7">
        <v>11451</v>
      </c>
      <c r="C252" s="7">
        <v>-1481</v>
      </c>
      <c r="D252" s="7">
        <v>24000</v>
      </c>
    </row>
    <row r="253" spans="1:4" ht="17.25" x14ac:dyDescent="0.35">
      <c r="A253" s="5" t="s">
        <v>478</v>
      </c>
      <c r="B253" s="7">
        <v>11401</v>
      </c>
      <c r="C253" s="7">
        <v>3345</v>
      </c>
      <c r="D253" s="7">
        <v>13000</v>
      </c>
    </row>
    <row r="254" spans="1:4" ht="17.25" x14ac:dyDescent="0.35">
      <c r="A254" s="5" t="s">
        <v>480</v>
      </c>
      <c r="B254" s="7">
        <v>11381</v>
      </c>
      <c r="C254" s="7">
        <v>507</v>
      </c>
      <c r="D254" s="7">
        <v>41400</v>
      </c>
    </row>
    <row r="255" spans="1:4" ht="17.25" x14ac:dyDescent="0.35">
      <c r="A255" s="5" t="s">
        <v>773</v>
      </c>
      <c r="B255" s="7">
        <v>11348</v>
      </c>
      <c r="C255" s="7">
        <v>2124</v>
      </c>
      <c r="D255" s="7">
        <v>47832</v>
      </c>
    </row>
    <row r="256" spans="1:4" ht="17.25" x14ac:dyDescent="0.35">
      <c r="A256" s="5" t="s">
        <v>481</v>
      </c>
      <c r="B256" s="7">
        <v>11341</v>
      </c>
      <c r="C256" s="7">
        <v>408</v>
      </c>
      <c r="D256" s="7">
        <v>7000</v>
      </c>
    </row>
    <row r="257" spans="1:4" ht="17.25" x14ac:dyDescent="0.35">
      <c r="A257" s="5" t="s">
        <v>482</v>
      </c>
      <c r="B257" s="7">
        <v>11339</v>
      </c>
      <c r="C257" s="7">
        <v>1054</v>
      </c>
      <c r="D257" s="7">
        <v>40706</v>
      </c>
    </row>
    <row r="258" spans="1:4" ht="17.25" x14ac:dyDescent="0.35">
      <c r="A258" s="5" t="s">
        <v>483</v>
      </c>
      <c r="B258" s="7">
        <v>11272</v>
      </c>
      <c r="C258" s="7">
        <v>1404</v>
      </c>
      <c r="D258" s="7">
        <v>164000</v>
      </c>
    </row>
    <row r="259" spans="1:4" ht="17.25" x14ac:dyDescent="0.35">
      <c r="A259" s="5" t="s">
        <v>484</v>
      </c>
      <c r="B259" s="7">
        <v>11257</v>
      </c>
      <c r="C259" s="7">
        <v>151</v>
      </c>
      <c r="D259" s="7">
        <v>68400</v>
      </c>
    </row>
    <row r="260" spans="1:4" ht="17.25" x14ac:dyDescent="0.35">
      <c r="A260" s="5" t="s">
        <v>486</v>
      </c>
      <c r="B260" s="7">
        <v>11211</v>
      </c>
      <c r="C260" s="7">
        <v>884</v>
      </c>
      <c r="D260" s="7">
        <v>51250</v>
      </c>
    </row>
    <row r="261" spans="1:4" ht="17.25" x14ac:dyDescent="0.35">
      <c r="A261" s="5" t="s">
        <v>489</v>
      </c>
      <c r="B261" s="7">
        <v>11025</v>
      </c>
      <c r="C261" s="7">
        <v>985</v>
      </c>
      <c r="D261" s="7">
        <v>11644</v>
      </c>
    </row>
    <row r="262" spans="1:4" ht="17.25" x14ac:dyDescent="0.35">
      <c r="A262" s="5" t="s">
        <v>490</v>
      </c>
      <c r="B262" s="7">
        <v>10885</v>
      </c>
      <c r="C262" s="7">
        <v>176</v>
      </c>
      <c r="D262" s="7">
        <v>7100</v>
      </c>
    </row>
    <row r="263" spans="1:4" ht="17.25" x14ac:dyDescent="0.35">
      <c r="A263" s="5" t="s">
        <v>492</v>
      </c>
      <c r="B263" s="7">
        <v>10856</v>
      </c>
      <c r="C263" s="7">
        <v>547</v>
      </c>
      <c r="D263" s="7">
        <v>70000</v>
      </c>
    </row>
    <row r="264" spans="1:4" ht="17.25" x14ac:dyDescent="0.35">
      <c r="A264" s="5" t="s">
        <v>494</v>
      </c>
      <c r="B264" s="7">
        <v>10824</v>
      </c>
      <c r="C264" s="7">
        <v>751</v>
      </c>
      <c r="D264" s="7">
        <v>6230</v>
      </c>
    </row>
    <row r="265" spans="1:4" ht="17.25" x14ac:dyDescent="0.35">
      <c r="A265" s="5" t="s">
        <v>496</v>
      </c>
      <c r="B265" s="7">
        <v>10780</v>
      </c>
      <c r="C265" s="7">
        <v>1089</v>
      </c>
      <c r="D265" s="7">
        <v>44000</v>
      </c>
    </row>
    <row r="266" spans="1:4" ht="17.25" x14ac:dyDescent="0.35">
      <c r="A266" s="5" t="s">
        <v>497</v>
      </c>
      <c r="B266" s="7">
        <v>10776</v>
      </c>
      <c r="C266" s="7">
        <v>1547</v>
      </c>
      <c r="D266" s="7">
        <v>26657</v>
      </c>
    </row>
    <row r="267" spans="1:4" ht="17.25" x14ac:dyDescent="0.35">
      <c r="A267" s="5" t="s">
        <v>802</v>
      </c>
      <c r="B267" s="7">
        <v>10774</v>
      </c>
      <c r="C267" s="7">
        <v>1116</v>
      </c>
      <c r="D267" s="7">
        <v>480</v>
      </c>
    </row>
    <row r="268" spans="1:4" ht="17.25" x14ac:dyDescent="0.35">
      <c r="A268" s="5" t="s">
        <v>499</v>
      </c>
      <c r="B268" s="7">
        <v>10764</v>
      </c>
      <c r="C268" s="7">
        <v>3547</v>
      </c>
      <c r="D268" s="7">
        <v>7350</v>
      </c>
    </row>
    <row r="269" spans="1:4" ht="17.25" x14ac:dyDescent="0.35">
      <c r="A269" s="5" t="s">
        <v>501</v>
      </c>
      <c r="B269" s="7">
        <v>10760</v>
      </c>
      <c r="C269" s="7">
        <v>1980</v>
      </c>
      <c r="D269" s="7">
        <v>32356</v>
      </c>
    </row>
    <row r="270" spans="1:4" ht="17.25" x14ac:dyDescent="0.35">
      <c r="A270" s="5" t="s">
        <v>502</v>
      </c>
      <c r="B270" s="7">
        <v>10731</v>
      </c>
      <c r="C270" s="7">
        <v>867</v>
      </c>
      <c r="D270" s="7">
        <v>9400</v>
      </c>
    </row>
    <row r="271" spans="1:4" ht="17.25" x14ac:dyDescent="0.35">
      <c r="A271" s="5" t="s">
        <v>504</v>
      </c>
      <c r="B271" s="7">
        <v>10675</v>
      </c>
      <c r="C271" s="7">
        <v>3253</v>
      </c>
      <c r="D271" s="7">
        <v>5650</v>
      </c>
    </row>
    <row r="272" spans="1:4" ht="17.25" x14ac:dyDescent="0.35">
      <c r="A272" s="5" t="s">
        <v>506</v>
      </c>
      <c r="B272" s="7">
        <v>10633</v>
      </c>
      <c r="C272" s="7">
        <v>94</v>
      </c>
      <c r="D272" s="7">
        <v>12886</v>
      </c>
    </row>
    <row r="273" spans="1:4" ht="17.25" x14ac:dyDescent="0.35">
      <c r="A273" s="5" t="s">
        <v>507</v>
      </c>
      <c r="B273" s="7">
        <v>10630</v>
      </c>
      <c r="C273" s="7">
        <v>479</v>
      </c>
      <c r="D273" s="7">
        <v>19000</v>
      </c>
    </row>
    <row r="274" spans="1:4" ht="17.25" x14ac:dyDescent="0.35">
      <c r="A274" s="5" t="s">
        <v>509</v>
      </c>
      <c r="B274" s="7">
        <v>10535</v>
      </c>
      <c r="C274" s="7">
        <v>273</v>
      </c>
      <c r="D274" s="7">
        <v>30000</v>
      </c>
    </row>
    <row r="275" spans="1:4" ht="17.25" x14ac:dyDescent="0.35">
      <c r="A275" s="5" t="s">
        <v>511</v>
      </c>
      <c r="B275" s="7">
        <v>10511</v>
      </c>
      <c r="C275" s="7">
        <v>1556</v>
      </c>
      <c r="D275" s="7">
        <v>30456</v>
      </c>
    </row>
    <row r="276" spans="1:4" ht="17.25" x14ac:dyDescent="0.35">
      <c r="A276" s="5" t="s">
        <v>513</v>
      </c>
      <c r="B276" s="7">
        <v>10418</v>
      </c>
      <c r="C276" s="7">
        <v>502</v>
      </c>
      <c r="D276" s="7">
        <v>2201</v>
      </c>
    </row>
    <row r="277" spans="1:4" ht="17.25" x14ac:dyDescent="0.35">
      <c r="A277" s="5" t="s">
        <v>515</v>
      </c>
      <c r="B277" s="7">
        <v>10415</v>
      </c>
      <c r="C277" s="7">
        <v>1679</v>
      </c>
      <c r="D277" s="7">
        <v>13025</v>
      </c>
    </row>
    <row r="278" spans="1:4" ht="17.25" x14ac:dyDescent="0.35">
      <c r="A278" s="5" t="s">
        <v>516</v>
      </c>
      <c r="B278" s="7">
        <v>10346</v>
      </c>
      <c r="C278" s="7">
        <v>2084</v>
      </c>
      <c r="D278" s="7">
        <v>37200</v>
      </c>
    </row>
    <row r="279" spans="1:4" ht="17.25" x14ac:dyDescent="0.35">
      <c r="A279" s="5" t="s">
        <v>517</v>
      </c>
      <c r="B279" s="7">
        <v>10337</v>
      </c>
      <c r="C279" s="7">
        <v>727</v>
      </c>
      <c r="D279" s="7">
        <v>10000</v>
      </c>
    </row>
    <row r="280" spans="1:4" ht="17.25" x14ac:dyDescent="0.35">
      <c r="A280" s="5" t="s">
        <v>518</v>
      </c>
      <c r="B280" s="7">
        <v>10326</v>
      </c>
      <c r="C280" s="7">
        <v>142</v>
      </c>
      <c r="D280" s="7">
        <v>14861</v>
      </c>
    </row>
    <row r="281" spans="1:4" ht="17.25" x14ac:dyDescent="0.35">
      <c r="A281" s="5" t="s">
        <v>519</v>
      </c>
      <c r="B281" s="7">
        <v>10315</v>
      </c>
      <c r="C281" s="7">
        <v>44</v>
      </c>
      <c r="D281" s="7">
        <v>1890</v>
      </c>
    </row>
    <row r="282" spans="1:4" ht="17.25" x14ac:dyDescent="0.35">
      <c r="A282" s="5" t="s">
        <v>520</v>
      </c>
      <c r="B282" s="7">
        <v>10299</v>
      </c>
      <c r="C282" s="7">
        <v>93</v>
      </c>
      <c r="D282" s="7">
        <v>15000</v>
      </c>
    </row>
    <row r="283" spans="1:4" ht="17.25" x14ac:dyDescent="0.35">
      <c r="A283" s="5" t="s">
        <v>522</v>
      </c>
      <c r="B283" s="7">
        <v>10282</v>
      </c>
      <c r="C283" s="7">
        <v>695</v>
      </c>
      <c r="D283" s="7">
        <v>49517</v>
      </c>
    </row>
    <row r="284" spans="1:4" ht="17.25" x14ac:dyDescent="0.35">
      <c r="A284" s="5" t="s">
        <v>524</v>
      </c>
      <c r="B284" s="7">
        <v>10231</v>
      </c>
      <c r="C284" s="7">
        <v>1349</v>
      </c>
      <c r="D284" s="7">
        <v>17387</v>
      </c>
    </row>
    <row r="285" spans="1:4" ht="17.25" x14ac:dyDescent="0.35">
      <c r="A285" s="5" t="s">
        <v>525</v>
      </c>
      <c r="B285" s="7">
        <v>10187</v>
      </c>
      <c r="C285" s="7">
        <v>1160</v>
      </c>
      <c r="D285" s="7">
        <v>63990</v>
      </c>
    </row>
    <row r="286" spans="1:4" ht="17.25" x14ac:dyDescent="0.35">
      <c r="A286" s="5" t="s">
        <v>526</v>
      </c>
      <c r="B286" s="7">
        <v>10140</v>
      </c>
      <c r="C286" s="7">
        <v>-184</v>
      </c>
      <c r="D286" s="7">
        <v>13800</v>
      </c>
    </row>
    <row r="287" spans="1:4" ht="17.25" x14ac:dyDescent="0.35">
      <c r="A287" s="5" t="s">
        <v>528</v>
      </c>
      <c r="B287" s="7">
        <v>10056</v>
      </c>
      <c r="C287" s="7">
        <v>1530</v>
      </c>
      <c r="D287" s="7">
        <v>30106</v>
      </c>
    </row>
    <row r="288" spans="1:4" ht="17.25" x14ac:dyDescent="0.35">
      <c r="A288" s="5" t="s">
        <v>530</v>
      </c>
      <c r="B288" s="7">
        <v>10002</v>
      </c>
      <c r="C288" s="7">
        <v>2297</v>
      </c>
      <c r="D288" s="7">
        <v>15036</v>
      </c>
    </row>
    <row r="289" spans="1:4" ht="17.25" x14ac:dyDescent="0.35">
      <c r="A289" s="5" t="s">
        <v>532</v>
      </c>
      <c r="B289" s="7">
        <v>9989</v>
      </c>
      <c r="C289" s="7">
        <v>869</v>
      </c>
      <c r="D289" s="7">
        <v>22080</v>
      </c>
    </row>
    <row r="290" spans="1:4" ht="17.25" x14ac:dyDescent="0.35">
      <c r="A290" s="5" t="s">
        <v>533</v>
      </c>
      <c r="B290" s="7">
        <v>9973</v>
      </c>
      <c r="C290" s="7">
        <v>769</v>
      </c>
      <c r="D290" s="7">
        <v>25100</v>
      </c>
    </row>
    <row r="291" spans="1:4" ht="17.25" x14ac:dyDescent="0.35">
      <c r="A291" s="5" t="s">
        <v>535</v>
      </c>
      <c r="B291" s="7">
        <v>9968</v>
      </c>
      <c r="C291" s="7">
        <v>968</v>
      </c>
      <c r="D291" s="7">
        <v>49400</v>
      </c>
    </row>
    <row r="292" spans="1:4" ht="17.25" x14ac:dyDescent="0.35">
      <c r="A292" s="5" t="s">
        <v>536</v>
      </c>
      <c r="B292" s="7">
        <v>9946</v>
      </c>
      <c r="C292" s="7">
        <v>1439</v>
      </c>
      <c r="D292" s="7">
        <v>27000</v>
      </c>
    </row>
    <row r="293" spans="1:4" ht="17.25" x14ac:dyDescent="0.35">
      <c r="A293" s="5" t="s">
        <v>538</v>
      </c>
      <c r="B293" s="7">
        <v>9895</v>
      </c>
      <c r="C293" s="7">
        <v>1278</v>
      </c>
      <c r="D293" s="7">
        <v>19550</v>
      </c>
    </row>
    <row r="294" spans="1:4" ht="17.25" x14ac:dyDescent="0.35">
      <c r="A294" s="5" t="s">
        <v>540</v>
      </c>
      <c r="B294" s="7">
        <v>9787</v>
      </c>
      <c r="C294" s="7">
        <v>407</v>
      </c>
      <c r="D294" s="7">
        <v>7347</v>
      </c>
    </row>
    <row r="295" spans="1:4" ht="17.25" x14ac:dyDescent="0.35">
      <c r="A295" s="5" t="s">
        <v>542</v>
      </c>
      <c r="B295" s="7">
        <v>9785</v>
      </c>
      <c r="C295" s="7">
        <v>681</v>
      </c>
      <c r="D295" s="7">
        <v>64500</v>
      </c>
    </row>
    <row r="296" spans="1:4" ht="17.25" x14ac:dyDescent="0.35">
      <c r="A296" s="5" t="s">
        <v>544</v>
      </c>
      <c r="B296" s="7">
        <v>9773</v>
      </c>
      <c r="C296" s="7">
        <v>103</v>
      </c>
      <c r="D296" s="7">
        <v>8100</v>
      </c>
    </row>
    <row r="297" spans="1:4" ht="17.25" x14ac:dyDescent="0.35">
      <c r="A297" s="5" t="s">
        <v>546</v>
      </c>
      <c r="B297" s="7">
        <v>9754</v>
      </c>
      <c r="C297" s="7">
        <v>-271</v>
      </c>
      <c r="D297" s="7">
        <v>23800</v>
      </c>
    </row>
    <row r="298" spans="1:4" ht="17.25" x14ac:dyDescent="0.35">
      <c r="A298" s="5" t="s">
        <v>548</v>
      </c>
      <c r="B298" s="7">
        <v>9737</v>
      </c>
      <c r="C298" s="7">
        <v>473</v>
      </c>
      <c r="D298" s="7">
        <v>56500</v>
      </c>
    </row>
    <row r="299" spans="1:4" ht="17.25" x14ac:dyDescent="0.35">
      <c r="A299" s="5" t="s">
        <v>550</v>
      </c>
      <c r="B299" s="7">
        <v>9667</v>
      </c>
      <c r="C299" s="7">
        <v>3808</v>
      </c>
      <c r="D299" s="7">
        <v>11300</v>
      </c>
    </row>
    <row r="300" spans="1:4" ht="17.25" x14ac:dyDescent="0.35">
      <c r="A300" s="5" t="s">
        <v>551</v>
      </c>
      <c r="B300" s="7">
        <v>9659</v>
      </c>
      <c r="C300" s="7">
        <v>1377</v>
      </c>
      <c r="D300" s="7">
        <v>15050</v>
      </c>
    </row>
    <row r="301" spans="1:4" ht="17.25" x14ac:dyDescent="0.35">
      <c r="A301" s="5" t="s">
        <v>552</v>
      </c>
      <c r="B301" s="7">
        <v>9648</v>
      </c>
      <c r="C301" s="7">
        <v>848</v>
      </c>
      <c r="D301" s="7">
        <v>15000</v>
      </c>
    </row>
    <row r="302" spans="1:4" ht="17.25" x14ac:dyDescent="0.35">
      <c r="A302" s="5" t="s">
        <v>554</v>
      </c>
      <c r="B302" s="7">
        <v>9624</v>
      </c>
      <c r="C302" s="7">
        <v>86</v>
      </c>
      <c r="D302" s="7">
        <v>9800</v>
      </c>
    </row>
    <row r="303" spans="1:4" ht="17.25" x14ac:dyDescent="0.35">
      <c r="A303" s="5" t="s">
        <v>555</v>
      </c>
      <c r="B303" s="7">
        <v>9539</v>
      </c>
      <c r="C303" s="7">
        <v>1289</v>
      </c>
      <c r="D303" s="7">
        <v>7100</v>
      </c>
    </row>
    <row r="304" spans="1:4" ht="17.25" x14ac:dyDescent="0.35">
      <c r="A304" s="5" t="s">
        <v>556</v>
      </c>
      <c r="B304" s="7">
        <v>9499</v>
      </c>
      <c r="C304" s="7">
        <v>149</v>
      </c>
      <c r="D304" s="7">
        <v>12761</v>
      </c>
    </row>
    <row r="305" spans="1:4" ht="17.25" x14ac:dyDescent="0.35">
      <c r="A305" s="5" t="s">
        <v>557</v>
      </c>
      <c r="B305" s="7">
        <v>9496</v>
      </c>
      <c r="C305" s="7">
        <v>1725</v>
      </c>
      <c r="D305" s="7">
        <v>11600</v>
      </c>
    </row>
    <row r="306" spans="1:4" ht="17.25" x14ac:dyDescent="0.35">
      <c r="A306" s="5" t="s">
        <v>558</v>
      </c>
      <c r="B306" s="7">
        <v>9474</v>
      </c>
      <c r="C306" s="7">
        <v>803</v>
      </c>
      <c r="D306" s="7">
        <v>7749</v>
      </c>
    </row>
    <row r="307" spans="1:4" ht="17.25" x14ac:dyDescent="0.35">
      <c r="A307" s="5" t="s">
        <v>559</v>
      </c>
      <c r="B307" s="7">
        <v>9364</v>
      </c>
      <c r="C307" s="7">
        <v>403</v>
      </c>
      <c r="D307" s="7">
        <v>40600</v>
      </c>
    </row>
    <row r="308" spans="1:4" ht="17.25" x14ac:dyDescent="0.35">
      <c r="A308" s="5" t="s">
        <v>561</v>
      </c>
      <c r="B308" s="7">
        <v>9351</v>
      </c>
      <c r="C308" s="7">
        <v>312</v>
      </c>
      <c r="D308" s="7">
        <v>13400</v>
      </c>
    </row>
    <row r="309" spans="1:4" ht="17.25" x14ac:dyDescent="0.35">
      <c r="A309" s="5" t="s">
        <v>562</v>
      </c>
      <c r="B309" s="7">
        <v>9264</v>
      </c>
      <c r="C309" s="7">
        <v>686</v>
      </c>
      <c r="D309" s="7">
        <v>20700</v>
      </c>
    </row>
    <row r="310" spans="1:4" ht="17.25" x14ac:dyDescent="0.35">
      <c r="A310" s="5" t="s">
        <v>564</v>
      </c>
      <c r="B310" s="7">
        <v>9256</v>
      </c>
      <c r="C310" s="7">
        <v>1602</v>
      </c>
      <c r="D310" s="7">
        <v>6971</v>
      </c>
    </row>
    <row r="311" spans="1:4" ht="17.25" x14ac:dyDescent="0.35">
      <c r="A311" s="5" t="s">
        <v>566</v>
      </c>
      <c r="B311" s="7">
        <v>9249</v>
      </c>
      <c r="C311" s="7">
        <v>-615</v>
      </c>
      <c r="D311" s="7">
        <v>4100</v>
      </c>
    </row>
    <row r="312" spans="1:4" ht="17.25" x14ac:dyDescent="0.35">
      <c r="A312" s="5" t="s">
        <v>567</v>
      </c>
      <c r="B312" s="7">
        <v>9248</v>
      </c>
      <c r="C312" s="7">
        <v>1228</v>
      </c>
      <c r="D312" s="7">
        <v>16800</v>
      </c>
    </row>
    <row r="313" spans="1:4" ht="17.25" x14ac:dyDescent="0.35">
      <c r="A313" s="5" t="s">
        <v>568</v>
      </c>
      <c r="B313" s="7">
        <v>9224</v>
      </c>
      <c r="C313" s="7">
        <v>2551</v>
      </c>
      <c r="D313" s="7">
        <v>15500</v>
      </c>
    </row>
    <row r="314" spans="1:4" ht="17.25" x14ac:dyDescent="0.35">
      <c r="A314" s="5" t="s">
        <v>569</v>
      </c>
      <c r="B314" s="7">
        <v>9190</v>
      </c>
      <c r="C314" s="7">
        <v>-448</v>
      </c>
      <c r="D314" s="7">
        <v>57950</v>
      </c>
    </row>
    <row r="315" spans="1:4" ht="17.25" x14ac:dyDescent="0.35">
      <c r="A315" s="5" t="s">
        <v>570</v>
      </c>
      <c r="B315" s="7">
        <v>9170</v>
      </c>
      <c r="C315" s="7">
        <v>457</v>
      </c>
      <c r="D315" s="7">
        <v>59350</v>
      </c>
    </row>
    <row r="316" spans="1:4" ht="17.25" x14ac:dyDescent="0.35">
      <c r="A316" s="5" t="s">
        <v>572</v>
      </c>
      <c r="B316" s="7">
        <v>9132</v>
      </c>
      <c r="C316" s="7">
        <v>527</v>
      </c>
      <c r="D316" s="7">
        <v>54091</v>
      </c>
    </row>
    <row r="317" spans="1:4" ht="17.25" x14ac:dyDescent="0.35">
      <c r="A317" s="5" t="s">
        <v>573</v>
      </c>
      <c r="B317" s="7">
        <v>9115</v>
      </c>
      <c r="C317" s="7">
        <v>750</v>
      </c>
      <c r="D317" s="7">
        <v>33000</v>
      </c>
    </row>
    <row r="318" spans="1:4" ht="17.25" x14ac:dyDescent="0.35">
      <c r="A318" s="5" t="s">
        <v>574</v>
      </c>
      <c r="B318" s="7">
        <v>9111</v>
      </c>
      <c r="C318" s="7">
        <v>1339</v>
      </c>
      <c r="D318" s="7">
        <v>35700</v>
      </c>
    </row>
    <row r="319" spans="1:4" ht="17.25" x14ac:dyDescent="0.35">
      <c r="A319" s="5" t="s">
        <v>576</v>
      </c>
      <c r="B319" s="7">
        <v>8992</v>
      </c>
      <c r="C319" s="7">
        <v>251</v>
      </c>
      <c r="D319" s="7">
        <v>22000</v>
      </c>
    </row>
    <row r="320" spans="1:4" ht="17.25" x14ac:dyDescent="0.35">
      <c r="A320" s="5" t="s">
        <v>577</v>
      </c>
      <c r="B320" s="7">
        <v>8982</v>
      </c>
      <c r="C320" s="7">
        <v>17</v>
      </c>
      <c r="D320" s="7">
        <v>9200</v>
      </c>
    </row>
    <row r="321" spans="1:4" ht="17.25" x14ac:dyDescent="0.35">
      <c r="A321" s="5" t="s">
        <v>579</v>
      </c>
      <c r="B321" s="7">
        <v>8895</v>
      </c>
      <c r="C321" s="7">
        <v>1000</v>
      </c>
      <c r="D321" s="7">
        <v>8900</v>
      </c>
    </row>
    <row r="322" spans="1:4" ht="17.25" x14ac:dyDescent="0.35">
      <c r="A322" s="5" t="s">
        <v>581</v>
      </c>
      <c r="B322" s="7">
        <v>8858</v>
      </c>
      <c r="C322" s="7">
        <v>52</v>
      </c>
      <c r="D322" s="7">
        <v>6655</v>
      </c>
    </row>
    <row r="323" spans="1:4" ht="17.25" x14ac:dyDescent="0.35">
      <c r="A323" s="5" t="s">
        <v>583</v>
      </c>
      <c r="B323" s="7">
        <v>8789</v>
      </c>
      <c r="C323" s="7">
        <v>769</v>
      </c>
      <c r="D323" s="7">
        <v>3104</v>
      </c>
    </row>
    <row r="324" spans="1:4" ht="17.25" x14ac:dyDescent="0.35">
      <c r="A324" s="5" t="s">
        <v>584</v>
      </c>
      <c r="B324" s="7">
        <v>8782</v>
      </c>
      <c r="C324" s="7">
        <v>501</v>
      </c>
      <c r="D324" s="7">
        <v>23000</v>
      </c>
    </row>
    <row r="325" spans="1:4" ht="17.25" x14ac:dyDescent="0.35">
      <c r="A325" s="5" t="s">
        <v>585</v>
      </c>
      <c r="B325" s="7">
        <v>8779</v>
      </c>
      <c r="C325" s="7">
        <v>1472</v>
      </c>
      <c r="D325" s="7">
        <v>14000</v>
      </c>
    </row>
    <row r="326" spans="1:4" ht="17.25" x14ac:dyDescent="0.35">
      <c r="A326" s="5" t="s">
        <v>586</v>
      </c>
      <c r="B326" s="7">
        <v>8762</v>
      </c>
      <c r="C326" s="7">
        <v>393</v>
      </c>
      <c r="D326" s="7">
        <v>24000</v>
      </c>
    </row>
    <row r="327" spans="1:4" ht="17.25" x14ac:dyDescent="0.35">
      <c r="A327" s="5" t="s">
        <v>587</v>
      </c>
      <c r="B327" s="7">
        <v>8757</v>
      </c>
      <c r="C327" s="7">
        <v>-4525</v>
      </c>
      <c r="D327" s="7">
        <v>2760</v>
      </c>
    </row>
    <row r="328" spans="1:4" ht="17.25" x14ac:dyDescent="0.35">
      <c r="A328" s="5" t="s">
        <v>588</v>
      </c>
      <c r="B328" s="7">
        <v>8718</v>
      </c>
      <c r="C328" s="7">
        <v>27</v>
      </c>
      <c r="D328" s="7">
        <v>8800</v>
      </c>
    </row>
    <row r="329" spans="1:4" ht="17.25" x14ac:dyDescent="0.35">
      <c r="A329" s="5" t="s">
        <v>589</v>
      </c>
      <c r="B329" s="7">
        <v>8698</v>
      </c>
      <c r="C329" s="7">
        <v>-6692</v>
      </c>
      <c r="D329" s="7">
        <v>5800</v>
      </c>
    </row>
    <row r="330" spans="1:4" ht="17.25" x14ac:dyDescent="0.35">
      <c r="A330" s="5" t="s">
        <v>590</v>
      </c>
      <c r="B330" s="7">
        <v>8680</v>
      </c>
      <c r="C330" s="7">
        <v>437</v>
      </c>
      <c r="D330" s="7">
        <v>50000</v>
      </c>
    </row>
    <row r="331" spans="1:4" ht="17.25" x14ac:dyDescent="0.35">
      <c r="A331" s="5" t="s">
        <v>592</v>
      </c>
      <c r="B331" s="7">
        <v>8642</v>
      </c>
      <c r="C331" s="7">
        <v>661</v>
      </c>
      <c r="D331" s="7">
        <v>3276</v>
      </c>
    </row>
    <row r="332" spans="1:4" ht="17.25" x14ac:dyDescent="0.35">
      <c r="A332" s="5" t="s">
        <v>594</v>
      </c>
      <c r="B332" s="7">
        <v>8633</v>
      </c>
      <c r="C332" s="7">
        <v>-147</v>
      </c>
      <c r="D332" s="7">
        <v>25000</v>
      </c>
    </row>
    <row r="333" spans="1:4" ht="17.25" x14ac:dyDescent="0.35">
      <c r="A333" s="5" t="s">
        <v>595</v>
      </c>
      <c r="B333" s="7">
        <v>8604</v>
      </c>
      <c r="C333" s="7">
        <v>147</v>
      </c>
      <c r="D333" s="7">
        <v>40000</v>
      </c>
    </row>
    <row r="334" spans="1:4" ht="17.25" x14ac:dyDescent="0.35">
      <c r="A334" s="5" t="s">
        <v>596</v>
      </c>
      <c r="B334" s="7">
        <v>8533</v>
      </c>
      <c r="C334" s="7">
        <v>1933</v>
      </c>
      <c r="D334" s="7">
        <v>24043</v>
      </c>
    </row>
    <row r="335" spans="1:4" ht="17.25" x14ac:dyDescent="0.35">
      <c r="A335" s="5" t="s">
        <v>597</v>
      </c>
      <c r="B335" s="7">
        <v>8502</v>
      </c>
      <c r="C335" s="7">
        <v>313</v>
      </c>
      <c r="D335" s="7">
        <v>26350</v>
      </c>
    </row>
    <row r="336" spans="1:4" ht="17.25" x14ac:dyDescent="0.35">
      <c r="A336" s="5" t="s">
        <v>598</v>
      </c>
      <c r="B336" s="7">
        <v>8394</v>
      </c>
      <c r="C336" s="7">
        <v>978</v>
      </c>
      <c r="D336" s="7">
        <v>9950</v>
      </c>
    </row>
    <row r="337" spans="1:4" ht="17.25" x14ac:dyDescent="0.35">
      <c r="A337" s="5" t="s">
        <v>599</v>
      </c>
      <c r="B337" s="7">
        <v>8286</v>
      </c>
      <c r="C337" s="7">
        <v>694</v>
      </c>
      <c r="D337" s="7">
        <v>9843</v>
      </c>
    </row>
    <row r="338" spans="1:4" ht="17.25" x14ac:dyDescent="0.35">
      <c r="A338" s="5" t="s">
        <v>601</v>
      </c>
      <c r="B338" s="7">
        <v>8229</v>
      </c>
      <c r="C338" s="7">
        <v>3433</v>
      </c>
      <c r="D338" s="7">
        <v>12500</v>
      </c>
    </row>
    <row r="339" spans="1:4" ht="17.25" x14ac:dyDescent="0.35">
      <c r="A339" s="5" t="s">
        <v>603</v>
      </c>
      <c r="B339" s="7">
        <v>8209</v>
      </c>
      <c r="C339" s="7">
        <v>247</v>
      </c>
      <c r="D339" s="7">
        <v>30000</v>
      </c>
    </row>
    <row r="340" spans="1:4" ht="17.25" x14ac:dyDescent="0.35">
      <c r="A340" s="5" t="s">
        <v>604</v>
      </c>
      <c r="B340" s="7">
        <v>8185</v>
      </c>
      <c r="C340" s="7">
        <v>139</v>
      </c>
      <c r="D340" s="7">
        <v>8700</v>
      </c>
    </row>
    <row r="341" spans="1:4" ht="17.25" x14ac:dyDescent="0.35">
      <c r="A341" s="5" t="s">
        <v>605</v>
      </c>
      <c r="B341" s="7">
        <v>8122</v>
      </c>
      <c r="C341" s="7">
        <v>-9</v>
      </c>
      <c r="D341" s="7">
        <v>16960</v>
      </c>
    </row>
    <row r="342" spans="1:4" ht="17.25" x14ac:dyDescent="0.35">
      <c r="A342" s="5" t="s">
        <v>606</v>
      </c>
      <c r="B342" s="7">
        <v>8082</v>
      </c>
      <c r="C342" s="7">
        <v>691</v>
      </c>
      <c r="D342" s="7">
        <v>18600</v>
      </c>
    </row>
    <row r="343" spans="1:4" ht="17.25" x14ac:dyDescent="0.35">
      <c r="A343" s="5" t="s">
        <v>608</v>
      </c>
      <c r="B343" s="7">
        <v>8072</v>
      </c>
      <c r="C343" s="7">
        <v>615</v>
      </c>
      <c r="D343" s="7">
        <v>34100</v>
      </c>
    </row>
    <row r="344" spans="1:4" ht="17.25" x14ac:dyDescent="0.35">
      <c r="A344" s="5" t="s">
        <v>610</v>
      </c>
      <c r="B344" s="7">
        <v>8023</v>
      </c>
      <c r="C344" s="7">
        <v>610</v>
      </c>
      <c r="D344" s="7">
        <v>30000</v>
      </c>
    </row>
    <row r="345" spans="1:4" ht="17.25" x14ac:dyDescent="0.35">
      <c r="A345" s="5" t="s">
        <v>611</v>
      </c>
      <c r="B345" s="7">
        <v>8020</v>
      </c>
      <c r="C345" s="7">
        <v>572</v>
      </c>
      <c r="D345" s="7">
        <v>26200</v>
      </c>
    </row>
    <row r="346" spans="1:4" ht="17.25" x14ac:dyDescent="0.35">
      <c r="A346" s="5" t="s">
        <v>612</v>
      </c>
      <c r="B346" s="7">
        <v>7997</v>
      </c>
      <c r="C346" s="7">
        <v>281</v>
      </c>
      <c r="D346" s="7">
        <v>15200</v>
      </c>
    </row>
    <row r="347" spans="1:4" ht="17.25" x14ac:dyDescent="0.35">
      <c r="A347" s="5" t="s">
        <v>613</v>
      </c>
      <c r="B347" s="7">
        <v>7967</v>
      </c>
      <c r="C347" s="7">
        <v>931</v>
      </c>
      <c r="D347" s="7">
        <v>54911</v>
      </c>
    </row>
    <row r="348" spans="1:4" ht="17.25" x14ac:dyDescent="0.35">
      <c r="A348" s="5" t="s">
        <v>615</v>
      </c>
      <c r="B348" s="7">
        <v>7955</v>
      </c>
      <c r="C348" s="7">
        <v>879</v>
      </c>
      <c r="D348" s="7">
        <v>7943</v>
      </c>
    </row>
    <row r="349" spans="1:4" ht="17.25" x14ac:dyDescent="0.35">
      <c r="A349" s="5" t="s">
        <v>616</v>
      </c>
      <c r="B349" s="7">
        <v>7949</v>
      </c>
      <c r="C349" s="7">
        <v>2035</v>
      </c>
      <c r="D349" s="7">
        <v>9489</v>
      </c>
    </row>
    <row r="350" spans="1:4" ht="17.25" x14ac:dyDescent="0.35">
      <c r="A350" s="5" t="s">
        <v>618</v>
      </c>
      <c r="B350" s="7">
        <v>7904</v>
      </c>
      <c r="C350" s="7">
        <v>355</v>
      </c>
      <c r="D350" s="7">
        <v>25000</v>
      </c>
    </row>
    <row r="351" spans="1:4" ht="17.25" x14ac:dyDescent="0.35">
      <c r="A351" s="5" t="s">
        <v>620</v>
      </c>
      <c r="B351" s="7">
        <v>7864</v>
      </c>
      <c r="C351" s="7">
        <v>183</v>
      </c>
      <c r="D351" s="7">
        <v>9574</v>
      </c>
    </row>
    <row r="352" spans="1:4" ht="17.25" x14ac:dyDescent="0.35">
      <c r="A352" s="5" t="s">
        <v>622</v>
      </c>
      <c r="B352" s="7">
        <v>7786</v>
      </c>
      <c r="C352" s="7">
        <v>489</v>
      </c>
      <c r="D352" s="7">
        <v>1196</v>
      </c>
    </row>
    <row r="353" spans="1:4" ht="17.25" x14ac:dyDescent="0.35">
      <c r="A353" s="5" t="s">
        <v>623</v>
      </c>
      <c r="B353" s="7">
        <v>7763</v>
      </c>
      <c r="C353" s="7">
        <v>245</v>
      </c>
      <c r="D353" s="7">
        <v>2364</v>
      </c>
    </row>
    <row r="354" spans="1:4" ht="17.25" x14ac:dyDescent="0.35">
      <c r="A354" s="5" t="s">
        <v>624</v>
      </c>
      <c r="B354" s="7">
        <v>7729</v>
      </c>
      <c r="C354" s="7">
        <v>220</v>
      </c>
      <c r="D354" s="7">
        <v>15601</v>
      </c>
    </row>
    <row r="355" spans="1:4" ht="17.25" x14ac:dyDescent="0.35">
      <c r="A355" s="5" t="s">
        <v>626</v>
      </c>
      <c r="B355" s="7">
        <v>7669</v>
      </c>
      <c r="C355" s="7">
        <v>682</v>
      </c>
      <c r="D355" s="7">
        <v>12799</v>
      </c>
    </row>
    <row r="356" spans="1:4" ht="17.25" x14ac:dyDescent="0.35">
      <c r="A356" s="5" t="s">
        <v>627</v>
      </c>
      <c r="B356" s="7">
        <v>7652</v>
      </c>
      <c r="C356" s="7">
        <v>63</v>
      </c>
      <c r="D356" s="7">
        <v>11850</v>
      </c>
    </row>
    <row r="357" spans="1:4" ht="17.25" x14ac:dyDescent="0.35">
      <c r="A357" s="5" t="s">
        <v>629</v>
      </c>
      <c r="B357" s="7">
        <v>7632</v>
      </c>
      <c r="C357" s="7">
        <v>311</v>
      </c>
      <c r="D357" s="7">
        <v>24500</v>
      </c>
    </row>
    <row r="358" spans="1:4" ht="17.25" x14ac:dyDescent="0.35">
      <c r="A358" s="5" t="s">
        <v>630</v>
      </c>
      <c r="B358" s="7">
        <v>7623</v>
      </c>
      <c r="C358" s="7">
        <v>-191</v>
      </c>
      <c r="D358" s="7">
        <v>89000</v>
      </c>
    </row>
    <row r="359" spans="1:4" ht="17.25" x14ac:dyDescent="0.35">
      <c r="A359" s="5" t="s">
        <v>632</v>
      </c>
      <c r="B359" s="7">
        <v>7620</v>
      </c>
      <c r="C359" s="7">
        <v>702</v>
      </c>
      <c r="D359" s="7">
        <v>20000</v>
      </c>
    </row>
    <row r="360" spans="1:4" ht="17.25" x14ac:dyDescent="0.35">
      <c r="A360" s="5" t="s">
        <v>633</v>
      </c>
      <c r="B360" s="7">
        <v>7614</v>
      </c>
      <c r="C360" s="7">
        <v>455</v>
      </c>
      <c r="D360" s="7">
        <v>49200</v>
      </c>
    </row>
    <row r="361" spans="1:4" ht="17.25" x14ac:dyDescent="0.35">
      <c r="A361" s="5" t="s">
        <v>634</v>
      </c>
      <c r="B361" s="7">
        <v>7594</v>
      </c>
      <c r="C361" s="7">
        <v>-130</v>
      </c>
      <c r="D361" s="7">
        <v>7500</v>
      </c>
    </row>
    <row r="362" spans="1:4" ht="17.25" x14ac:dyDescent="0.35">
      <c r="A362" s="5" t="s">
        <v>636</v>
      </c>
      <c r="B362" s="7">
        <v>7519</v>
      </c>
      <c r="C362" s="7">
        <v>211</v>
      </c>
      <c r="D362" s="7">
        <v>9300</v>
      </c>
    </row>
    <row r="363" spans="1:4" ht="17.25" x14ac:dyDescent="0.35">
      <c r="A363" s="5" t="s">
        <v>637</v>
      </c>
      <c r="B363" s="7">
        <v>7493</v>
      </c>
      <c r="C363" s="7">
        <v>709</v>
      </c>
      <c r="D363" s="7">
        <v>44000</v>
      </c>
    </row>
    <row r="364" spans="1:4" ht="17.25" x14ac:dyDescent="0.35">
      <c r="A364" s="5" t="s">
        <v>639</v>
      </c>
      <c r="B364" s="7">
        <v>7477</v>
      </c>
      <c r="C364" s="7">
        <v>-239</v>
      </c>
      <c r="D364" s="7">
        <v>25000</v>
      </c>
    </row>
    <row r="365" spans="1:4" ht="17.25" x14ac:dyDescent="0.35">
      <c r="A365" s="5" t="s">
        <v>641</v>
      </c>
      <c r="B365" s="7">
        <v>7467</v>
      </c>
      <c r="C365" s="7">
        <v>266</v>
      </c>
      <c r="D365" s="7">
        <v>19588</v>
      </c>
    </row>
    <row r="366" spans="1:4" ht="17.25" x14ac:dyDescent="0.35">
      <c r="A366" s="5" t="s">
        <v>643</v>
      </c>
      <c r="B366" s="7">
        <v>7412</v>
      </c>
      <c r="C366" s="7">
        <v>541</v>
      </c>
      <c r="D366" s="7">
        <v>30985</v>
      </c>
    </row>
    <row r="367" spans="1:4" ht="17.25" x14ac:dyDescent="0.35">
      <c r="A367" s="5" t="s">
        <v>644</v>
      </c>
      <c r="B367" s="7">
        <v>7387</v>
      </c>
      <c r="C367" s="7">
        <v>513</v>
      </c>
      <c r="D367" s="7">
        <v>19885</v>
      </c>
    </row>
    <row r="368" spans="1:4" ht="17.25" x14ac:dyDescent="0.35">
      <c r="A368" s="5" t="s">
        <v>646</v>
      </c>
      <c r="B368" s="7">
        <v>7386</v>
      </c>
      <c r="C368" s="7">
        <v>-692</v>
      </c>
      <c r="D368" s="7">
        <v>7505</v>
      </c>
    </row>
    <row r="369" spans="1:4" ht="17.25" x14ac:dyDescent="0.35">
      <c r="A369" s="5" t="s">
        <v>647</v>
      </c>
      <c r="B369" s="7">
        <v>7360</v>
      </c>
      <c r="C369" s="7">
        <v>-571</v>
      </c>
      <c r="D369" s="7">
        <v>6578</v>
      </c>
    </row>
    <row r="370" spans="1:4" ht="17.25" x14ac:dyDescent="0.35">
      <c r="A370" s="5" t="s">
        <v>648</v>
      </c>
      <c r="B370" s="7">
        <v>7271</v>
      </c>
      <c r="C370" s="7">
        <v>330</v>
      </c>
      <c r="D370" s="7">
        <v>25150</v>
      </c>
    </row>
    <row r="371" spans="1:4" ht="17.25" x14ac:dyDescent="0.35">
      <c r="A371" s="5" t="s">
        <v>650</v>
      </c>
      <c r="B371" s="7">
        <v>7246</v>
      </c>
      <c r="C371" s="7">
        <v>-33</v>
      </c>
      <c r="D371" s="7">
        <v>12200</v>
      </c>
    </row>
    <row r="372" spans="1:4" ht="17.25" x14ac:dyDescent="0.35">
      <c r="A372" s="5" t="s">
        <v>652</v>
      </c>
      <c r="B372" s="7">
        <v>7236</v>
      </c>
      <c r="C372" s="7">
        <v>333</v>
      </c>
      <c r="D372" s="7">
        <v>5488</v>
      </c>
    </row>
    <row r="373" spans="1:4" ht="17.25" x14ac:dyDescent="0.35">
      <c r="A373" s="5" t="s">
        <v>653</v>
      </c>
      <c r="B373" s="7">
        <v>7207</v>
      </c>
      <c r="C373" s="7">
        <v>504</v>
      </c>
      <c r="D373" s="7">
        <v>7621</v>
      </c>
    </row>
    <row r="374" spans="1:4" ht="17.25" x14ac:dyDescent="0.35">
      <c r="A374" s="5" t="s">
        <v>654</v>
      </c>
      <c r="B374" s="7">
        <v>7193</v>
      </c>
      <c r="C374" s="7">
        <v>423</v>
      </c>
      <c r="D374" s="7">
        <v>31100</v>
      </c>
    </row>
    <row r="375" spans="1:4" ht="17.25" x14ac:dyDescent="0.35">
      <c r="A375" s="5" t="s">
        <v>655</v>
      </c>
      <c r="B375" s="7">
        <v>7173</v>
      </c>
      <c r="C375" s="7">
        <v>-1149</v>
      </c>
      <c r="D375" s="7">
        <v>30900</v>
      </c>
    </row>
    <row r="376" spans="1:4" ht="17.25" x14ac:dyDescent="0.35">
      <c r="A376" s="5" t="s">
        <v>656</v>
      </c>
      <c r="B376" s="7">
        <v>7164</v>
      </c>
      <c r="C376" s="7">
        <v>710</v>
      </c>
      <c r="D376" s="7">
        <v>148892</v>
      </c>
    </row>
    <row r="377" spans="1:4" ht="17.25" x14ac:dyDescent="0.35">
      <c r="A377" s="5" t="s">
        <v>658</v>
      </c>
      <c r="B377" s="7">
        <v>7098</v>
      </c>
      <c r="C377" s="7">
        <v>-93</v>
      </c>
      <c r="D377" s="7">
        <v>77800</v>
      </c>
    </row>
    <row r="378" spans="1:4" ht="17.25" x14ac:dyDescent="0.35">
      <c r="A378" s="5" t="s">
        <v>659</v>
      </c>
      <c r="B378" s="7">
        <v>7082</v>
      </c>
      <c r="C378" s="7">
        <v>506</v>
      </c>
      <c r="D378" s="7">
        <v>12600</v>
      </c>
    </row>
    <row r="379" spans="1:4" ht="17.25" x14ac:dyDescent="0.35">
      <c r="A379" s="5" t="s">
        <v>662</v>
      </c>
      <c r="B379" s="7">
        <v>7052</v>
      </c>
      <c r="C379" s="7">
        <v>181</v>
      </c>
      <c r="D379" s="7">
        <v>22408</v>
      </c>
    </row>
    <row r="380" spans="1:4" ht="17.25" x14ac:dyDescent="0.35">
      <c r="A380" s="5" t="s">
        <v>664</v>
      </c>
      <c r="B380" s="7">
        <v>7032</v>
      </c>
      <c r="C380" s="7">
        <v>335</v>
      </c>
      <c r="D380" s="7">
        <v>23000</v>
      </c>
    </row>
    <row r="381" spans="1:4" ht="17.25" x14ac:dyDescent="0.35">
      <c r="A381" s="5" t="s">
        <v>665</v>
      </c>
      <c r="B381" s="7">
        <v>7031</v>
      </c>
      <c r="C381" s="7">
        <v>1712</v>
      </c>
      <c r="D381" s="7">
        <v>18261</v>
      </c>
    </row>
    <row r="382" spans="1:4" ht="17.25" x14ac:dyDescent="0.35">
      <c r="A382" s="5" t="s">
        <v>666</v>
      </c>
      <c r="B382" s="7">
        <v>7029</v>
      </c>
      <c r="C382" s="7">
        <v>870</v>
      </c>
      <c r="D382" s="7">
        <v>26000</v>
      </c>
    </row>
    <row r="383" spans="1:4" ht="17.25" x14ac:dyDescent="0.35">
      <c r="A383" s="5" t="s">
        <v>667</v>
      </c>
      <c r="B383" s="7">
        <v>7020</v>
      </c>
      <c r="C383" s="7">
        <v>404</v>
      </c>
      <c r="D383" s="7">
        <v>35995</v>
      </c>
    </row>
    <row r="384" spans="1:4" ht="17.25" x14ac:dyDescent="0.35">
      <c r="A384" s="5" t="s">
        <v>669</v>
      </c>
      <c r="B384" s="7">
        <v>6780</v>
      </c>
      <c r="C384" s="7">
        <v>123</v>
      </c>
      <c r="D384" s="7">
        <v>3700</v>
      </c>
    </row>
    <row r="385" spans="1:4" ht="17.25" x14ac:dyDescent="0.35">
      <c r="A385" s="5" t="s">
        <v>671</v>
      </c>
      <c r="B385" s="7">
        <v>6755</v>
      </c>
      <c r="C385" s="7">
        <v>269</v>
      </c>
      <c r="D385" s="7">
        <v>30600</v>
      </c>
    </row>
    <row r="386" spans="1:4" ht="17.25" x14ac:dyDescent="0.35">
      <c r="A386" s="5" t="s">
        <v>673</v>
      </c>
      <c r="B386" s="7">
        <v>6723</v>
      </c>
      <c r="C386" s="7">
        <v>172</v>
      </c>
      <c r="D386" s="7">
        <v>29000</v>
      </c>
    </row>
    <row r="387" spans="1:4" ht="17.25" x14ac:dyDescent="0.35">
      <c r="A387" s="5" t="s">
        <v>674</v>
      </c>
      <c r="B387" s="7">
        <v>6694</v>
      </c>
      <c r="C387" s="7">
        <v>838</v>
      </c>
      <c r="D387" s="7">
        <v>41000</v>
      </c>
    </row>
    <row r="388" spans="1:4" ht="17.25" x14ac:dyDescent="0.35">
      <c r="A388" s="5" t="s">
        <v>676</v>
      </c>
      <c r="B388" s="7">
        <v>6693</v>
      </c>
      <c r="C388" s="7">
        <v>-509</v>
      </c>
      <c r="D388" s="7">
        <v>8500</v>
      </c>
    </row>
    <row r="389" spans="1:4" ht="17.25" x14ac:dyDescent="0.35">
      <c r="A389" s="5" t="s">
        <v>678</v>
      </c>
      <c r="B389" s="7">
        <v>6691</v>
      </c>
      <c r="C389" s="7">
        <v>281</v>
      </c>
      <c r="D389" s="7">
        <v>13570</v>
      </c>
    </row>
    <row r="390" spans="1:4" ht="17.25" x14ac:dyDescent="0.35">
      <c r="A390" s="5" t="s">
        <v>679</v>
      </c>
      <c r="B390" s="7">
        <v>6672</v>
      </c>
      <c r="C390" s="7">
        <v>765</v>
      </c>
      <c r="D390" s="7">
        <v>18730</v>
      </c>
    </row>
    <row r="391" spans="1:4" ht="17.25" x14ac:dyDescent="0.35">
      <c r="A391" s="5" t="s">
        <v>680</v>
      </c>
      <c r="B391" s="7">
        <v>6667</v>
      </c>
      <c r="C391" s="7">
        <v>-47</v>
      </c>
      <c r="D391" s="7">
        <v>19742</v>
      </c>
    </row>
    <row r="392" spans="1:4" ht="17.25" x14ac:dyDescent="0.35">
      <c r="A392" s="5" t="s">
        <v>681</v>
      </c>
      <c r="B392" s="7">
        <v>6659</v>
      </c>
      <c r="C392" s="7">
        <v>58</v>
      </c>
      <c r="D392" s="7">
        <v>1870</v>
      </c>
    </row>
    <row r="393" spans="1:4" ht="17.25" x14ac:dyDescent="0.35">
      <c r="A393" s="5" t="s">
        <v>682</v>
      </c>
      <c r="B393" s="7">
        <v>6654</v>
      </c>
      <c r="C393" s="7">
        <v>-23119</v>
      </c>
      <c r="D393" s="7">
        <v>3860</v>
      </c>
    </row>
    <row r="394" spans="1:4" ht="17.25" x14ac:dyDescent="0.35">
      <c r="A394" s="5" t="s">
        <v>683</v>
      </c>
      <c r="B394" s="7">
        <v>6644</v>
      </c>
      <c r="C394" s="7">
        <v>789</v>
      </c>
      <c r="D394" s="7">
        <v>15200</v>
      </c>
    </row>
    <row r="395" spans="1:4" ht="17.25" x14ac:dyDescent="0.35">
      <c r="A395" s="5" t="s">
        <v>685</v>
      </c>
      <c r="B395" s="7">
        <v>6617</v>
      </c>
      <c r="C395" s="7">
        <v>457</v>
      </c>
      <c r="D395" s="7">
        <v>15397</v>
      </c>
    </row>
    <row r="396" spans="1:4" ht="17.25" x14ac:dyDescent="0.35">
      <c r="A396" s="5" t="s">
        <v>686</v>
      </c>
      <c r="B396" s="7">
        <v>6596</v>
      </c>
      <c r="C396" s="7">
        <v>128</v>
      </c>
      <c r="D396" s="7">
        <v>8700</v>
      </c>
    </row>
    <row r="397" spans="1:4" ht="17.25" x14ac:dyDescent="0.35">
      <c r="A397" s="5" t="s">
        <v>687</v>
      </c>
      <c r="B397" s="7">
        <v>6595</v>
      </c>
      <c r="C397" s="7">
        <v>632</v>
      </c>
      <c r="D397" s="7">
        <v>55000</v>
      </c>
    </row>
    <row r="398" spans="1:4" ht="17.25" x14ac:dyDescent="0.35">
      <c r="A398" s="5" t="s">
        <v>688</v>
      </c>
      <c r="B398" s="7">
        <v>6588</v>
      </c>
      <c r="C398" s="7">
        <v>169</v>
      </c>
      <c r="D398" s="7">
        <v>8600</v>
      </c>
    </row>
    <row r="399" spans="1:4" ht="17.25" x14ac:dyDescent="0.35">
      <c r="A399" s="5" t="s">
        <v>689</v>
      </c>
      <c r="B399" s="7">
        <v>6575</v>
      </c>
      <c r="C399" s="7">
        <v>-3056</v>
      </c>
      <c r="D399" s="7">
        <v>2770</v>
      </c>
    </row>
    <row r="400" spans="1:4" ht="17.25" x14ac:dyDescent="0.35">
      <c r="A400" s="5" t="s">
        <v>690</v>
      </c>
      <c r="B400" s="7">
        <v>6572</v>
      </c>
      <c r="C400" s="7">
        <v>305</v>
      </c>
      <c r="D400" s="7">
        <v>33100</v>
      </c>
    </row>
    <row r="401" spans="1:4" ht="17.25" x14ac:dyDescent="0.35">
      <c r="A401" s="5" t="s">
        <v>692</v>
      </c>
      <c r="B401" s="7">
        <v>6543</v>
      </c>
      <c r="C401" s="7">
        <v>146</v>
      </c>
      <c r="D401" s="7">
        <v>20400</v>
      </c>
    </row>
    <row r="402" spans="1:4" ht="17.25" x14ac:dyDescent="0.35">
      <c r="A402" s="5" t="s">
        <v>694</v>
      </c>
      <c r="B402" s="7">
        <v>6540</v>
      </c>
      <c r="C402" s="7">
        <v>596</v>
      </c>
      <c r="D402" s="7">
        <v>11500</v>
      </c>
    </row>
    <row r="403" spans="1:4" ht="17.25" x14ac:dyDescent="0.35">
      <c r="A403" s="5" t="s">
        <v>695</v>
      </c>
      <c r="B403" s="7">
        <v>6517</v>
      </c>
      <c r="C403" s="7">
        <v>815</v>
      </c>
      <c r="D403" s="7">
        <v>4483</v>
      </c>
    </row>
    <row r="404" spans="1:4" ht="17.25" x14ac:dyDescent="0.35">
      <c r="A404" s="5" t="s">
        <v>697</v>
      </c>
      <c r="B404" s="7">
        <v>6510</v>
      </c>
      <c r="C404" s="7">
        <v>175</v>
      </c>
      <c r="D404" s="7">
        <v>13549</v>
      </c>
    </row>
    <row r="405" spans="1:4" ht="17.25" x14ac:dyDescent="0.35">
      <c r="A405" s="5" t="s">
        <v>699</v>
      </c>
      <c r="B405" s="7">
        <v>6508</v>
      </c>
      <c r="C405" s="7">
        <v>878</v>
      </c>
      <c r="D405" s="7">
        <v>19000</v>
      </c>
    </row>
    <row r="406" spans="1:4" ht="17.25" x14ac:dyDescent="0.35">
      <c r="A406" s="5" t="s">
        <v>700</v>
      </c>
      <c r="B406" s="7">
        <v>6501</v>
      </c>
      <c r="C406" s="7">
        <v>1447</v>
      </c>
      <c r="D406" s="7">
        <v>15300</v>
      </c>
    </row>
    <row r="407" spans="1:4" ht="17.25" x14ac:dyDescent="0.35">
      <c r="A407" s="5" t="s">
        <v>701</v>
      </c>
      <c r="B407" s="7">
        <v>6472</v>
      </c>
      <c r="C407" s="7">
        <v>235</v>
      </c>
      <c r="D407" s="7">
        <v>2209</v>
      </c>
    </row>
    <row r="408" spans="1:4" ht="17.25" x14ac:dyDescent="0.35">
      <c r="A408" s="5" t="s">
        <v>702</v>
      </c>
      <c r="B408" s="7">
        <v>6456</v>
      </c>
      <c r="C408" s="7">
        <v>523</v>
      </c>
      <c r="D408" s="7">
        <v>7758</v>
      </c>
    </row>
    <row r="409" spans="1:4" ht="17.25" x14ac:dyDescent="0.35">
      <c r="A409" s="5" t="s">
        <v>704</v>
      </c>
      <c r="B409" s="7">
        <v>6440</v>
      </c>
      <c r="C409" s="7">
        <v>597</v>
      </c>
      <c r="D409" s="7">
        <v>16000</v>
      </c>
    </row>
    <row r="410" spans="1:4" ht="17.25" x14ac:dyDescent="0.35">
      <c r="A410" s="5" t="s">
        <v>705</v>
      </c>
      <c r="B410" s="7">
        <v>6416</v>
      </c>
      <c r="C410" s="7">
        <v>677</v>
      </c>
      <c r="D410" s="7">
        <v>14537</v>
      </c>
    </row>
    <row r="411" spans="1:4" ht="17.25" x14ac:dyDescent="0.35">
      <c r="A411" s="5" t="s">
        <v>707</v>
      </c>
      <c r="B411" s="7">
        <v>6394</v>
      </c>
      <c r="C411" s="7">
        <v>1034</v>
      </c>
      <c r="D411" s="7">
        <v>7000</v>
      </c>
    </row>
    <row r="412" spans="1:4" ht="17.25" x14ac:dyDescent="0.35">
      <c r="A412" s="5" t="s">
        <v>709</v>
      </c>
      <c r="B412" s="7">
        <v>6393</v>
      </c>
      <c r="C412" s="7">
        <v>797</v>
      </c>
      <c r="D412" s="7">
        <v>22030</v>
      </c>
    </row>
    <row r="413" spans="1:4" ht="17.25" x14ac:dyDescent="0.35">
      <c r="A413" s="5" t="s">
        <v>711</v>
      </c>
      <c r="B413" s="7">
        <v>6375</v>
      </c>
      <c r="C413" s="7">
        <v>377</v>
      </c>
      <c r="D413" s="7">
        <v>38910</v>
      </c>
    </row>
    <row r="414" spans="1:4" ht="17.25" x14ac:dyDescent="0.35">
      <c r="A414" s="5" t="s">
        <v>712</v>
      </c>
      <c r="B414" s="7">
        <v>6373</v>
      </c>
      <c r="C414" s="7">
        <v>-178</v>
      </c>
      <c r="D414" s="7">
        <v>32600</v>
      </c>
    </row>
    <row r="415" spans="1:4" ht="17.25" x14ac:dyDescent="0.35">
      <c r="A415" s="5" t="s">
        <v>713</v>
      </c>
      <c r="B415" s="7">
        <v>6363</v>
      </c>
      <c r="C415" s="7">
        <v>393</v>
      </c>
      <c r="D415" s="7">
        <v>17400</v>
      </c>
    </row>
    <row r="416" spans="1:4" ht="17.25" x14ac:dyDescent="0.35">
      <c r="A416" s="5" t="s">
        <v>714</v>
      </c>
      <c r="B416" s="7">
        <v>6351</v>
      </c>
      <c r="C416" s="7">
        <v>175</v>
      </c>
      <c r="D416" s="7">
        <v>4800</v>
      </c>
    </row>
    <row r="417" spans="1:4" ht="17.25" x14ac:dyDescent="0.35">
      <c r="A417" s="5" t="s">
        <v>716</v>
      </c>
      <c r="B417" s="7">
        <v>6308</v>
      </c>
      <c r="C417" s="7">
        <v>828</v>
      </c>
      <c r="D417" s="7">
        <v>22500</v>
      </c>
    </row>
    <row r="418" spans="1:4" ht="17.25" x14ac:dyDescent="0.35">
      <c r="A418" s="5" t="s">
        <v>717</v>
      </c>
      <c r="B418" s="7">
        <v>6282</v>
      </c>
      <c r="C418" s="7">
        <v>764</v>
      </c>
      <c r="D418" s="7">
        <v>19000</v>
      </c>
    </row>
    <row r="419" spans="1:4" ht="17.25" x14ac:dyDescent="0.35">
      <c r="A419" s="5" t="s">
        <v>1115</v>
      </c>
      <c r="B419" s="7">
        <v>6266</v>
      </c>
      <c r="C419" s="7">
        <v>-4882</v>
      </c>
      <c r="D419" s="7">
        <v>4790</v>
      </c>
    </row>
    <row r="420" spans="1:4" ht="17.25" x14ac:dyDescent="0.35">
      <c r="A420" s="5" t="s">
        <v>718</v>
      </c>
      <c r="B420" s="7">
        <v>6242</v>
      </c>
      <c r="C420" s="7">
        <v>-755</v>
      </c>
      <c r="D420" s="7">
        <v>18700</v>
      </c>
    </row>
    <row r="421" spans="1:4" ht="17.25" x14ac:dyDescent="0.35">
      <c r="A421" s="5" t="s">
        <v>719</v>
      </c>
      <c r="B421" s="7">
        <v>6227</v>
      </c>
      <c r="C421" s="7">
        <v>410</v>
      </c>
      <c r="D421" s="7">
        <v>17500</v>
      </c>
    </row>
    <row r="422" spans="1:4" ht="17.25" x14ac:dyDescent="0.35">
      <c r="A422" s="5" t="s">
        <v>721</v>
      </c>
      <c r="B422" s="7">
        <v>6188</v>
      </c>
      <c r="C422" s="7">
        <v>427</v>
      </c>
      <c r="D422" s="7">
        <v>21562</v>
      </c>
    </row>
    <row r="423" spans="1:4" ht="17.25" x14ac:dyDescent="0.35">
      <c r="A423" s="5" t="s">
        <v>723</v>
      </c>
      <c r="B423" s="7">
        <v>6162</v>
      </c>
      <c r="C423" s="7">
        <v>142</v>
      </c>
      <c r="D423" s="7">
        <v>9126</v>
      </c>
    </row>
    <row r="424" spans="1:4" ht="17.25" x14ac:dyDescent="0.35">
      <c r="A424" s="5" t="s">
        <v>724</v>
      </c>
      <c r="B424" s="7">
        <v>6156</v>
      </c>
      <c r="C424" s="7">
        <v>-74</v>
      </c>
      <c r="D424" s="7">
        <v>27000</v>
      </c>
    </row>
    <row r="425" spans="1:4" ht="17.25" x14ac:dyDescent="0.35">
      <c r="A425" s="5" t="s">
        <v>726</v>
      </c>
      <c r="B425" s="7">
        <v>6155</v>
      </c>
      <c r="C425" s="7">
        <v>343</v>
      </c>
      <c r="D425" s="7">
        <v>24197</v>
      </c>
    </row>
    <row r="426" spans="1:4" ht="17.25" x14ac:dyDescent="0.35">
      <c r="A426" s="5" t="s">
        <v>727</v>
      </c>
      <c r="B426" s="7">
        <v>6149</v>
      </c>
      <c r="C426" s="7">
        <v>956</v>
      </c>
      <c r="D426" s="7">
        <v>17000</v>
      </c>
    </row>
    <row r="427" spans="1:4" ht="17.25" x14ac:dyDescent="0.35">
      <c r="A427" s="5" t="s">
        <v>729</v>
      </c>
      <c r="B427" s="7">
        <v>6145</v>
      </c>
      <c r="C427" s="7">
        <v>352</v>
      </c>
      <c r="D427" s="7">
        <v>7400</v>
      </c>
    </row>
    <row r="428" spans="1:4" ht="17.25" x14ac:dyDescent="0.35">
      <c r="A428" s="5" t="s">
        <v>730</v>
      </c>
      <c r="B428" s="7">
        <v>6123</v>
      </c>
      <c r="C428" s="7">
        <v>560</v>
      </c>
      <c r="D428" s="7">
        <v>12810</v>
      </c>
    </row>
    <row r="429" spans="1:4" ht="17.25" x14ac:dyDescent="0.35">
      <c r="A429" s="5" t="s">
        <v>732</v>
      </c>
      <c r="B429" s="7">
        <v>6110</v>
      </c>
      <c r="C429" s="7">
        <v>91</v>
      </c>
      <c r="D429" s="7">
        <v>8300</v>
      </c>
    </row>
    <row r="430" spans="1:4" ht="17.25" x14ac:dyDescent="0.35">
      <c r="A430" s="5" t="s">
        <v>733</v>
      </c>
      <c r="B430" s="7">
        <v>6098</v>
      </c>
      <c r="C430" s="7">
        <v>230</v>
      </c>
      <c r="D430" s="7">
        <v>13300</v>
      </c>
    </row>
    <row r="431" spans="1:4" ht="17.25" x14ac:dyDescent="0.35">
      <c r="A431" s="5" t="s">
        <v>735</v>
      </c>
      <c r="B431" s="7">
        <v>6098</v>
      </c>
      <c r="C431" s="7">
        <v>630</v>
      </c>
      <c r="D431" s="7">
        <v>8527</v>
      </c>
    </row>
    <row r="432" spans="1:4" ht="17.25" x14ac:dyDescent="0.35">
      <c r="A432" s="5" t="s">
        <v>738</v>
      </c>
      <c r="B432" s="7">
        <v>6070</v>
      </c>
      <c r="C432" s="7">
        <v>37</v>
      </c>
      <c r="D432" s="7">
        <v>37000</v>
      </c>
    </row>
    <row r="433" spans="1:4" ht="17.25" x14ac:dyDescent="0.35">
      <c r="A433" s="5" t="s">
        <v>736</v>
      </c>
      <c r="B433" s="7">
        <v>6070</v>
      </c>
      <c r="C433" s="7">
        <v>7</v>
      </c>
      <c r="D433" s="7">
        <v>52</v>
      </c>
    </row>
    <row r="434" spans="1:4" ht="17.25" x14ac:dyDescent="0.35">
      <c r="A434" s="5" t="s">
        <v>739</v>
      </c>
      <c r="B434" s="7">
        <v>6060</v>
      </c>
      <c r="C434" s="7">
        <v>159</v>
      </c>
      <c r="D434" s="7">
        <v>23100</v>
      </c>
    </row>
    <row r="435" spans="1:4" ht="17.25" x14ac:dyDescent="0.35">
      <c r="A435" s="5" t="s">
        <v>741</v>
      </c>
      <c r="B435" s="7">
        <v>6028</v>
      </c>
      <c r="C435" s="7">
        <v>839</v>
      </c>
      <c r="D435" s="7">
        <v>7200</v>
      </c>
    </row>
    <row r="436" spans="1:4" ht="17.25" x14ac:dyDescent="0.35">
      <c r="A436" s="5" t="s">
        <v>743</v>
      </c>
      <c r="B436" s="7">
        <v>6014</v>
      </c>
      <c r="C436" s="7">
        <v>182</v>
      </c>
      <c r="D436" s="7">
        <v>40000</v>
      </c>
    </row>
    <row r="437" spans="1:4" ht="17.25" x14ac:dyDescent="0.35">
      <c r="A437" s="5" t="s">
        <v>744</v>
      </c>
      <c r="B437" s="7">
        <v>5998</v>
      </c>
      <c r="C437" s="7">
        <v>147</v>
      </c>
      <c r="D437" s="7">
        <v>17500</v>
      </c>
    </row>
    <row r="438" spans="1:4" ht="17.25" x14ac:dyDescent="0.35">
      <c r="A438" s="5" t="s">
        <v>746</v>
      </c>
      <c r="B438" s="7">
        <v>5995</v>
      </c>
      <c r="C438" s="7">
        <v>752</v>
      </c>
      <c r="D438" s="7">
        <v>6300</v>
      </c>
    </row>
    <row r="439" spans="1:4" ht="17.25" x14ac:dyDescent="0.35">
      <c r="A439" s="5" t="s">
        <v>747</v>
      </c>
      <c r="B439" s="7">
        <v>5982</v>
      </c>
      <c r="C439" s="7">
        <v>494</v>
      </c>
      <c r="D439" s="7">
        <v>4542</v>
      </c>
    </row>
    <row r="440" spans="1:4" ht="17.25" x14ac:dyDescent="0.35">
      <c r="A440" s="5" t="s">
        <v>748</v>
      </c>
      <c r="B440" s="7">
        <v>5972</v>
      </c>
      <c r="C440" s="7">
        <v>350</v>
      </c>
      <c r="D440" s="7">
        <v>17200</v>
      </c>
    </row>
    <row r="441" spans="1:4" ht="17.25" x14ac:dyDescent="0.35">
      <c r="A441" s="5" t="s">
        <v>749</v>
      </c>
      <c r="B441" s="7">
        <v>5967</v>
      </c>
      <c r="C441" s="7">
        <v>274</v>
      </c>
      <c r="D441" s="7">
        <v>25000</v>
      </c>
    </row>
    <row r="442" spans="1:4" ht="17.25" x14ac:dyDescent="0.35">
      <c r="A442" s="5" t="s">
        <v>751</v>
      </c>
      <c r="B442" s="7">
        <v>5966</v>
      </c>
      <c r="C442" s="7">
        <v>439</v>
      </c>
      <c r="D442" s="7">
        <v>61500</v>
      </c>
    </row>
    <row r="443" spans="1:4" ht="17.25" x14ac:dyDescent="0.35">
      <c r="A443" s="5" t="s">
        <v>752</v>
      </c>
      <c r="B443" s="7">
        <v>5926</v>
      </c>
      <c r="C443" s="7">
        <v>640</v>
      </c>
      <c r="D443" s="7">
        <v>8211</v>
      </c>
    </row>
    <row r="444" spans="1:4" ht="17.25" x14ac:dyDescent="0.35">
      <c r="A444" s="5" t="s">
        <v>753</v>
      </c>
      <c r="B444" s="7">
        <v>5861</v>
      </c>
      <c r="C444" s="7">
        <v>-2204</v>
      </c>
      <c r="D444" s="7">
        <v>2611</v>
      </c>
    </row>
    <row r="445" spans="1:4" ht="17.25" x14ac:dyDescent="0.35">
      <c r="A445" s="5" t="s">
        <v>754</v>
      </c>
      <c r="B445" s="7">
        <v>5851</v>
      </c>
      <c r="C445" s="7">
        <v>28</v>
      </c>
      <c r="D445" s="7">
        <v>18450</v>
      </c>
    </row>
    <row r="446" spans="1:4" ht="17.25" x14ac:dyDescent="0.35">
      <c r="A446" s="5" t="s">
        <v>756</v>
      </c>
      <c r="B446" s="7">
        <v>5817</v>
      </c>
      <c r="C446" s="7">
        <v>585</v>
      </c>
      <c r="D446" s="7">
        <v>12700</v>
      </c>
    </row>
    <row r="447" spans="1:4" ht="17.25" x14ac:dyDescent="0.35">
      <c r="A447" s="5" t="s">
        <v>757</v>
      </c>
      <c r="B447" s="7">
        <v>5816</v>
      </c>
      <c r="C447" s="7">
        <v>-557</v>
      </c>
      <c r="D447" s="7">
        <v>15922</v>
      </c>
    </row>
    <row r="448" spans="1:4" ht="17.25" x14ac:dyDescent="0.35">
      <c r="A448" s="5" t="s">
        <v>758</v>
      </c>
      <c r="B448" s="7">
        <v>5766</v>
      </c>
      <c r="C448" s="7">
        <v>422</v>
      </c>
      <c r="D448" s="7">
        <v>8200</v>
      </c>
    </row>
    <row r="449" spans="1:4" ht="17.25" x14ac:dyDescent="0.35">
      <c r="A449" s="5" t="s">
        <v>759</v>
      </c>
      <c r="B449" s="7">
        <v>5765</v>
      </c>
      <c r="C449" s="7">
        <v>27</v>
      </c>
      <c r="D449" s="7">
        <v>12326</v>
      </c>
    </row>
    <row r="450" spans="1:4" ht="17.25" x14ac:dyDescent="0.35">
      <c r="A450" s="5" t="s">
        <v>760</v>
      </c>
      <c r="B450" s="7">
        <v>5763</v>
      </c>
      <c r="C450" s="7">
        <v>489</v>
      </c>
      <c r="D450" s="7">
        <v>188000</v>
      </c>
    </row>
    <row r="451" spans="1:4" ht="17.25" x14ac:dyDescent="0.35">
      <c r="A451" s="5" t="s">
        <v>761</v>
      </c>
      <c r="B451" s="7">
        <v>5762</v>
      </c>
      <c r="C451" s="7">
        <v>19</v>
      </c>
      <c r="D451" s="7">
        <v>4584</v>
      </c>
    </row>
    <row r="452" spans="1:4" ht="17.25" x14ac:dyDescent="0.35">
      <c r="A452" s="5" t="s">
        <v>762</v>
      </c>
      <c r="B452" s="7">
        <v>5742</v>
      </c>
      <c r="C452" s="7">
        <v>437</v>
      </c>
      <c r="D452" s="7">
        <v>13000</v>
      </c>
    </row>
    <row r="453" spans="1:4" ht="17.25" x14ac:dyDescent="0.35">
      <c r="A453" s="5" t="s">
        <v>763</v>
      </c>
      <c r="B453" s="7">
        <v>5738</v>
      </c>
      <c r="C453" s="7">
        <v>387</v>
      </c>
      <c r="D453" s="7">
        <v>36100</v>
      </c>
    </row>
    <row r="454" spans="1:4" ht="17.25" x14ac:dyDescent="0.35">
      <c r="A454" s="5" t="s">
        <v>765</v>
      </c>
      <c r="B454" s="7">
        <v>5732</v>
      </c>
      <c r="C454" s="7">
        <v>429</v>
      </c>
      <c r="D454" s="7">
        <v>65300</v>
      </c>
    </row>
    <row r="455" spans="1:4" ht="17.25" x14ac:dyDescent="0.35">
      <c r="A455" s="5" t="s">
        <v>766</v>
      </c>
      <c r="B455" s="7">
        <v>5706</v>
      </c>
      <c r="C455" s="7">
        <v>184</v>
      </c>
      <c r="D455" s="7">
        <v>11400</v>
      </c>
    </row>
    <row r="456" spans="1:4" ht="17.25" x14ac:dyDescent="0.35">
      <c r="A456" s="5" t="s">
        <v>767</v>
      </c>
      <c r="B456" s="7">
        <v>5703</v>
      </c>
      <c r="C456" s="7">
        <v>369</v>
      </c>
      <c r="D456" s="7">
        <v>31000</v>
      </c>
    </row>
    <row r="457" spans="1:4" ht="17.25" x14ac:dyDescent="0.35">
      <c r="A457" s="5" t="s">
        <v>769</v>
      </c>
      <c r="B457" s="7">
        <v>5695</v>
      </c>
      <c r="C457" s="7">
        <v>610</v>
      </c>
      <c r="D457" s="7">
        <v>14000</v>
      </c>
    </row>
    <row r="458" spans="1:4" ht="17.25" x14ac:dyDescent="0.35">
      <c r="A458" s="5" t="s">
        <v>771</v>
      </c>
      <c r="B458" s="7">
        <v>5693</v>
      </c>
      <c r="C458" s="7">
        <v>345</v>
      </c>
      <c r="D458" s="7">
        <v>7370</v>
      </c>
    </row>
    <row r="459" spans="1:4" ht="17.25" x14ac:dyDescent="0.35">
      <c r="A459" s="5" t="s">
        <v>775</v>
      </c>
      <c r="B459" s="7">
        <v>5666</v>
      </c>
      <c r="C459" s="7">
        <v>580</v>
      </c>
      <c r="D459" s="7">
        <v>7700</v>
      </c>
    </row>
    <row r="460" spans="1:4" ht="17.25" x14ac:dyDescent="0.35">
      <c r="A460" s="5" t="s">
        <v>777</v>
      </c>
      <c r="B460" s="7">
        <v>5621</v>
      </c>
      <c r="C460" s="7">
        <v>402</v>
      </c>
      <c r="D460" s="7">
        <v>11500</v>
      </c>
    </row>
    <row r="461" spans="1:4" ht="17.25" x14ac:dyDescent="0.35">
      <c r="A461" s="5" t="s">
        <v>779</v>
      </c>
      <c r="B461" s="7">
        <v>5619</v>
      </c>
      <c r="C461" s="7">
        <v>-426</v>
      </c>
      <c r="D461" s="7">
        <v>88700</v>
      </c>
    </row>
    <row r="462" spans="1:4" ht="17.25" x14ac:dyDescent="0.35">
      <c r="A462" s="5" t="s">
        <v>781</v>
      </c>
      <c r="B462" s="7">
        <v>5609</v>
      </c>
      <c r="C462" s="7">
        <v>-1996</v>
      </c>
      <c r="D462" s="7">
        <v>7600</v>
      </c>
    </row>
    <row r="463" spans="1:4" ht="17.25" x14ac:dyDescent="0.35">
      <c r="A463" s="5" t="s">
        <v>782</v>
      </c>
      <c r="B463" s="7">
        <v>5598</v>
      </c>
      <c r="C463" s="7">
        <v>848</v>
      </c>
      <c r="D463" s="7">
        <v>13858</v>
      </c>
    </row>
    <row r="464" spans="1:4" ht="17.25" x14ac:dyDescent="0.35">
      <c r="A464" s="5" t="s">
        <v>783</v>
      </c>
      <c r="B464" s="7">
        <v>5594</v>
      </c>
      <c r="C464" s="7">
        <v>171</v>
      </c>
      <c r="D464" s="7">
        <v>10772</v>
      </c>
    </row>
    <row r="465" spans="1:4" ht="17.25" x14ac:dyDescent="0.35">
      <c r="A465" s="5" t="s">
        <v>785</v>
      </c>
      <c r="B465" s="7">
        <v>5576</v>
      </c>
      <c r="C465" s="7">
        <v>-196</v>
      </c>
      <c r="D465" s="7">
        <v>19200</v>
      </c>
    </row>
    <row r="466" spans="1:4" ht="17.25" x14ac:dyDescent="0.35">
      <c r="A466" s="5" t="s">
        <v>786</v>
      </c>
      <c r="B466" s="7">
        <v>5569</v>
      </c>
      <c r="C466" s="7">
        <v>764</v>
      </c>
      <c r="D466" s="7">
        <v>50700</v>
      </c>
    </row>
    <row r="467" spans="1:4" ht="17.25" x14ac:dyDescent="0.35">
      <c r="A467" s="5" t="s">
        <v>790</v>
      </c>
      <c r="B467" s="7">
        <v>5565</v>
      </c>
      <c r="C467" s="7">
        <v>389</v>
      </c>
      <c r="D467" s="7">
        <v>8790</v>
      </c>
    </row>
    <row r="468" spans="1:4" ht="17.25" x14ac:dyDescent="0.35">
      <c r="A468" s="5" t="s">
        <v>788</v>
      </c>
      <c r="B468" s="7">
        <v>5565</v>
      </c>
      <c r="C468" s="7">
        <v>35</v>
      </c>
      <c r="D468" s="7">
        <v>500</v>
      </c>
    </row>
    <row r="469" spans="1:4" ht="17.25" x14ac:dyDescent="0.35">
      <c r="A469" s="5" t="s">
        <v>792</v>
      </c>
      <c r="B469" s="7">
        <v>5541</v>
      </c>
      <c r="C469" s="7">
        <v>880</v>
      </c>
      <c r="D469" s="7">
        <v>18000</v>
      </c>
    </row>
    <row r="470" spans="1:4" ht="17.25" x14ac:dyDescent="0.35">
      <c r="A470" s="5" t="s">
        <v>793</v>
      </c>
      <c r="B470" s="7">
        <v>5536</v>
      </c>
      <c r="C470" s="7">
        <v>612</v>
      </c>
      <c r="D470" s="7">
        <v>37700</v>
      </c>
    </row>
    <row r="471" spans="1:4" ht="17.25" x14ac:dyDescent="0.35">
      <c r="A471" s="5" t="s">
        <v>794</v>
      </c>
      <c r="B471" s="7">
        <v>5518</v>
      </c>
      <c r="C471" s="7">
        <v>54</v>
      </c>
      <c r="D471" s="7">
        <v>8100</v>
      </c>
    </row>
    <row r="472" spans="1:4" ht="17.25" x14ac:dyDescent="0.35">
      <c r="A472" s="5" t="s">
        <v>796</v>
      </c>
      <c r="B472" s="7">
        <v>5484</v>
      </c>
      <c r="C472" s="7">
        <v>838</v>
      </c>
      <c r="D472" s="7">
        <v>10000</v>
      </c>
    </row>
    <row r="473" spans="1:4" ht="17.25" x14ac:dyDescent="0.35">
      <c r="A473" s="5" t="s">
        <v>797</v>
      </c>
      <c r="B473" s="7">
        <v>5448</v>
      </c>
      <c r="C473" s="7">
        <v>145</v>
      </c>
      <c r="D473" s="7">
        <v>40888</v>
      </c>
    </row>
    <row r="474" spans="1:4" ht="17.25" x14ac:dyDescent="0.35">
      <c r="A474" s="5" t="s">
        <v>798</v>
      </c>
      <c r="B474" s="7">
        <v>5444</v>
      </c>
      <c r="C474" s="7">
        <v>2284</v>
      </c>
      <c r="D474" s="7">
        <v>11000</v>
      </c>
    </row>
    <row r="475" spans="1:4" ht="17.25" x14ac:dyDescent="0.35">
      <c r="A475" s="5" t="s">
        <v>800</v>
      </c>
      <c r="B475" s="7">
        <v>5392</v>
      </c>
      <c r="C475" s="7">
        <v>357</v>
      </c>
      <c r="D475" s="7">
        <v>21537</v>
      </c>
    </row>
    <row r="476" spans="1:4" ht="17.25" x14ac:dyDescent="0.35">
      <c r="A476" s="5" t="s">
        <v>803</v>
      </c>
      <c r="B476" s="7">
        <v>5373</v>
      </c>
      <c r="C476" s="7">
        <v>76</v>
      </c>
      <c r="D476" s="7">
        <v>5761</v>
      </c>
    </row>
    <row r="477" spans="1:4" ht="17.25" x14ac:dyDescent="0.35">
      <c r="A477" s="5" t="s">
        <v>806</v>
      </c>
      <c r="B477" s="7">
        <v>5370</v>
      </c>
      <c r="C477" s="7">
        <v>583</v>
      </c>
      <c r="D477" s="7">
        <v>10600</v>
      </c>
    </row>
    <row r="478" spans="1:4" ht="17.25" x14ac:dyDescent="0.35">
      <c r="A478" s="5" t="s">
        <v>805</v>
      </c>
      <c r="B478" s="7">
        <v>5370</v>
      </c>
      <c r="C478" s="7">
        <v>-5342</v>
      </c>
      <c r="D478" s="7">
        <v>8860</v>
      </c>
    </row>
    <row r="479" spans="1:4" ht="17.25" x14ac:dyDescent="0.35">
      <c r="A479" s="5" t="s">
        <v>808</v>
      </c>
      <c r="B479" s="7">
        <v>5363</v>
      </c>
      <c r="C479" s="7">
        <v>-44</v>
      </c>
      <c r="D479" s="7">
        <v>6400</v>
      </c>
    </row>
    <row r="480" spans="1:4" ht="17.25" x14ac:dyDescent="0.35">
      <c r="A480" s="5" t="s">
        <v>809</v>
      </c>
      <c r="B480" s="7">
        <v>5362</v>
      </c>
      <c r="C480" s="7">
        <v>80</v>
      </c>
      <c r="D480" s="7">
        <v>22000</v>
      </c>
    </row>
    <row r="481" spans="1:4" ht="17.25" x14ac:dyDescent="0.35">
      <c r="A481" s="5" t="s">
        <v>810</v>
      </c>
      <c r="B481" s="7">
        <v>5356</v>
      </c>
      <c r="C481" s="7">
        <v>457</v>
      </c>
      <c r="D481" s="7">
        <v>2168</v>
      </c>
    </row>
    <row r="482" spans="1:4" ht="17.25" x14ac:dyDescent="0.35">
      <c r="A482" s="5" t="s">
        <v>811</v>
      </c>
      <c r="B482" s="7">
        <v>5350</v>
      </c>
      <c r="C482" s="7">
        <v>330</v>
      </c>
      <c r="D482" s="7">
        <v>15000</v>
      </c>
    </row>
    <row r="483" spans="1:4" ht="17.25" x14ac:dyDescent="0.35">
      <c r="A483" s="5" t="s">
        <v>814</v>
      </c>
      <c r="B483" s="7">
        <v>5313</v>
      </c>
      <c r="C483" s="7">
        <v>1156</v>
      </c>
      <c r="D483" s="7">
        <v>20400</v>
      </c>
    </row>
    <row r="484" spans="1:4" ht="17.25" x14ac:dyDescent="0.35">
      <c r="A484" s="5" t="s">
        <v>815</v>
      </c>
      <c r="B484" s="7">
        <v>5308</v>
      </c>
      <c r="C484" s="7">
        <v>502</v>
      </c>
      <c r="D484" s="7">
        <v>11000</v>
      </c>
    </row>
    <row r="485" spans="1:4" ht="17.25" x14ac:dyDescent="0.35">
      <c r="A485" s="5" t="s">
        <v>816</v>
      </c>
      <c r="B485" s="7">
        <v>5308</v>
      </c>
      <c r="C485" s="7">
        <v>287</v>
      </c>
      <c r="D485" s="7">
        <v>7596</v>
      </c>
    </row>
    <row r="486" spans="1:4" ht="17.25" x14ac:dyDescent="0.35">
      <c r="A486" s="5" t="s">
        <v>818</v>
      </c>
      <c r="B486" s="7">
        <v>5305</v>
      </c>
      <c r="C486" s="7">
        <v>368</v>
      </c>
      <c r="D486" s="7">
        <v>17000</v>
      </c>
    </row>
    <row r="487" spans="1:4" ht="17.25" x14ac:dyDescent="0.35">
      <c r="A487" s="5" t="s">
        <v>819</v>
      </c>
      <c r="B487" s="7">
        <v>5291</v>
      </c>
      <c r="C487" s="7">
        <v>76</v>
      </c>
      <c r="D487" s="7">
        <v>120000</v>
      </c>
    </row>
    <row r="488" spans="1:4" ht="17.25" x14ac:dyDescent="0.35">
      <c r="A488" s="5" t="s">
        <v>820</v>
      </c>
      <c r="B488" s="7">
        <v>5276</v>
      </c>
      <c r="C488" s="7">
        <v>840</v>
      </c>
      <c r="D488" s="7">
        <v>17700</v>
      </c>
    </row>
    <row r="489" spans="1:4" ht="17.25" x14ac:dyDescent="0.35">
      <c r="A489" s="5" t="s">
        <v>821</v>
      </c>
      <c r="B489" s="7">
        <v>5275</v>
      </c>
      <c r="C489" s="7">
        <v>233</v>
      </c>
      <c r="D489" s="7">
        <v>22500</v>
      </c>
    </row>
    <row r="490" spans="1:4" ht="17.25" x14ac:dyDescent="0.35">
      <c r="A490" s="5" t="s">
        <v>822</v>
      </c>
      <c r="B490" s="7">
        <v>5266</v>
      </c>
      <c r="C490" s="7">
        <v>1828</v>
      </c>
      <c r="D490" s="7">
        <v>4075</v>
      </c>
    </row>
    <row r="491" spans="1:4" ht="17.25" x14ac:dyDescent="0.35">
      <c r="A491" s="5" t="s">
        <v>823</v>
      </c>
      <c r="B491" s="7">
        <v>5264</v>
      </c>
      <c r="C491" s="7">
        <v>142</v>
      </c>
      <c r="D491" s="7">
        <v>9850</v>
      </c>
    </row>
    <row r="492" spans="1:4" ht="17.25" x14ac:dyDescent="0.35">
      <c r="A492" s="5" t="s">
        <v>825</v>
      </c>
      <c r="B492" s="7">
        <v>5262</v>
      </c>
      <c r="C492" s="7">
        <v>686</v>
      </c>
      <c r="D492" s="7">
        <v>19500</v>
      </c>
    </row>
    <row r="493" spans="1:4" ht="17.25" x14ac:dyDescent="0.35">
      <c r="A493" s="5" t="s">
        <v>827</v>
      </c>
      <c r="B493" s="7">
        <v>5259</v>
      </c>
      <c r="C493" s="7">
        <v>656</v>
      </c>
      <c r="D493" s="7">
        <v>7300</v>
      </c>
    </row>
    <row r="494" spans="1:4" ht="17.25" x14ac:dyDescent="0.35">
      <c r="A494" s="5" t="s">
        <v>828</v>
      </c>
      <c r="B494" s="7">
        <v>5254</v>
      </c>
      <c r="C494" s="7">
        <v>712</v>
      </c>
      <c r="D494" s="7">
        <v>22000</v>
      </c>
    </row>
    <row r="495" spans="1:4" ht="17.25" x14ac:dyDescent="0.35">
      <c r="A495" s="5" t="s">
        <v>830</v>
      </c>
      <c r="B495" s="7">
        <v>5234</v>
      </c>
      <c r="C495" s="7">
        <v>196</v>
      </c>
      <c r="D495" s="7">
        <v>6250</v>
      </c>
    </row>
    <row r="496" spans="1:4" ht="17.25" x14ac:dyDescent="0.35">
      <c r="A496" s="5" t="s">
        <v>831</v>
      </c>
      <c r="B496" s="7">
        <v>5197</v>
      </c>
      <c r="C496" s="7">
        <v>997</v>
      </c>
      <c r="D496" s="7">
        <v>7300</v>
      </c>
    </row>
    <row r="497" spans="1:4" ht="17.25" x14ac:dyDescent="0.35">
      <c r="A497" s="5" t="s">
        <v>832</v>
      </c>
      <c r="B497" s="7">
        <v>5191</v>
      </c>
      <c r="C497" s="7">
        <v>143</v>
      </c>
      <c r="D497" s="7">
        <v>23650</v>
      </c>
    </row>
    <row r="498" spans="1:4" ht="17.25" x14ac:dyDescent="0.35">
      <c r="A498" s="5" t="s">
        <v>833</v>
      </c>
      <c r="B498" s="7">
        <v>5176</v>
      </c>
      <c r="C498" s="7">
        <v>219</v>
      </c>
      <c r="D498" s="7">
        <v>10400</v>
      </c>
    </row>
    <row r="499" spans="1:4" ht="17.25" x14ac:dyDescent="0.35">
      <c r="A499" s="5" t="s">
        <v>834</v>
      </c>
      <c r="B499" s="7">
        <v>5176</v>
      </c>
      <c r="C499" s="7">
        <v>288</v>
      </c>
      <c r="D499" s="7">
        <v>17955</v>
      </c>
    </row>
    <row r="500" spans="1:4" ht="17.25" x14ac:dyDescent="0.35">
      <c r="A500" s="5" t="s">
        <v>836</v>
      </c>
      <c r="B500" s="7">
        <v>5170</v>
      </c>
      <c r="C500" s="7">
        <v>383</v>
      </c>
      <c r="D500" s="7">
        <v>4300</v>
      </c>
    </row>
    <row r="501" spans="1:4" ht="17.25" x14ac:dyDescent="0.35">
      <c r="A501" s="5" t="s">
        <v>838</v>
      </c>
      <c r="B501" s="7">
        <v>5142</v>
      </c>
      <c r="C501" s="7">
        <v>634</v>
      </c>
      <c r="D501" s="7">
        <v>4493</v>
      </c>
    </row>
    <row r="502" spans="1:4" ht="17.25" x14ac:dyDescent="0.35">
      <c r="A502" s="5" t="s">
        <v>840</v>
      </c>
      <c r="B502" s="7">
        <v>5130</v>
      </c>
      <c r="C502" s="7">
        <v>151</v>
      </c>
      <c r="D502" s="7">
        <v>37500</v>
      </c>
    </row>
    <row r="503" spans="1:4" ht="17.25" x14ac:dyDescent="0.35">
      <c r="A503" s="5" t="s">
        <v>842</v>
      </c>
      <c r="B503" s="7">
        <v>5096</v>
      </c>
      <c r="C503" s="7">
        <v>203</v>
      </c>
      <c r="D503" s="7">
        <v>22000</v>
      </c>
    </row>
    <row r="504" spans="1:4" ht="17.25" x14ac:dyDescent="0.35">
      <c r="A504" s="5" t="s">
        <v>844</v>
      </c>
      <c r="B504" s="7">
        <v>5095</v>
      </c>
      <c r="C504" s="7">
        <v>358</v>
      </c>
      <c r="D504" s="7">
        <v>16100</v>
      </c>
    </row>
    <row r="505" spans="1:4" ht="17.25" x14ac:dyDescent="0.35">
      <c r="A505" s="5" t="s">
        <v>843</v>
      </c>
      <c r="B505" s="7">
        <v>5095</v>
      </c>
      <c r="C505" s="7">
        <v>15</v>
      </c>
      <c r="D505" s="7">
        <v>15100</v>
      </c>
    </row>
    <row r="506" spans="1:4" ht="17.25" x14ac:dyDescent="0.35">
      <c r="A506" s="5" t="s">
        <v>845</v>
      </c>
      <c r="B506" s="7">
        <v>5086</v>
      </c>
      <c r="C506" s="7">
        <v>254</v>
      </c>
      <c r="D506" s="7">
        <v>18000</v>
      </c>
    </row>
    <row r="507" spans="1:4" ht="17.25" x14ac:dyDescent="0.35">
      <c r="A507" s="5" t="s">
        <v>846</v>
      </c>
      <c r="B507" s="7">
        <v>5083</v>
      </c>
      <c r="C507" s="7">
        <v>334</v>
      </c>
      <c r="D507" s="7">
        <v>22300</v>
      </c>
    </row>
    <row r="508" spans="1:4" ht="17.25" x14ac:dyDescent="0.35">
      <c r="A508" s="5" t="s">
        <v>848</v>
      </c>
      <c r="B508" s="7">
        <v>5034</v>
      </c>
      <c r="C508" s="7">
        <v>332</v>
      </c>
      <c r="D508" s="7">
        <v>4800</v>
      </c>
    </row>
    <row r="509" spans="1:4" ht="17.25" x14ac:dyDescent="0.35">
      <c r="A509" s="5" t="s">
        <v>850</v>
      </c>
      <c r="B509" s="7">
        <v>5023</v>
      </c>
      <c r="C509" s="7">
        <v>327</v>
      </c>
      <c r="D509" s="7">
        <v>5184</v>
      </c>
    </row>
    <row r="510" spans="1:4" ht="17.25" x14ac:dyDescent="0.35">
      <c r="A510" s="5" t="s">
        <v>851</v>
      </c>
      <c r="B510" s="7">
        <v>5010</v>
      </c>
      <c r="C510" s="7">
        <v>614</v>
      </c>
      <c r="D510" s="7">
        <v>9227</v>
      </c>
    </row>
    <row r="511" spans="1:4" ht="17.25" x14ac:dyDescent="0.35">
      <c r="A511" s="5" t="s">
        <v>852</v>
      </c>
      <c r="B511" s="7">
        <v>5000</v>
      </c>
      <c r="C511" s="7">
        <v>560</v>
      </c>
      <c r="D511" s="7">
        <v>3135</v>
      </c>
    </row>
    <row r="512" spans="1:4" ht="17.25" x14ac:dyDescent="0.35">
      <c r="A512" s="5" t="s">
        <v>853</v>
      </c>
      <c r="B512" s="7">
        <v>4996</v>
      </c>
      <c r="C512" s="7">
        <v>1080</v>
      </c>
      <c r="D512" s="7">
        <v>16904</v>
      </c>
    </row>
    <row r="513" spans="1:4" ht="17.25" x14ac:dyDescent="0.35">
      <c r="A513" s="5" t="s">
        <v>855</v>
      </c>
      <c r="B513" s="7">
        <v>4980</v>
      </c>
      <c r="C513" s="7">
        <v>66</v>
      </c>
      <c r="D513" s="7">
        <v>6700</v>
      </c>
    </row>
    <row r="514" spans="1:4" ht="17.25" x14ac:dyDescent="0.35">
      <c r="A514" s="5" t="s">
        <v>857</v>
      </c>
      <c r="B514" s="7">
        <v>4976</v>
      </c>
      <c r="C514" s="7">
        <v>310</v>
      </c>
      <c r="D514" s="7">
        <v>19850</v>
      </c>
    </row>
    <row r="515" spans="1:4" ht="17.25" x14ac:dyDescent="0.35">
      <c r="A515" s="5" t="s">
        <v>858</v>
      </c>
      <c r="B515" s="7">
        <v>4968</v>
      </c>
      <c r="C515" s="7">
        <v>-4359</v>
      </c>
      <c r="D515" s="7">
        <v>10400</v>
      </c>
    </row>
    <row r="516" spans="1:4" ht="17.25" x14ac:dyDescent="0.35">
      <c r="A516" s="5" t="s">
        <v>859</v>
      </c>
      <c r="B516" s="7">
        <v>4964</v>
      </c>
      <c r="C516" s="7">
        <v>250</v>
      </c>
      <c r="D516" s="7">
        <v>21000</v>
      </c>
    </row>
    <row r="517" spans="1:4" ht="17.25" x14ac:dyDescent="0.35">
      <c r="A517" s="5" t="s">
        <v>861</v>
      </c>
      <c r="B517" s="7">
        <v>4961</v>
      </c>
      <c r="C517" s="7">
        <v>-458</v>
      </c>
      <c r="D517" s="7">
        <v>67500</v>
      </c>
    </row>
    <row r="518" spans="1:4" ht="17.25" x14ac:dyDescent="0.35">
      <c r="A518" s="5" t="s">
        <v>862</v>
      </c>
      <c r="B518" s="7">
        <v>4921</v>
      </c>
      <c r="C518" s="7">
        <v>45</v>
      </c>
      <c r="D518" s="7">
        <v>10626</v>
      </c>
    </row>
    <row r="519" spans="1:4" ht="17.25" x14ac:dyDescent="0.35">
      <c r="A519" s="5" t="s">
        <v>864</v>
      </c>
      <c r="B519" s="7">
        <v>4913</v>
      </c>
      <c r="C519" s="7">
        <v>363</v>
      </c>
      <c r="D519" s="7">
        <v>31500</v>
      </c>
    </row>
    <row r="520" spans="1:4" ht="17.25" x14ac:dyDescent="0.35">
      <c r="A520" s="5" t="s">
        <v>865</v>
      </c>
      <c r="B520" s="7">
        <v>4881</v>
      </c>
      <c r="C520" s="7">
        <v>86</v>
      </c>
      <c r="D520" s="7">
        <v>16000</v>
      </c>
    </row>
    <row r="521" spans="1:4" ht="17.25" x14ac:dyDescent="0.35">
      <c r="A521" s="5" t="s">
        <v>867</v>
      </c>
      <c r="B521" s="7">
        <v>4858</v>
      </c>
      <c r="C521" s="7">
        <v>634</v>
      </c>
      <c r="D521" s="7">
        <v>9058</v>
      </c>
    </row>
    <row r="522" spans="1:4" ht="17.25" x14ac:dyDescent="0.35">
      <c r="A522" s="5" t="s">
        <v>868</v>
      </c>
      <c r="B522" s="7">
        <v>4857</v>
      </c>
      <c r="C522" s="7">
        <v>974</v>
      </c>
      <c r="D522" s="7">
        <v>16200</v>
      </c>
    </row>
    <row r="523" spans="1:4" ht="17.25" x14ac:dyDescent="0.35">
      <c r="A523" s="5" t="s">
        <v>869</v>
      </c>
      <c r="B523" s="7">
        <v>4832</v>
      </c>
      <c r="C523" s="7">
        <v>1</v>
      </c>
      <c r="D523" s="7">
        <v>32000</v>
      </c>
    </row>
    <row r="524" spans="1:4" ht="17.25" x14ac:dyDescent="0.35">
      <c r="A524" s="5" t="s">
        <v>870</v>
      </c>
      <c r="B524" s="7">
        <v>4826</v>
      </c>
      <c r="C524" s="7">
        <v>-273</v>
      </c>
      <c r="D524" s="7">
        <v>3732</v>
      </c>
    </row>
    <row r="525" spans="1:4" ht="17.25" x14ac:dyDescent="0.35">
      <c r="A525" s="5" t="s">
        <v>871</v>
      </c>
      <c r="B525" s="7">
        <v>4803</v>
      </c>
      <c r="C525" s="7">
        <v>-237</v>
      </c>
      <c r="D525" s="7">
        <v>31000</v>
      </c>
    </row>
    <row r="526" spans="1:4" ht="17.25" x14ac:dyDescent="0.35">
      <c r="A526" s="5" t="s">
        <v>873</v>
      </c>
      <c r="B526" s="7">
        <v>4796</v>
      </c>
      <c r="C526" s="7">
        <v>630</v>
      </c>
      <c r="D526" s="7">
        <v>13893</v>
      </c>
    </row>
    <row r="527" spans="1:4" ht="17.25" x14ac:dyDescent="0.35">
      <c r="A527" s="5" t="s">
        <v>874</v>
      </c>
      <c r="B527" s="7">
        <v>4795</v>
      </c>
      <c r="C527" s="7">
        <v>64</v>
      </c>
      <c r="D527" s="7">
        <v>3503</v>
      </c>
    </row>
    <row r="528" spans="1:4" ht="17.25" x14ac:dyDescent="0.35">
      <c r="A528" s="5" t="s">
        <v>875</v>
      </c>
      <c r="B528" s="7">
        <v>4772</v>
      </c>
      <c r="C528" s="7">
        <v>685</v>
      </c>
      <c r="D528" s="7">
        <v>3371</v>
      </c>
    </row>
    <row r="529" spans="1:4" ht="17.25" x14ac:dyDescent="0.35">
      <c r="A529" s="5" t="s">
        <v>876</v>
      </c>
      <c r="B529" s="7">
        <v>4765</v>
      </c>
      <c r="C529" s="7">
        <v>339</v>
      </c>
      <c r="D529" s="7">
        <v>9000</v>
      </c>
    </row>
    <row r="530" spans="1:4" ht="17.25" x14ac:dyDescent="0.35">
      <c r="A530" s="5" t="s">
        <v>878</v>
      </c>
      <c r="B530" s="7">
        <v>4719</v>
      </c>
      <c r="C530" s="7">
        <v>455</v>
      </c>
      <c r="D530" s="7">
        <v>8100</v>
      </c>
    </row>
    <row r="531" spans="1:4" ht="17.25" x14ac:dyDescent="0.35">
      <c r="A531" s="5" t="s">
        <v>880</v>
      </c>
      <c r="B531" s="7">
        <v>4682</v>
      </c>
      <c r="C531" s="7">
        <v>1274</v>
      </c>
      <c r="D531" s="7">
        <v>5549</v>
      </c>
    </row>
    <row r="532" spans="1:4" ht="17.25" x14ac:dyDescent="0.35">
      <c r="A532" s="5" t="s">
        <v>881</v>
      </c>
      <c r="B532" s="7">
        <v>4678</v>
      </c>
      <c r="C532" s="7">
        <v>-642</v>
      </c>
      <c r="D532" s="7">
        <v>22500</v>
      </c>
    </row>
    <row r="533" spans="1:4" ht="17.25" x14ac:dyDescent="0.35">
      <c r="A533" s="5" t="s">
        <v>883</v>
      </c>
      <c r="B533" s="7">
        <v>4664</v>
      </c>
      <c r="C533" s="7">
        <v>504</v>
      </c>
      <c r="D533" s="7">
        <v>6200</v>
      </c>
    </row>
    <row r="534" spans="1:4" ht="17.25" x14ac:dyDescent="0.35">
      <c r="A534" s="5" t="s">
        <v>884</v>
      </c>
      <c r="B534" s="7">
        <v>4664</v>
      </c>
      <c r="C534" s="7">
        <v>892</v>
      </c>
      <c r="D534" s="7">
        <v>7300</v>
      </c>
    </row>
    <row r="535" spans="1:4" ht="17.25" x14ac:dyDescent="0.35">
      <c r="A535" s="5" t="s">
        <v>885</v>
      </c>
      <c r="B535" s="7">
        <v>4658</v>
      </c>
      <c r="C535" s="7">
        <v>315</v>
      </c>
      <c r="D535" s="7">
        <v>21400</v>
      </c>
    </row>
    <row r="536" spans="1:4" ht="17.25" x14ac:dyDescent="0.35">
      <c r="A536" s="5" t="s">
        <v>886</v>
      </c>
      <c r="B536" s="7">
        <v>4654</v>
      </c>
      <c r="C536" s="7">
        <v>5920</v>
      </c>
      <c r="D536" s="7">
        <v>33000</v>
      </c>
    </row>
    <row r="537" spans="1:4" ht="17.25" x14ac:dyDescent="0.35">
      <c r="A537" s="5" t="s">
        <v>887</v>
      </c>
      <c r="B537" s="7">
        <v>4648</v>
      </c>
      <c r="C537" s="7">
        <v>-115</v>
      </c>
      <c r="D537" s="7">
        <v>8500</v>
      </c>
    </row>
    <row r="538" spans="1:4" ht="17.25" x14ac:dyDescent="0.35">
      <c r="A538" s="5" t="s">
        <v>888</v>
      </c>
      <c r="B538" s="7">
        <v>4647</v>
      </c>
      <c r="C538" s="7">
        <v>710</v>
      </c>
      <c r="D538" s="7">
        <v>2060</v>
      </c>
    </row>
    <row r="539" spans="1:4" ht="17.25" x14ac:dyDescent="0.35">
      <c r="A539" s="5" t="s">
        <v>889</v>
      </c>
      <c r="B539" s="7">
        <v>4597</v>
      </c>
      <c r="C539" s="7">
        <v>31</v>
      </c>
      <c r="D539" s="7">
        <v>6900</v>
      </c>
    </row>
    <row r="540" spans="1:4" ht="17.25" x14ac:dyDescent="0.35">
      <c r="A540" s="5" t="s">
        <v>891</v>
      </c>
      <c r="B540" s="7">
        <v>4595</v>
      </c>
      <c r="C540" s="7">
        <v>240</v>
      </c>
      <c r="D540" s="7">
        <v>12864</v>
      </c>
    </row>
    <row r="541" spans="1:4" ht="17.25" x14ac:dyDescent="0.35">
      <c r="A541" s="5" t="s">
        <v>893</v>
      </c>
      <c r="B541" s="7">
        <v>4561</v>
      </c>
      <c r="C541" s="7">
        <v>268</v>
      </c>
      <c r="D541" s="7">
        <v>19000</v>
      </c>
    </row>
    <row r="542" spans="1:4" ht="17.25" x14ac:dyDescent="0.35">
      <c r="A542" s="5" t="s">
        <v>894</v>
      </c>
      <c r="B542" s="7">
        <v>4542</v>
      </c>
      <c r="C542" s="7">
        <v>916</v>
      </c>
      <c r="D542" s="7">
        <v>13483</v>
      </c>
    </row>
    <row r="543" spans="1:4" ht="17.25" x14ac:dyDescent="0.35">
      <c r="A543" s="5" t="s">
        <v>895</v>
      </c>
      <c r="B543" s="7">
        <v>4529</v>
      </c>
      <c r="C543" s="7">
        <v>-332</v>
      </c>
      <c r="D543" s="7">
        <v>4100</v>
      </c>
    </row>
    <row r="544" spans="1:4" ht="17.25" x14ac:dyDescent="0.35">
      <c r="A544" s="5" t="s">
        <v>896</v>
      </c>
      <c r="B544" s="7">
        <v>4520</v>
      </c>
      <c r="C544" s="7">
        <v>498</v>
      </c>
      <c r="D544" s="7">
        <v>6000</v>
      </c>
    </row>
    <row r="545" spans="1:4" ht="17.25" x14ac:dyDescent="0.35">
      <c r="A545" s="5" t="s">
        <v>899</v>
      </c>
      <c r="B545" s="7">
        <v>4515</v>
      </c>
      <c r="C545" s="7">
        <v>-122</v>
      </c>
      <c r="D545" s="7">
        <v>12000</v>
      </c>
    </row>
    <row r="546" spans="1:4" ht="17.25" x14ac:dyDescent="0.35">
      <c r="A546" s="5" t="s">
        <v>898</v>
      </c>
      <c r="B546" s="7">
        <v>4515</v>
      </c>
      <c r="C546" s="7">
        <v>875</v>
      </c>
      <c r="D546" s="7">
        <v>8400</v>
      </c>
    </row>
    <row r="547" spans="1:4" ht="17.25" x14ac:dyDescent="0.35">
      <c r="A547" s="5" t="s">
        <v>901</v>
      </c>
      <c r="B547" s="7">
        <v>4508</v>
      </c>
      <c r="C547" s="7">
        <v>431</v>
      </c>
      <c r="D547" s="7">
        <v>32000</v>
      </c>
    </row>
    <row r="548" spans="1:4" ht="17.25" x14ac:dyDescent="0.35">
      <c r="A548" s="5" t="s">
        <v>902</v>
      </c>
      <c r="B548" s="7">
        <v>4501</v>
      </c>
      <c r="C548" s="7">
        <v>476</v>
      </c>
      <c r="D548" s="7">
        <v>59330</v>
      </c>
    </row>
    <row r="549" spans="1:4" ht="17.25" x14ac:dyDescent="0.35">
      <c r="A549" s="5" t="s">
        <v>903</v>
      </c>
      <c r="B549" s="7">
        <v>4495</v>
      </c>
      <c r="C549" s="7">
        <v>209</v>
      </c>
      <c r="D549" s="7">
        <v>12500</v>
      </c>
    </row>
    <row r="550" spans="1:4" ht="17.25" x14ac:dyDescent="0.35">
      <c r="A550" s="5" t="s">
        <v>904</v>
      </c>
      <c r="B550" s="7">
        <v>4481</v>
      </c>
      <c r="C550" s="7">
        <v>-341</v>
      </c>
      <c r="D550" s="7">
        <v>4981</v>
      </c>
    </row>
    <row r="551" spans="1:4" ht="17.25" x14ac:dyDescent="0.35">
      <c r="A551" s="5" t="s">
        <v>905</v>
      </c>
      <c r="B551" s="7">
        <v>4463</v>
      </c>
      <c r="C551" s="7">
        <v>646</v>
      </c>
      <c r="D551" s="7">
        <v>4225</v>
      </c>
    </row>
    <row r="552" spans="1:4" ht="17.25" x14ac:dyDescent="0.35">
      <c r="A552" s="5" t="s">
        <v>906</v>
      </c>
      <c r="B552" s="7">
        <v>4448</v>
      </c>
      <c r="C552" s="7">
        <v>452</v>
      </c>
      <c r="D552" s="7">
        <v>5000</v>
      </c>
    </row>
    <row r="553" spans="1:4" ht="17.25" x14ac:dyDescent="0.35">
      <c r="A553" s="5" t="s">
        <v>908</v>
      </c>
      <c r="B553" s="7">
        <v>4434</v>
      </c>
      <c r="C553" s="7">
        <v>281</v>
      </c>
      <c r="D553" s="7">
        <v>5000</v>
      </c>
    </row>
    <row r="554" spans="1:4" ht="17.25" x14ac:dyDescent="0.35">
      <c r="A554" s="5" t="s">
        <v>909</v>
      </c>
      <c r="B554" s="7">
        <v>4428</v>
      </c>
      <c r="C554" s="7">
        <v>365</v>
      </c>
      <c r="D554" s="7">
        <v>8193</v>
      </c>
    </row>
    <row r="555" spans="1:4" ht="17.25" x14ac:dyDescent="0.35">
      <c r="A555" s="5" t="s">
        <v>910</v>
      </c>
      <c r="B555" s="7">
        <v>4425</v>
      </c>
      <c r="C555" s="7">
        <v>539</v>
      </c>
      <c r="D555" s="7">
        <v>22200</v>
      </c>
    </row>
    <row r="556" spans="1:4" ht="17.25" x14ac:dyDescent="0.35">
      <c r="A556" s="5" t="s">
        <v>912</v>
      </c>
      <c r="B556" s="7">
        <v>4395</v>
      </c>
      <c r="C556" s="7">
        <v>233</v>
      </c>
      <c r="D556" s="7">
        <v>8100</v>
      </c>
    </row>
    <row r="557" spans="1:4" ht="17.25" x14ac:dyDescent="0.35">
      <c r="A557" s="5" t="s">
        <v>913</v>
      </c>
      <c r="B557" s="7">
        <v>4393</v>
      </c>
      <c r="C557" s="7">
        <v>400</v>
      </c>
      <c r="D557" s="7">
        <v>11130</v>
      </c>
    </row>
    <row r="558" spans="1:4" ht="17.25" x14ac:dyDescent="0.35">
      <c r="A558" s="5" t="s">
        <v>914</v>
      </c>
      <c r="B558" s="7">
        <v>4380</v>
      </c>
      <c r="C558" s="7">
        <v>746</v>
      </c>
      <c r="D558" s="7">
        <v>5829</v>
      </c>
    </row>
    <row r="559" spans="1:4" ht="17.25" x14ac:dyDescent="0.35">
      <c r="A559" s="5" t="s">
        <v>916</v>
      </c>
      <c r="B559" s="7">
        <v>4378</v>
      </c>
      <c r="C559" s="7">
        <v>127</v>
      </c>
      <c r="D559" s="7">
        <v>100000</v>
      </c>
    </row>
    <row r="560" spans="1:4" ht="17.25" x14ac:dyDescent="0.35">
      <c r="A560" s="5" t="s">
        <v>917</v>
      </c>
      <c r="B560" s="7">
        <v>4376</v>
      </c>
      <c r="C560" s="7">
        <v>-622</v>
      </c>
      <c r="D560" s="7">
        <v>8689</v>
      </c>
    </row>
    <row r="561" spans="1:4" ht="17.25" x14ac:dyDescent="0.35">
      <c r="A561" s="5" t="s">
        <v>919</v>
      </c>
      <c r="B561" s="7">
        <v>4375</v>
      </c>
      <c r="C561" s="7">
        <v>223</v>
      </c>
      <c r="D561" s="7">
        <v>7000</v>
      </c>
    </row>
    <row r="562" spans="1:4" ht="17.25" x14ac:dyDescent="0.35">
      <c r="A562" s="5" t="s">
        <v>920</v>
      </c>
      <c r="B562" s="7">
        <v>4369</v>
      </c>
      <c r="C562" s="7">
        <v>159</v>
      </c>
      <c r="D562" s="7">
        <v>12300</v>
      </c>
    </row>
    <row r="563" spans="1:4" ht="17.25" x14ac:dyDescent="0.35">
      <c r="A563" s="5" t="s">
        <v>922</v>
      </c>
      <c r="B563" s="7">
        <v>4343</v>
      </c>
      <c r="C563" s="7">
        <v>738</v>
      </c>
      <c r="D563" s="7">
        <v>5483</v>
      </c>
    </row>
    <row r="564" spans="1:4" ht="17.25" x14ac:dyDescent="0.35">
      <c r="A564" s="5" t="s">
        <v>924</v>
      </c>
      <c r="B564" s="7">
        <v>4328</v>
      </c>
      <c r="C564" s="7">
        <v>124</v>
      </c>
      <c r="D564" s="7">
        <v>45000</v>
      </c>
    </row>
    <row r="565" spans="1:4" ht="17.25" x14ac:dyDescent="0.35">
      <c r="A565" s="5" t="s">
        <v>925</v>
      </c>
      <c r="B565" s="7">
        <v>4324</v>
      </c>
      <c r="C565" s="7">
        <v>846</v>
      </c>
      <c r="D565" s="7">
        <v>11600</v>
      </c>
    </row>
    <row r="566" spans="1:4" ht="17.25" x14ac:dyDescent="0.35">
      <c r="A566" s="5" t="s">
        <v>926</v>
      </c>
      <c r="B566" s="7">
        <v>4319</v>
      </c>
      <c r="C566" s="7">
        <v>154</v>
      </c>
      <c r="D566" s="7">
        <v>9300</v>
      </c>
    </row>
    <row r="567" spans="1:4" ht="17.25" x14ac:dyDescent="0.35">
      <c r="A567" s="5" t="s">
        <v>927</v>
      </c>
      <c r="B567" s="7">
        <v>4315</v>
      </c>
      <c r="C567" s="7">
        <v>117</v>
      </c>
      <c r="D567" s="7">
        <v>15342</v>
      </c>
    </row>
    <row r="568" spans="1:4" ht="17.25" x14ac:dyDescent="0.35">
      <c r="A568" s="5" t="s">
        <v>928</v>
      </c>
      <c r="B568" s="7">
        <v>4308</v>
      </c>
      <c r="C568" s="7">
        <v>700</v>
      </c>
      <c r="D568" s="7">
        <v>2850</v>
      </c>
    </row>
    <row r="569" spans="1:4" ht="17.25" x14ac:dyDescent="0.35">
      <c r="A569" s="5" t="s">
        <v>929</v>
      </c>
      <c r="B569" s="7">
        <v>4296</v>
      </c>
      <c r="C569" s="7">
        <v>402</v>
      </c>
      <c r="D569" s="7">
        <v>10600</v>
      </c>
    </row>
    <row r="570" spans="1:4" ht="17.25" x14ac:dyDescent="0.35">
      <c r="A570" s="5" t="s">
        <v>931</v>
      </c>
      <c r="B570" s="7">
        <v>4275</v>
      </c>
      <c r="C570" s="7">
        <v>169</v>
      </c>
      <c r="D570" s="7">
        <v>3410</v>
      </c>
    </row>
    <row r="571" spans="1:4" ht="17.25" x14ac:dyDescent="0.35">
      <c r="A571" s="5" t="s">
        <v>932</v>
      </c>
      <c r="B571" s="7">
        <v>4260</v>
      </c>
      <c r="C571" s="7">
        <v>53</v>
      </c>
      <c r="D571" s="7">
        <v>2860</v>
      </c>
    </row>
    <row r="572" spans="1:4" ht="17.25" x14ac:dyDescent="0.35">
      <c r="A572" s="5" t="s">
        <v>933</v>
      </c>
      <c r="B572" s="7">
        <v>4229</v>
      </c>
      <c r="C572" s="7">
        <v>198</v>
      </c>
      <c r="D572" s="7">
        <v>20900</v>
      </c>
    </row>
    <row r="573" spans="1:4" ht="17.25" x14ac:dyDescent="0.35">
      <c r="A573" s="5" t="s">
        <v>934</v>
      </c>
      <c r="B573" s="7">
        <v>4213</v>
      </c>
      <c r="C573" s="7">
        <v>-139</v>
      </c>
      <c r="D573" s="7">
        <v>2175</v>
      </c>
    </row>
    <row r="574" spans="1:4" ht="17.25" x14ac:dyDescent="0.35">
      <c r="A574" s="5" t="s">
        <v>935</v>
      </c>
      <c r="B574" s="7">
        <v>4208</v>
      </c>
      <c r="C574" s="7">
        <v>-79</v>
      </c>
      <c r="D574" s="7">
        <v>15900</v>
      </c>
    </row>
    <row r="575" spans="1:4" ht="17.25" x14ac:dyDescent="0.35">
      <c r="A575" s="5" t="s">
        <v>937</v>
      </c>
      <c r="B575" s="7">
        <v>4201</v>
      </c>
      <c r="C575" s="7">
        <v>1223</v>
      </c>
      <c r="D575" s="7">
        <v>5999</v>
      </c>
    </row>
    <row r="576" spans="1:4" ht="17.25" x14ac:dyDescent="0.35">
      <c r="A576" s="5" t="s">
        <v>939</v>
      </c>
      <c r="B576" s="7">
        <v>4199</v>
      </c>
      <c r="C576" s="7">
        <v>-13</v>
      </c>
      <c r="D576" s="7">
        <v>2954</v>
      </c>
    </row>
    <row r="577" spans="1:4" ht="17.25" x14ac:dyDescent="0.35">
      <c r="A577" s="5" t="s">
        <v>940</v>
      </c>
      <c r="B577" s="7">
        <v>4192</v>
      </c>
      <c r="C577" s="7">
        <v>402</v>
      </c>
      <c r="D577" s="7">
        <v>12950</v>
      </c>
    </row>
    <row r="578" spans="1:4" ht="17.25" x14ac:dyDescent="0.35">
      <c r="A578" s="5" t="s">
        <v>941</v>
      </c>
      <c r="B578" s="7">
        <v>4171</v>
      </c>
      <c r="C578" s="7">
        <v>363</v>
      </c>
      <c r="D578" s="7">
        <v>3900</v>
      </c>
    </row>
    <row r="579" spans="1:4" ht="17.25" x14ac:dyDescent="0.35">
      <c r="A579" s="5" t="s">
        <v>943</v>
      </c>
      <c r="B579" s="7">
        <v>4160</v>
      </c>
      <c r="C579" s="7">
        <v>230</v>
      </c>
      <c r="D579" s="7">
        <v>12000</v>
      </c>
    </row>
    <row r="580" spans="1:4" ht="17.25" x14ac:dyDescent="0.35">
      <c r="A580" s="5" t="s">
        <v>944</v>
      </c>
      <c r="B580" s="7">
        <v>4143</v>
      </c>
      <c r="C580" s="7">
        <v>241</v>
      </c>
      <c r="D580" s="7">
        <v>12607</v>
      </c>
    </row>
    <row r="581" spans="1:4" ht="17.25" x14ac:dyDescent="0.35">
      <c r="A581" s="5" t="s">
        <v>945</v>
      </c>
      <c r="B581" s="7">
        <v>4142</v>
      </c>
      <c r="C581" s="7">
        <v>315</v>
      </c>
      <c r="D581" s="7">
        <v>4753</v>
      </c>
    </row>
    <row r="582" spans="1:4" ht="17.25" x14ac:dyDescent="0.35">
      <c r="A582" s="5" t="s">
        <v>946</v>
      </c>
      <c r="B582" s="7">
        <v>4140</v>
      </c>
      <c r="C582" s="7">
        <v>-40</v>
      </c>
      <c r="D582" s="7">
        <v>5100</v>
      </c>
    </row>
    <row r="583" spans="1:4" ht="17.25" x14ac:dyDescent="0.35">
      <c r="A583" s="5" t="s">
        <v>947</v>
      </c>
      <c r="B583" s="7">
        <v>4113</v>
      </c>
      <c r="C583" s="7">
        <v>173</v>
      </c>
      <c r="D583" s="7">
        <v>5000</v>
      </c>
    </row>
    <row r="584" spans="1:4" ht="17.25" x14ac:dyDescent="0.35">
      <c r="A584" s="5" t="s">
        <v>948</v>
      </c>
      <c r="B584" s="7">
        <v>4105</v>
      </c>
      <c r="C584" s="7">
        <v>464</v>
      </c>
      <c r="D584" s="7">
        <v>12200</v>
      </c>
    </row>
    <row r="585" spans="1:4" ht="17.25" x14ac:dyDescent="0.35">
      <c r="A585" s="5" t="s">
        <v>949</v>
      </c>
      <c r="B585" s="7">
        <v>4104</v>
      </c>
      <c r="C585" s="7">
        <v>636</v>
      </c>
      <c r="D585" s="7">
        <v>4300</v>
      </c>
    </row>
    <row r="586" spans="1:4" ht="17.25" x14ac:dyDescent="0.35">
      <c r="A586" s="5" t="s">
        <v>951</v>
      </c>
      <c r="B586" s="7">
        <v>4081</v>
      </c>
      <c r="C586" s="7">
        <v>-144</v>
      </c>
      <c r="D586" s="7">
        <v>11656</v>
      </c>
    </row>
    <row r="587" spans="1:4" ht="17.25" x14ac:dyDescent="0.35">
      <c r="A587" s="5" t="s">
        <v>952</v>
      </c>
      <c r="B587" s="7">
        <v>4076</v>
      </c>
      <c r="C587" s="7">
        <v>195</v>
      </c>
      <c r="D587" s="7">
        <v>20800</v>
      </c>
    </row>
    <row r="588" spans="1:4" ht="17.25" x14ac:dyDescent="0.35">
      <c r="A588" s="5" t="s">
        <v>955</v>
      </c>
      <c r="B588" s="7">
        <v>4071</v>
      </c>
      <c r="C588" s="7">
        <v>654</v>
      </c>
      <c r="D588" s="7">
        <v>7660</v>
      </c>
    </row>
    <row r="589" spans="1:4" ht="17.25" x14ac:dyDescent="0.35">
      <c r="A589" s="5" t="s">
        <v>953</v>
      </c>
      <c r="B589" s="7">
        <v>4071</v>
      </c>
      <c r="C589" s="7">
        <v>239</v>
      </c>
      <c r="D589" s="7">
        <v>17696</v>
      </c>
    </row>
    <row r="590" spans="1:4" ht="17.25" x14ac:dyDescent="0.35">
      <c r="A590" s="5" t="s">
        <v>956</v>
      </c>
      <c r="B590" s="7">
        <v>4046</v>
      </c>
      <c r="C590" s="7">
        <v>-889</v>
      </c>
      <c r="D590" s="7">
        <v>13058</v>
      </c>
    </row>
    <row r="591" spans="1:4" ht="17.25" x14ac:dyDescent="0.35">
      <c r="A591" s="5" t="s">
        <v>957</v>
      </c>
      <c r="B591" s="7">
        <v>4038</v>
      </c>
      <c r="C591" s="7">
        <v>401</v>
      </c>
      <c r="D591" s="7">
        <v>11800</v>
      </c>
    </row>
    <row r="592" spans="1:4" ht="17.25" x14ac:dyDescent="0.35">
      <c r="A592" s="5" t="s">
        <v>958</v>
      </c>
      <c r="B592" s="7">
        <v>4027</v>
      </c>
      <c r="C592" s="7">
        <v>527</v>
      </c>
      <c r="D592" s="7">
        <v>3115</v>
      </c>
    </row>
    <row r="593" spans="1:4" ht="17.25" x14ac:dyDescent="0.35">
      <c r="A593" s="5" t="s">
        <v>960</v>
      </c>
      <c r="B593" s="7">
        <v>4007</v>
      </c>
      <c r="C593" s="7">
        <v>199</v>
      </c>
      <c r="D593" s="7">
        <v>10450</v>
      </c>
    </row>
    <row r="594" spans="1:4" ht="17.25" x14ac:dyDescent="0.35">
      <c r="A594" s="5" t="s">
        <v>962</v>
      </c>
      <c r="B594" s="7">
        <v>3998</v>
      </c>
      <c r="C594" s="7">
        <v>189</v>
      </c>
      <c r="D594" s="7">
        <v>19700</v>
      </c>
    </row>
    <row r="595" spans="1:4" ht="17.25" x14ac:dyDescent="0.35">
      <c r="A595" s="5" t="s">
        <v>964</v>
      </c>
      <c r="B595" s="7">
        <v>3991</v>
      </c>
      <c r="C595" s="7">
        <v>-660</v>
      </c>
      <c r="D595" s="7">
        <v>9100</v>
      </c>
    </row>
    <row r="596" spans="1:4" ht="17.25" x14ac:dyDescent="0.35">
      <c r="A596" s="5" t="s">
        <v>965</v>
      </c>
      <c r="B596" s="7">
        <v>3974</v>
      </c>
      <c r="C596" s="7">
        <v>591</v>
      </c>
      <c r="D596" s="7">
        <v>15400</v>
      </c>
    </row>
    <row r="597" spans="1:4" ht="17.25" x14ac:dyDescent="0.35">
      <c r="A597" s="5" t="s">
        <v>967</v>
      </c>
      <c r="B597" s="7">
        <v>3971</v>
      </c>
      <c r="C597" s="7">
        <v>38</v>
      </c>
      <c r="D597" s="7">
        <v>6939</v>
      </c>
    </row>
    <row r="598" spans="1:4" ht="17.25" x14ac:dyDescent="0.35">
      <c r="A598" s="5" t="s">
        <v>969</v>
      </c>
      <c r="B598" s="7">
        <v>3967</v>
      </c>
      <c r="C598" s="7">
        <v>168</v>
      </c>
      <c r="D598" s="7">
        <v>17087</v>
      </c>
    </row>
    <row r="599" spans="1:4" ht="17.25" x14ac:dyDescent="0.35">
      <c r="A599" s="5" t="s">
        <v>971</v>
      </c>
      <c r="B599" s="7">
        <v>3963</v>
      </c>
      <c r="C599" s="7">
        <v>233</v>
      </c>
      <c r="D599" s="7">
        <v>9600</v>
      </c>
    </row>
    <row r="600" spans="1:4" ht="17.25" x14ac:dyDescent="0.35">
      <c r="A600" s="5" t="s">
        <v>972</v>
      </c>
      <c r="B600" s="7">
        <v>3955</v>
      </c>
      <c r="C600" s="7">
        <v>941</v>
      </c>
      <c r="D600" s="7">
        <v>480</v>
      </c>
    </row>
    <row r="601" spans="1:4" ht="17.25" x14ac:dyDescent="0.35">
      <c r="A601" s="5" t="s">
        <v>973</v>
      </c>
      <c r="B601" s="7">
        <v>3949</v>
      </c>
      <c r="C601" s="7">
        <v>20</v>
      </c>
      <c r="D601" s="7">
        <v>2450</v>
      </c>
    </row>
    <row r="602" spans="1:4" ht="17.25" x14ac:dyDescent="0.35">
      <c r="A602" s="5" t="s">
        <v>974</v>
      </c>
      <c r="B602" s="7">
        <v>3941</v>
      </c>
      <c r="C602" s="7">
        <v>353</v>
      </c>
      <c r="D602" s="7">
        <v>5203</v>
      </c>
    </row>
    <row r="603" spans="1:4" ht="17.25" x14ac:dyDescent="0.35">
      <c r="A603" s="5" t="s">
        <v>975</v>
      </c>
      <c r="B603" s="7">
        <v>3937</v>
      </c>
      <c r="C603" s="7">
        <v>325</v>
      </c>
      <c r="D603" s="7">
        <v>20000</v>
      </c>
    </row>
    <row r="604" spans="1:4" ht="17.25" x14ac:dyDescent="0.35">
      <c r="A604" s="5" t="s">
        <v>977</v>
      </c>
      <c r="B604" s="7">
        <v>3924</v>
      </c>
      <c r="C604" s="7">
        <v>320</v>
      </c>
      <c r="D604" s="7">
        <v>18100</v>
      </c>
    </row>
    <row r="605" spans="1:4" ht="17.25" x14ac:dyDescent="0.35">
      <c r="A605" s="5" t="s">
        <v>979</v>
      </c>
      <c r="B605" s="7">
        <v>3906</v>
      </c>
      <c r="C605" s="7">
        <v>1057</v>
      </c>
      <c r="D605" s="7">
        <v>4900</v>
      </c>
    </row>
    <row r="606" spans="1:4" ht="17.25" x14ac:dyDescent="0.35">
      <c r="A606" s="5" t="s">
        <v>980</v>
      </c>
      <c r="B606" s="7">
        <v>3903</v>
      </c>
      <c r="C606" s="7">
        <v>236</v>
      </c>
      <c r="D606" s="7">
        <v>13054</v>
      </c>
    </row>
    <row r="607" spans="1:4" ht="17.25" x14ac:dyDescent="0.35">
      <c r="A607" s="5" t="s">
        <v>981</v>
      </c>
      <c r="B607" s="7">
        <v>3889</v>
      </c>
      <c r="C607" s="7">
        <v>239</v>
      </c>
      <c r="D607" s="7">
        <v>15153</v>
      </c>
    </row>
    <row r="608" spans="1:4" ht="17.25" x14ac:dyDescent="0.35">
      <c r="A608" s="5" t="s">
        <v>982</v>
      </c>
      <c r="B608" s="7">
        <v>3870</v>
      </c>
      <c r="C608" s="7">
        <v>50</v>
      </c>
      <c r="D608" s="7">
        <v>2591</v>
      </c>
    </row>
    <row r="609" spans="1:4" ht="17.25" x14ac:dyDescent="0.35">
      <c r="A609" s="5" t="s">
        <v>983</v>
      </c>
      <c r="B609" s="7">
        <v>3869</v>
      </c>
      <c r="C609" s="7">
        <v>516</v>
      </c>
      <c r="D609" s="7">
        <v>20746</v>
      </c>
    </row>
    <row r="610" spans="1:4" ht="17.25" x14ac:dyDescent="0.35">
      <c r="A610" s="5" t="s">
        <v>985</v>
      </c>
      <c r="B610" s="7">
        <v>3866</v>
      </c>
      <c r="C610" s="7">
        <v>168</v>
      </c>
      <c r="D610" s="7">
        <v>5300</v>
      </c>
    </row>
    <row r="611" spans="1:4" ht="17.25" x14ac:dyDescent="0.35">
      <c r="A611" s="5" t="s">
        <v>986</v>
      </c>
      <c r="B611" s="7">
        <v>3860</v>
      </c>
      <c r="C611" s="7">
        <v>884</v>
      </c>
      <c r="D611" s="7">
        <v>462</v>
      </c>
    </row>
    <row r="612" spans="1:4" ht="17.25" x14ac:dyDescent="0.35">
      <c r="A612" s="5" t="s">
        <v>987</v>
      </c>
      <c r="B612" s="7">
        <v>3834</v>
      </c>
      <c r="C612" s="7">
        <v>235</v>
      </c>
      <c r="D612" s="7">
        <v>21033</v>
      </c>
    </row>
    <row r="613" spans="1:4" ht="17.25" x14ac:dyDescent="0.35">
      <c r="A613" s="5" t="s">
        <v>989</v>
      </c>
      <c r="B613" s="7">
        <v>3812</v>
      </c>
      <c r="C613" s="7">
        <v>271</v>
      </c>
      <c r="D613" s="7">
        <v>3500</v>
      </c>
    </row>
    <row r="614" spans="1:4" ht="17.25" x14ac:dyDescent="0.35">
      <c r="A614" s="5" t="s">
        <v>991</v>
      </c>
      <c r="B614" s="7">
        <v>3808</v>
      </c>
      <c r="C614" s="7">
        <v>-71</v>
      </c>
      <c r="D614" s="7">
        <v>23000</v>
      </c>
    </row>
    <row r="615" spans="1:4" ht="17.25" x14ac:dyDescent="0.35">
      <c r="A615" s="5" t="s">
        <v>1504</v>
      </c>
      <c r="B615" s="7">
        <v>3796</v>
      </c>
      <c r="C615" s="7">
        <v>344</v>
      </c>
      <c r="D615" s="7">
        <v>5292</v>
      </c>
    </row>
    <row r="616" spans="1:4" ht="17.25" x14ac:dyDescent="0.35">
      <c r="A616" s="5" t="s">
        <v>993</v>
      </c>
      <c r="B616" s="7">
        <v>3787</v>
      </c>
      <c r="C616" s="7">
        <v>-816</v>
      </c>
      <c r="D616" s="7">
        <v>5830</v>
      </c>
    </row>
    <row r="617" spans="1:4" ht="17.25" x14ac:dyDescent="0.35">
      <c r="A617" s="5" t="s">
        <v>994</v>
      </c>
      <c r="B617" s="7">
        <v>3779</v>
      </c>
      <c r="C617" s="7">
        <v>59</v>
      </c>
      <c r="D617" s="7">
        <v>17125</v>
      </c>
    </row>
    <row r="618" spans="1:4" ht="17.25" x14ac:dyDescent="0.35">
      <c r="A618" s="5" t="s">
        <v>996</v>
      </c>
      <c r="B618" s="7">
        <v>3779</v>
      </c>
      <c r="C618" s="7">
        <v>189</v>
      </c>
      <c r="D618" s="7">
        <v>10900</v>
      </c>
    </row>
    <row r="619" spans="1:4" ht="17.25" x14ac:dyDescent="0.35">
      <c r="A619" s="5" t="s">
        <v>998</v>
      </c>
      <c r="B619" s="7">
        <v>3776</v>
      </c>
      <c r="C619" s="7">
        <v>991</v>
      </c>
      <c r="D619" s="7">
        <v>8900</v>
      </c>
    </row>
    <row r="620" spans="1:4" ht="17.25" x14ac:dyDescent="0.35">
      <c r="A620" s="5" t="s">
        <v>999</v>
      </c>
      <c r="B620" s="7">
        <v>3764</v>
      </c>
      <c r="C620" s="7">
        <v>172</v>
      </c>
      <c r="D620" s="7">
        <v>9600</v>
      </c>
    </row>
    <row r="621" spans="1:4" ht="17.25" x14ac:dyDescent="0.35">
      <c r="A621" s="5" t="s">
        <v>1000</v>
      </c>
      <c r="B621" s="7">
        <v>3743</v>
      </c>
      <c r="C621" s="7">
        <v>131</v>
      </c>
      <c r="D621" s="7">
        <v>34700</v>
      </c>
    </row>
    <row r="622" spans="1:4" ht="17.25" x14ac:dyDescent="0.35">
      <c r="A622" s="5" t="s">
        <v>1002</v>
      </c>
      <c r="B622" s="7">
        <v>3729</v>
      </c>
      <c r="C622" s="7">
        <v>1521</v>
      </c>
      <c r="D622" s="7">
        <v>2700</v>
      </c>
    </row>
    <row r="623" spans="1:4" ht="17.25" x14ac:dyDescent="0.35">
      <c r="A623" s="5" t="s">
        <v>1003</v>
      </c>
      <c r="B623" s="7">
        <v>3720</v>
      </c>
      <c r="C623" s="7">
        <v>-378</v>
      </c>
      <c r="D623" s="7">
        <v>9200</v>
      </c>
    </row>
    <row r="624" spans="1:4" ht="17.25" x14ac:dyDescent="0.35">
      <c r="A624" s="5" t="s">
        <v>1004</v>
      </c>
      <c r="B624" s="7">
        <v>3691</v>
      </c>
      <c r="C624" s="7">
        <v>169</v>
      </c>
      <c r="D624" s="7">
        <v>6600</v>
      </c>
    </row>
    <row r="625" spans="1:4" ht="17.25" x14ac:dyDescent="0.35">
      <c r="A625" s="5" t="s">
        <v>1005</v>
      </c>
      <c r="B625" s="7">
        <v>3653</v>
      </c>
      <c r="C625" s="7">
        <v>340</v>
      </c>
      <c r="D625" s="7">
        <v>12700</v>
      </c>
    </row>
    <row r="626" spans="1:4" ht="17.25" x14ac:dyDescent="0.35">
      <c r="A626" s="5" t="s">
        <v>1007</v>
      </c>
      <c r="B626" s="7">
        <v>3652</v>
      </c>
      <c r="C626" s="7">
        <v>-137</v>
      </c>
      <c r="D626" s="7">
        <v>7000</v>
      </c>
    </row>
    <row r="627" spans="1:4" ht="17.25" x14ac:dyDescent="0.35">
      <c r="A627" s="5" t="s">
        <v>1008</v>
      </c>
      <c r="B627" s="7">
        <v>3651</v>
      </c>
      <c r="C627" s="7">
        <v>335</v>
      </c>
      <c r="D627" s="7">
        <v>6963</v>
      </c>
    </row>
    <row r="628" spans="1:4" ht="17.25" x14ac:dyDescent="0.35">
      <c r="A628" s="5" t="s">
        <v>1012</v>
      </c>
      <c r="B628" s="7">
        <v>3645</v>
      </c>
      <c r="C628" s="7">
        <v>385</v>
      </c>
      <c r="D628" s="7">
        <v>16300</v>
      </c>
    </row>
    <row r="629" spans="1:4" ht="17.25" x14ac:dyDescent="0.35">
      <c r="A629" s="5" t="s">
        <v>1010</v>
      </c>
      <c r="B629" s="7">
        <v>3645</v>
      </c>
      <c r="C629" s="7">
        <v>-257</v>
      </c>
      <c r="D629" s="7">
        <v>8000</v>
      </c>
    </row>
    <row r="630" spans="1:4" ht="17.25" x14ac:dyDescent="0.35">
      <c r="A630" s="5" t="s">
        <v>1013</v>
      </c>
      <c r="B630" s="7">
        <v>3633</v>
      </c>
      <c r="C630" s="7">
        <v>52</v>
      </c>
      <c r="D630" s="7">
        <v>5830</v>
      </c>
    </row>
    <row r="631" spans="1:4" ht="17.25" x14ac:dyDescent="0.35">
      <c r="A631" s="5" t="s">
        <v>1014</v>
      </c>
      <c r="B631" s="7">
        <v>3617</v>
      </c>
      <c r="C631" s="7">
        <v>72</v>
      </c>
      <c r="D631" s="7">
        <v>13150</v>
      </c>
    </row>
    <row r="632" spans="1:4" ht="17.25" x14ac:dyDescent="0.35">
      <c r="A632" s="5" t="s">
        <v>1016</v>
      </c>
      <c r="B632" s="7">
        <v>3597</v>
      </c>
      <c r="C632" s="7">
        <v>83</v>
      </c>
      <c r="D632" s="7">
        <v>18800</v>
      </c>
    </row>
    <row r="633" spans="1:4" ht="17.25" x14ac:dyDescent="0.35">
      <c r="A633" s="5" t="s">
        <v>1018</v>
      </c>
      <c r="B633" s="7">
        <v>3593</v>
      </c>
      <c r="C633" s="7">
        <v>479</v>
      </c>
      <c r="D633" s="7">
        <v>11500</v>
      </c>
    </row>
    <row r="634" spans="1:4" ht="17.25" x14ac:dyDescent="0.35">
      <c r="A634" s="5" t="s">
        <v>1020</v>
      </c>
      <c r="B634" s="7">
        <v>3593</v>
      </c>
      <c r="C634" s="7">
        <v>129</v>
      </c>
      <c r="D634" s="7">
        <v>20000</v>
      </c>
    </row>
    <row r="635" spans="1:4" ht="17.25" x14ac:dyDescent="0.35">
      <c r="A635" s="5" t="s">
        <v>1021</v>
      </c>
      <c r="B635" s="7">
        <v>3582</v>
      </c>
      <c r="C635" s="7">
        <v>696</v>
      </c>
      <c r="D635" s="7">
        <v>10806</v>
      </c>
    </row>
    <row r="636" spans="1:4" ht="17.25" x14ac:dyDescent="0.35">
      <c r="A636" s="5" t="s">
        <v>1023</v>
      </c>
      <c r="B636" s="7">
        <v>3579</v>
      </c>
      <c r="C636" s="7">
        <v>546</v>
      </c>
      <c r="D636" s="7">
        <v>6350</v>
      </c>
    </row>
    <row r="637" spans="1:4" ht="17.25" x14ac:dyDescent="0.35">
      <c r="A637" s="5" t="s">
        <v>1024</v>
      </c>
      <c r="B637" s="7">
        <v>3578</v>
      </c>
      <c r="C637" s="7">
        <v>408</v>
      </c>
      <c r="D637" s="7">
        <v>14800</v>
      </c>
    </row>
    <row r="638" spans="1:4" ht="17.25" x14ac:dyDescent="0.35">
      <c r="A638" s="5" t="s">
        <v>1025</v>
      </c>
      <c r="B638" s="7">
        <v>3574</v>
      </c>
      <c r="C638" s="7">
        <v>296</v>
      </c>
      <c r="D638" s="7">
        <v>17100</v>
      </c>
    </row>
    <row r="639" spans="1:4" ht="17.25" x14ac:dyDescent="0.35">
      <c r="A639" s="5" t="s">
        <v>1026</v>
      </c>
      <c r="B639" s="7">
        <v>3568</v>
      </c>
      <c r="C639" s="7">
        <v>360</v>
      </c>
      <c r="D639" s="7">
        <v>17500</v>
      </c>
    </row>
    <row r="640" spans="1:4" ht="17.25" x14ac:dyDescent="0.35">
      <c r="A640" s="5" t="s">
        <v>1027</v>
      </c>
      <c r="B640" s="7">
        <v>3564</v>
      </c>
      <c r="C640" s="7">
        <v>-23</v>
      </c>
      <c r="D640" s="7">
        <v>14000</v>
      </c>
    </row>
    <row r="641" spans="1:4" ht="17.25" x14ac:dyDescent="0.35">
      <c r="A641" s="5" t="s">
        <v>1028</v>
      </c>
      <c r="B641" s="7">
        <v>3551</v>
      </c>
      <c r="C641" s="7">
        <v>-40</v>
      </c>
      <c r="D641" s="7">
        <v>14000</v>
      </c>
    </row>
    <row r="642" spans="1:4" ht="17.25" x14ac:dyDescent="0.35">
      <c r="A642" s="5" t="s">
        <v>1030</v>
      </c>
      <c r="B642" s="7">
        <v>3543</v>
      </c>
      <c r="C642" s="7">
        <v>320</v>
      </c>
      <c r="D642" s="7">
        <v>12000</v>
      </c>
    </row>
    <row r="643" spans="1:4" ht="17.25" x14ac:dyDescent="0.35">
      <c r="A643" s="5" t="s">
        <v>1032</v>
      </c>
      <c r="B643" s="7">
        <v>3540</v>
      </c>
      <c r="C643" s="7">
        <v>289</v>
      </c>
      <c r="D643" s="7">
        <v>7299</v>
      </c>
    </row>
    <row r="644" spans="1:4" ht="17.25" x14ac:dyDescent="0.35">
      <c r="A644" s="5" t="s">
        <v>1031</v>
      </c>
      <c r="B644" s="7">
        <v>3540</v>
      </c>
      <c r="C644" s="7">
        <v>214</v>
      </c>
      <c r="D644" s="7">
        <v>2855</v>
      </c>
    </row>
    <row r="645" spans="1:4" ht="17.25" x14ac:dyDescent="0.35">
      <c r="A645" s="5" t="s">
        <v>1034</v>
      </c>
      <c r="B645" s="7">
        <v>3526</v>
      </c>
      <c r="C645" s="7">
        <v>71</v>
      </c>
      <c r="D645" s="7">
        <v>2633</v>
      </c>
    </row>
    <row r="646" spans="1:4" ht="17.25" x14ac:dyDescent="0.35">
      <c r="A646" s="5" t="s">
        <v>1035</v>
      </c>
      <c r="B646" s="7">
        <v>3522</v>
      </c>
      <c r="C646" s="7">
        <v>218</v>
      </c>
      <c r="D646" s="7">
        <v>22150</v>
      </c>
    </row>
    <row r="647" spans="1:4" ht="17.25" x14ac:dyDescent="0.35">
      <c r="A647" s="5" t="s">
        <v>1036</v>
      </c>
      <c r="B647" s="7">
        <v>3519</v>
      </c>
      <c r="C647" s="7">
        <v>36</v>
      </c>
      <c r="D647" s="7">
        <v>28500</v>
      </c>
    </row>
    <row r="648" spans="1:4" ht="17.25" x14ac:dyDescent="0.35">
      <c r="A648" s="5" t="s">
        <v>1038</v>
      </c>
      <c r="B648" s="7">
        <v>3510</v>
      </c>
      <c r="C648" s="7">
        <v>143</v>
      </c>
      <c r="D648" s="7">
        <v>26200</v>
      </c>
    </row>
    <row r="649" spans="1:4" ht="17.25" x14ac:dyDescent="0.35">
      <c r="A649" s="5" t="s">
        <v>1041</v>
      </c>
      <c r="B649" s="7">
        <v>3506</v>
      </c>
      <c r="C649" s="7">
        <v>64</v>
      </c>
      <c r="D649" s="7">
        <v>8400</v>
      </c>
    </row>
    <row r="650" spans="1:4" ht="17.25" x14ac:dyDescent="0.35">
      <c r="A650" s="5" t="s">
        <v>1040</v>
      </c>
      <c r="B650" s="7">
        <v>3506</v>
      </c>
      <c r="C650" s="7">
        <v>173</v>
      </c>
      <c r="D650" s="7">
        <v>3343</v>
      </c>
    </row>
    <row r="651" spans="1:4" ht="17.25" x14ac:dyDescent="0.35">
      <c r="A651" s="5" t="s">
        <v>1042</v>
      </c>
      <c r="B651" s="7">
        <v>3496</v>
      </c>
      <c r="C651" s="7">
        <v>-1027</v>
      </c>
      <c r="D651" s="7">
        <v>21250</v>
      </c>
    </row>
    <row r="652" spans="1:4" ht="17.25" x14ac:dyDescent="0.35">
      <c r="A652" s="5" t="s">
        <v>1043</v>
      </c>
      <c r="B652" s="7">
        <v>3496</v>
      </c>
      <c r="C652" s="7">
        <v>206</v>
      </c>
      <c r="D652" s="7">
        <v>24500</v>
      </c>
    </row>
    <row r="653" spans="1:4" ht="17.25" x14ac:dyDescent="0.35">
      <c r="A653" s="5" t="s">
        <v>1044</v>
      </c>
      <c r="B653" s="7">
        <v>3495</v>
      </c>
      <c r="C653" s="7">
        <v>437</v>
      </c>
      <c r="D653" s="7">
        <v>6407</v>
      </c>
    </row>
    <row r="654" spans="1:4" ht="17.25" x14ac:dyDescent="0.35">
      <c r="A654" s="5" t="s">
        <v>1045</v>
      </c>
      <c r="B654" s="7">
        <v>3486</v>
      </c>
      <c r="C654" s="7">
        <v>418</v>
      </c>
      <c r="D654" s="7">
        <v>466</v>
      </c>
    </row>
    <row r="655" spans="1:4" ht="17.25" x14ac:dyDescent="0.35">
      <c r="A655" s="5" t="s">
        <v>1046</v>
      </c>
      <c r="B655" s="7">
        <v>3485</v>
      </c>
      <c r="C655" s="7">
        <v>941</v>
      </c>
      <c r="D655" s="7">
        <v>10400</v>
      </c>
    </row>
    <row r="656" spans="1:4" ht="17.25" x14ac:dyDescent="0.35">
      <c r="A656" s="5" t="s">
        <v>1047</v>
      </c>
      <c r="B656" s="7">
        <v>3482</v>
      </c>
      <c r="C656" s="7">
        <v>78</v>
      </c>
      <c r="D656" s="7">
        <v>590</v>
      </c>
    </row>
    <row r="657" spans="1:4" ht="17.25" x14ac:dyDescent="0.35">
      <c r="A657" s="5" t="s">
        <v>1049</v>
      </c>
      <c r="B657" s="7">
        <v>3471</v>
      </c>
      <c r="C657" s="7">
        <v>489</v>
      </c>
      <c r="D657" s="7">
        <v>6000</v>
      </c>
    </row>
    <row r="658" spans="1:4" ht="17.25" x14ac:dyDescent="0.35">
      <c r="A658" s="5" t="s">
        <v>1050</v>
      </c>
      <c r="B658" s="7">
        <v>3467</v>
      </c>
      <c r="C658" s="7">
        <v>187</v>
      </c>
      <c r="D658" s="7">
        <v>10000</v>
      </c>
    </row>
    <row r="659" spans="1:4" ht="17.25" x14ac:dyDescent="0.35">
      <c r="A659" s="5" t="s">
        <v>1052</v>
      </c>
      <c r="B659" s="7">
        <v>3453</v>
      </c>
      <c r="C659" s="7">
        <v>437</v>
      </c>
      <c r="D659" s="7">
        <v>1765</v>
      </c>
    </row>
    <row r="660" spans="1:4" ht="17.25" x14ac:dyDescent="0.35">
      <c r="A660" s="5" t="s">
        <v>1053</v>
      </c>
      <c r="B660" s="7">
        <v>3445</v>
      </c>
      <c r="C660" s="7">
        <v>225</v>
      </c>
      <c r="D660" s="7">
        <v>16680</v>
      </c>
    </row>
    <row r="661" spans="1:4" ht="17.25" x14ac:dyDescent="0.35">
      <c r="A661" s="5" t="s">
        <v>1054</v>
      </c>
      <c r="B661" s="7">
        <v>3436</v>
      </c>
      <c r="C661" s="7">
        <v>64</v>
      </c>
      <c r="D661" s="7">
        <v>11430</v>
      </c>
    </row>
    <row r="662" spans="1:4" ht="17.25" x14ac:dyDescent="0.35">
      <c r="A662" s="5" t="s">
        <v>1056</v>
      </c>
      <c r="B662" s="7">
        <v>3435</v>
      </c>
      <c r="C662" s="7">
        <v>697</v>
      </c>
      <c r="D662" s="7">
        <v>9700</v>
      </c>
    </row>
    <row r="663" spans="1:4" ht="17.25" x14ac:dyDescent="0.35">
      <c r="A663" s="5" t="s">
        <v>1058</v>
      </c>
      <c r="B663" s="7">
        <v>3422</v>
      </c>
      <c r="C663" s="7">
        <v>221</v>
      </c>
      <c r="D663" s="7">
        <v>7187</v>
      </c>
    </row>
    <row r="664" spans="1:4" ht="17.25" x14ac:dyDescent="0.35">
      <c r="A664" s="5" t="s">
        <v>1059</v>
      </c>
      <c r="B664" s="7">
        <v>3416</v>
      </c>
      <c r="C664" s="7">
        <v>135</v>
      </c>
      <c r="D664" s="7">
        <v>15000</v>
      </c>
    </row>
    <row r="665" spans="1:4" ht="17.25" x14ac:dyDescent="0.35">
      <c r="A665" s="5" t="s">
        <v>1061</v>
      </c>
      <c r="B665" s="7">
        <v>3415</v>
      </c>
      <c r="C665" s="7">
        <v>-2271</v>
      </c>
      <c r="D665" s="7">
        <v>1258</v>
      </c>
    </row>
    <row r="666" spans="1:4" ht="17.25" x14ac:dyDescent="0.35">
      <c r="A666" s="5" t="s">
        <v>1062</v>
      </c>
      <c r="B666" s="7">
        <v>3403</v>
      </c>
      <c r="C666" s="7">
        <v>428</v>
      </c>
      <c r="D666" s="7">
        <v>3824</v>
      </c>
    </row>
    <row r="667" spans="1:4" ht="17.25" x14ac:dyDescent="0.35">
      <c r="A667" s="5" t="s">
        <v>1063</v>
      </c>
      <c r="B667" s="7">
        <v>3397</v>
      </c>
      <c r="C667" s="7">
        <v>79</v>
      </c>
      <c r="D667" s="7">
        <v>10000</v>
      </c>
    </row>
    <row r="668" spans="1:4" ht="17.25" x14ac:dyDescent="0.35">
      <c r="A668" s="5" t="s">
        <v>1064</v>
      </c>
      <c r="B668" s="7">
        <v>3395</v>
      </c>
      <c r="C668" s="7">
        <v>410</v>
      </c>
      <c r="D668" s="7">
        <v>4406</v>
      </c>
    </row>
    <row r="669" spans="1:4" ht="17.25" x14ac:dyDescent="0.35">
      <c r="A669" s="5" t="s">
        <v>1066</v>
      </c>
      <c r="B669" s="7">
        <v>3390</v>
      </c>
      <c r="C669" s="7">
        <v>277</v>
      </c>
      <c r="D669" s="7">
        <v>16200</v>
      </c>
    </row>
    <row r="670" spans="1:4" ht="17.25" x14ac:dyDescent="0.35">
      <c r="A670" s="5" t="s">
        <v>1068</v>
      </c>
      <c r="B670" s="7">
        <v>3384</v>
      </c>
      <c r="C670" s="7">
        <v>77</v>
      </c>
      <c r="D670" s="7">
        <v>10500</v>
      </c>
    </row>
    <row r="671" spans="1:4" ht="17.25" x14ac:dyDescent="0.35">
      <c r="A671" s="5" t="s">
        <v>1069</v>
      </c>
      <c r="B671" s="7">
        <v>3378</v>
      </c>
      <c r="C671" s="7">
        <v>145</v>
      </c>
      <c r="D671" s="7">
        <v>6900</v>
      </c>
    </row>
    <row r="672" spans="1:4" ht="17.25" x14ac:dyDescent="0.35">
      <c r="A672" s="5" t="s">
        <v>1071</v>
      </c>
      <c r="B672" s="7">
        <v>3367</v>
      </c>
      <c r="C672" s="7">
        <v>26</v>
      </c>
      <c r="D672" s="7">
        <v>1616</v>
      </c>
    </row>
    <row r="673" spans="1:4" ht="17.25" x14ac:dyDescent="0.35">
      <c r="A673" s="5" t="s">
        <v>1073</v>
      </c>
      <c r="B673" s="7">
        <v>3343</v>
      </c>
      <c r="C673" s="7">
        <v>112</v>
      </c>
      <c r="D673" s="7">
        <v>29000</v>
      </c>
    </row>
    <row r="674" spans="1:4" ht="17.25" x14ac:dyDescent="0.35">
      <c r="A674" s="5" t="s">
        <v>1075</v>
      </c>
      <c r="B674" s="7">
        <v>3327</v>
      </c>
      <c r="C674" s="7">
        <v>1247</v>
      </c>
      <c r="D674" s="7">
        <v>2530</v>
      </c>
    </row>
    <row r="675" spans="1:4" ht="17.25" x14ac:dyDescent="0.35">
      <c r="A675" s="5" t="s">
        <v>1076</v>
      </c>
      <c r="B675" s="7">
        <v>3321</v>
      </c>
      <c r="C675" s="7">
        <v>148</v>
      </c>
      <c r="D675" s="7">
        <v>1223</v>
      </c>
    </row>
    <row r="676" spans="1:4" ht="17.25" x14ac:dyDescent="0.35">
      <c r="A676" s="5" t="s">
        <v>1077</v>
      </c>
      <c r="B676" s="7">
        <v>3314</v>
      </c>
      <c r="C676" s="7">
        <v>126</v>
      </c>
      <c r="D676" s="7">
        <v>16600</v>
      </c>
    </row>
    <row r="677" spans="1:4" ht="17.25" x14ac:dyDescent="0.35">
      <c r="A677" s="5" t="s">
        <v>1078</v>
      </c>
      <c r="B677" s="7">
        <v>3308</v>
      </c>
      <c r="C677" s="7">
        <v>399</v>
      </c>
      <c r="D677" s="7">
        <v>13000</v>
      </c>
    </row>
    <row r="678" spans="1:4" ht="17.25" x14ac:dyDescent="0.35">
      <c r="A678" s="5" t="s">
        <v>1080</v>
      </c>
      <c r="B678" s="7">
        <v>3278</v>
      </c>
      <c r="C678" s="7">
        <v>-867</v>
      </c>
      <c r="D678" s="7">
        <v>24300</v>
      </c>
    </row>
    <row r="679" spans="1:4" ht="17.25" x14ac:dyDescent="0.35">
      <c r="A679" s="5" t="s">
        <v>1081</v>
      </c>
      <c r="B679" s="7">
        <v>3276</v>
      </c>
      <c r="C679" s="7">
        <v>319</v>
      </c>
      <c r="D679" s="7">
        <v>9500</v>
      </c>
    </row>
    <row r="680" spans="1:4" ht="17.25" x14ac:dyDescent="0.35">
      <c r="A680" s="5" t="s">
        <v>1082</v>
      </c>
      <c r="B680" s="7">
        <v>3275</v>
      </c>
      <c r="C680" s="7">
        <v>44</v>
      </c>
      <c r="D680" s="7">
        <v>12900</v>
      </c>
    </row>
    <row r="681" spans="1:4" ht="17.25" x14ac:dyDescent="0.35">
      <c r="A681" s="5" t="s">
        <v>1084</v>
      </c>
      <c r="B681" s="7">
        <v>3258</v>
      </c>
      <c r="C681" s="7">
        <v>798</v>
      </c>
      <c r="D681" s="7">
        <v>6700</v>
      </c>
    </row>
    <row r="682" spans="1:4" ht="17.25" x14ac:dyDescent="0.35">
      <c r="A682" s="5" t="s">
        <v>1086</v>
      </c>
      <c r="B682" s="7">
        <v>3254</v>
      </c>
      <c r="C682" s="7">
        <v>378</v>
      </c>
      <c r="D682" s="7">
        <v>4070</v>
      </c>
    </row>
    <row r="683" spans="1:4" ht="17.25" x14ac:dyDescent="0.35">
      <c r="A683" s="5" t="s">
        <v>1087</v>
      </c>
      <c r="B683" s="7">
        <v>3253</v>
      </c>
      <c r="C683" s="7">
        <v>813</v>
      </c>
      <c r="D683" s="7">
        <v>5690</v>
      </c>
    </row>
    <row r="684" spans="1:4" ht="17.25" x14ac:dyDescent="0.35">
      <c r="A684" s="5" t="s">
        <v>1088</v>
      </c>
      <c r="B684" s="7">
        <v>3242</v>
      </c>
      <c r="C684" s="7">
        <v>460</v>
      </c>
      <c r="D684" s="7">
        <v>10020</v>
      </c>
    </row>
    <row r="685" spans="1:4" ht="17.25" x14ac:dyDescent="0.35">
      <c r="A685" s="5" t="s">
        <v>1089</v>
      </c>
      <c r="B685" s="7">
        <v>3231</v>
      </c>
      <c r="C685" s="7">
        <v>120</v>
      </c>
      <c r="D685" s="7">
        <v>5000</v>
      </c>
    </row>
    <row r="686" spans="1:4" ht="17.25" x14ac:dyDescent="0.35">
      <c r="A686" s="5" t="s">
        <v>1090</v>
      </c>
      <c r="B686" s="7">
        <v>3229</v>
      </c>
      <c r="C686" s="7">
        <v>221</v>
      </c>
      <c r="D686" s="7">
        <v>15100</v>
      </c>
    </row>
    <row r="687" spans="1:4" ht="17.25" x14ac:dyDescent="0.35">
      <c r="A687" s="5" t="s">
        <v>1091</v>
      </c>
      <c r="B687" s="7">
        <v>3226</v>
      </c>
      <c r="C687" s="7">
        <v>74</v>
      </c>
      <c r="D687" s="7">
        <v>13100</v>
      </c>
    </row>
    <row r="688" spans="1:4" ht="17.25" x14ac:dyDescent="0.35">
      <c r="A688" s="5" t="s">
        <v>1093</v>
      </c>
      <c r="B688" s="7">
        <v>3219</v>
      </c>
      <c r="C688" s="7">
        <v>65</v>
      </c>
      <c r="D688" s="7">
        <v>2000</v>
      </c>
    </row>
    <row r="689" spans="1:4" ht="17.25" x14ac:dyDescent="0.35">
      <c r="A689" s="5" t="s">
        <v>1095</v>
      </c>
      <c r="B689" s="7">
        <v>3206</v>
      </c>
      <c r="C689" s="7">
        <v>115</v>
      </c>
      <c r="D689" s="7">
        <v>5880</v>
      </c>
    </row>
    <row r="690" spans="1:4" ht="17.25" x14ac:dyDescent="0.35">
      <c r="A690" s="5" t="s">
        <v>1096</v>
      </c>
      <c r="B690" s="7">
        <v>3206</v>
      </c>
      <c r="C690" s="7">
        <v>49</v>
      </c>
      <c r="D690" s="7">
        <v>5200</v>
      </c>
    </row>
    <row r="691" spans="1:4" ht="17.25" x14ac:dyDescent="0.35">
      <c r="A691" s="5" t="s">
        <v>1097</v>
      </c>
      <c r="B691" s="7">
        <v>3187</v>
      </c>
      <c r="C691" s="7">
        <v>21</v>
      </c>
      <c r="D691" s="7">
        <v>9872</v>
      </c>
    </row>
    <row r="692" spans="1:4" ht="17.25" x14ac:dyDescent="0.35">
      <c r="A692" s="5" t="s">
        <v>1098</v>
      </c>
      <c r="B692" s="7">
        <v>3180</v>
      </c>
      <c r="C692" s="7">
        <v>136</v>
      </c>
      <c r="D692" s="7">
        <v>12700</v>
      </c>
    </row>
    <row r="693" spans="1:4" ht="17.25" x14ac:dyDescent="0.35">
      <c r="A693" s="5" t="s">
        <v>1099</v>
      </c>
      <c r="B693" s="7">
        <v>3172</v>
      </c>
      <c r="C693" s="7">
        <v>-1178</v>
      </c>
      <c r="D693" s="7">
        <v>13400</v>
      </c>
    </row>
    <row r="694" spans="1:4" ht="17.25" x14ac:dyDescent="0.35">
      <c r="A694" s="5" t="s">
        <v>1100</v>
      </c>
      <c r="B694" s="7">
        <v>3167</v>
      </c>
      <c r="C694" s="7">
        <v>-1</v>
      </c>
      <c r="D694" s="7">
        <v>3600</v>
      </c>
    </row>
    <row r="695" spans="1:4" ht="17.25" x14ac:dyDescent="0.35">
      <c r="A695" s="5" t="s">
        <v>1101</v>
      </c>
      <c r="B695" s="7">
        <v>3165</v>
      </c>
      <c r="C695" s="7">
        <v>422</v>
      </c>
      <c r="D695" s="7">
        <v>6733</v>
      </c>
    </row>
    <row r="696" spans="1:4" ht="17.25" x14ac:dyDescent="0.35">
      <c r="A696" s="5" t="s">
        <v>1102</v>
      </c>
      <c r="B696" s="7">
        <v>3163</v>
      </c>
      <c r="C696" s="7">
        <v>183</v>
      </c>
      <c r="D696" s="7">
        <v>27929</v>
      </c>
    </row>
    <row r="697" spans="1:4" ht="17.25" x14ac:dyDescent="0.35">
      <c r="A697" s="5" t="s">
        <v>1103</v>
      </c>
      <c r="B697" s="7">
        <v>3160</v>
      </c>
      <c r="C697" s="7">
        <v>148</v>
      </c>
      <c r="D697" s="7">
        <v>3313</v>
      </c>
    </row>
    <row r="698" spans="1:4" ht="17.25" x14ac:dyDescent="0.35">
      <c r="A698" s="5" t="s">
        <v>1105</v>
      </c>
      <c r="B698" s="7">
        <v>3159</v>
      </c>
      <c r="C698" s="7">
        <v>232</v>
      </c>
      <c r="D698" s="7">
        <v>6400</v>
      </c>
    </row>
    <row r="699" spans="1:4" ht="17.25" x14ac:dyDescent="0.35">
      <c r="A699" s="5" t="s">
        <v>1107</v>
      </c>
      <c r="B699" s="7">
        <v>3159</v>
      </c>
      <c r="C699" s="7">
        <v>476</v>
      </c>
      <c r="D699" s="7">
        <v>6700</v>
      </c>
    </row>
    <row r="700" spans="1:4" ht="17.25" x14ac:dyDescent="0.35">
      <c r="A700" s="5" t="s">
        <v>1109</v>
      </c>
      <c r="B700" s="7">
        <v>3158</v>
      </c>
      <c r="C700" s="7">
        <v>-8</v>
      </c>
      <c r="D700" s="7">
        <v>11950</v>
      </c>
    </row>
    <row r="701" spans="1:4" ht="17.25" x14ac:dyDescent="0.35">
      <c r="A701" s="5" t="s">
        <v>1110</v>
      </c>
      <c r="B701" s="7">
        <v>3153</v>
      </c>
      <c r="C701" s="7">
        <v>693</v>
      </c>
      <c r="D701" s="7">
        <v>12243</v>
      </c>
    </row>
    <row r="702" spans="1:4" ht="17.25" x14ac:dyDescent="0.35">
      <c r="A702" s="5" t="s">
        <v>1111</v>
      </c>
      <c r="B702" s="7">
        <v>3151</v>
      </c>
      <c r="C702" s="7">
        <v>74</v>
      </c>
      <c r="D702" s="7">
        <v>7200</v>
      </c>
    </row>
    <row r="703" spans="1:4" ht="17.25" x14ac:dyDescent="0.35">
      <c r="A703" s="5" t="s">
        <v>1112</v>
      </c>
      <c r="B703" s="7">
        <v>3144</v>
      </c>
      <c r="C703" s="7">
        <v>153</v>
      </c>
      <c r="D703" s="7">
        <v>4400</v>
      </c>
    </row>
    <row r="704" spans="1:4" ht="17.25" x14ac:dyDescent="0.35">
      <c r="A704" s="5" t="s">
        <v>1113</v>
      </c>
      <c r="B704" s="7">
        <v>3135</v>
      </c>
      <c r="C704" s="7">
        <v>217</v>
      </c>
      <c r="D704" s="7">
        <v>3722</v>
      </c>
    </row>
    <row r="705" spans="1:4" ht="17.25" x14ac:dyDescent="0.35">
      <c r="A705" s="5" t="s">
        <v>1114</v>
      </c>
      <c r="B705" s="7">
        <v>3134</v>
      </c>
      <c r="C705" s="7">
        <v>684</v>
      </c>
      <c r="D705" s="7">
        <v>4300</v>
      </c>
    </row>
    <row r="706" spans="1:4" ht="17.25" x14ac:dyDescent="0.35">
      <c r="A706" s="5" t="s">
        <v>1116</v>
      </c>
      <c r="B706" s="7">
        <v>3127</v>
      </c>
      <c r="C706" s="7">
        <v>153</v>
      </c>
      <c r="D706" s="7">
        <v>25915</v>
      </c>
    </row>
    <row r="707" spans="1:4" ht="17.25" x14ac:dyDescent="0.35">
      <c r="A707" s="5" t="s">
        <v>1117</v>
      </c>
      <c r="B707" s="7">
        <v>3114</v>
      </c>
      <c r="C707" s="7">
        <v>-375</v>
      </c>
      <c r="D707" s="7">
        <v>3114</v>
      </c>
    </row>
    <row r="708" spans="1:4" ht="17.25" x14ac:dyDescent="0.35">
      <c r="A708" s="5" t="s">
        <v>1119</v>
      </c>
      <c r="B708" s="7">
        <v>3103</v>
      </c>
      <c r="C708" s="7">
        <v>-881</v>
      </c>
      <c r="D708" s="7">
        <v>7200</v>
      </c>
    </row>
    <row r="709" spans="1:4" ht="17.25" x14ac:dyDescent="0.35">
      <c r="A709" s="5" t="s">
        <v>1120</v>
      </c>
      <c r="B709" s="7">
        <v>3099</v>
      </c>
      <c r="C709" s="7">
        <v>412</v>
      </c>
      <c r="D709" s="7">
        <v>7300</v>
      </c>
    </row>
    <row r="710" spans="1:4" ht="17.25" x14ac:dyDescent="0.35">
      <c r="A710" s="5" t="s">
        <v>1121</v>
      </c>
      <c r="B710" s="7">
        <v>3096</v>
      </c>
      <c r="C710" s="7">
        <v>118</v>
      </c>
      <c r="D710" s="7">
        <v>18300</v>
      </c>
    </row>
    <row r="711" spans="1:4" ht="17.25" x14ac:dyDescent="0.35">
      <c r="A711" s="5" t="s">
        <v>1123</v>
      </c>
      <c r="B711" s="7">
        <v>3095</v>
      </c>
      <c r="C711" s="7">
        <v>127</v>
      </c>
      <c r="D711" s="7">
        <v>7841</v>
      </c>
    </row>
    <row r="712" spans="1:4" ht="17.25" x14ac:dyDescent="0.35">
      <c r="A712" s="5" t="s">
        <v>1124</v>
      </c>
      <c r="B712" s="7">
        <v>3093</v>
      </c>
      <c r="C712" s="7">
        <v>241</v>
      </c>
      <c r="D712" s="7">
        <v>2800</v>
      </c>
    </row>
    <row r="713" spans="1:4" ht="17.25" x14ac:dyDescent="0.35">
      <c r="A713" s="5" t="s">
        <v>1125</v>
      </c>
      <c r="B713" s="7">
        <v>3079</v>
      </c>
      <c r="C713" s="7">
        <v>474</v>
      </c>
      <c r="D713" s="7">
        <v>50400</v>
      </c>
    </row>
    <row r="714" spans="1:4" ht="17.25" x14ac:dyDescent="0.35">
      <c r="A714" s="5" t="s">
        <v>1127</v>
      </c>
      <c r="B714" s="7">
        <v>3075</v>
      </c>
      <c r="C714" s="7">
        <v>357</v>
      </c>
      <c r="D714" s="7">
        <v>18415</v>
      </c>
    </row>
    <row r="715" spans="1:4" ht="17.25" x14ac:dyDescent="0.35">
      <c r="A715" s="5" t="s">
        <v>1129</v>
      </c>
      <c r="B715" s="7">
        <v>3066</v>
      </c>
      <c r="C715" s="7">
        <v>-12</v>
      </c>
      <c r="D715" s="7">
        <v>59900</v>
      </c>
    </row>
    <row r="716" spans="1:4" ht="17.25" x14ac:dyDescent="0.35">
      <c r="A716" s="5" t="s">
        <v>1130</v>
      </c>
      <c r="B716" s="7">
        <v>3063</v>
      </c>
      <c r="C716" s="7">
        <v>231</v>
      </c>
      <c r="D716" s="7">
        <v>11000</v>
      </c>
    </row>
    <row r="717" spans="1:4" ht="17.25" x14ac:dyDescent="0.35">
      <c r="A717" s="5" t="s">
        <v>1131</v>
      </c>
      <c r="B717" s="7">
        <v>3060</v>
      </c>
      <c r="C717" s="7">
        <v>86</v>
      </c>
      <c r="D717" s="7">
        <v>11550</v>
      </c>
    </row>
    <row r="718" spans="1:4" ht="17.25" x14ac:dyDescent="0.35">
      <c r="A718" s="5" t="s">
        <v>1133</v>
      </c>
      <c r="B718" s="7">
        <v>3052</v>
      </c>
      <c r="C718" s="7">
        <v>144</v>
      </c>
      <c r="D718" s="7">
        <v>6700</v>
      </c>
    </row>
    <row r="719" spans="1:4" ht="17.25" x14ac:dyDescent="0.35">
      <c r="A719" s="5" t="s">
        <v>1135</v>
      </c>
      <c r="B719" s="7">
        <v>3047</v>
      </c>
      <c r="C719" s="7">
        <v>125</v>
      </c>
      <c r="D719" s="7">
        <v>12000</v>
      </c>
    </row>
    <row r="720" spans="1:4" ht="17.25" x14ac:dyDescent="0.35">
      <c r="A720" s="5" t="s">
        <v>1136</v>
      </c>
      <c r="B720" s="7">
        <v>3032</v>
      </c>
      <c r="C720" s="7">
        <v>85</v>
      </c>
      <c r="D720" s="7">
        <v>1680</v>
      </c>
    </row>
    <row r="721" spans="1:4" ht="17.25" x14ac:dyDescent="0.35">
      <c r="A721" s="5" t="s">
        <v>1137</v>
      </c>
      <c r="B721" s="7">
        <v>3023</v>
      </c>
      <c r="C721" s="7">
        <v>419</v>
      </c>
      <c r="D721" s="7">
        <v>6732</v>
      </c>
    </row>
    <row r="722" spans="1:4" ht="17.25" x14ac:dyDescent="0.35">
      <c r="A722" s="5" t="s">
        <v>1138</v>
      </c>
      <c r="B722" s="7">
        <v>3022</v>
      </c>
      <c r="C722" s="7">
        <v>95</v>
      </c>
      <c r="D722" s="7">
        <v>18363</v>
      </c>
    </row>
    <row r="723" spans="1:4" ht="17.25" x14ac:dyDescent="0.35">
      <c r="A723" s="5" t="s">
        <v>1139</v>
      </c>
      <c r="B723" s="7">
        <v>3018</v>
      </c>
      <c r="C723" s="7">
        <v>607</v>
      </c>
      <c r="D723" s="7">
        <v>3500</v>
      </c>
    </row>
    <row r="724" spans="1:4" ht="17.25" x14ac:dyDescent="0.35">
      <c r="A724" s="5" t="s">
        <v>1140</v>
      </c>
      <c r="B724" s="7">
        <v>3018</v>
      </c>
      <c r="C724" s="7">
        <v>243</v>
      </c>
      <c r="D724" s="7">
        <v>4736</v>
      </c>
    </row>
    <row r="725" spans="1:4" ht="17.25" x14ac:dyDescent="0.35">
      <c r="A725" s="5" t="s">
        <v>1142</v>
      </c>
      <c r="B725" s="7">
        <v>3017</v>
      </c>
      <c r="C725" s="7">
        <v>160</v>
      </c>
      <c r="D725" s="7">
        <v>7900</v>
      </c>
    </row>
    <row r="726" spans="1:4" ht="17.25" x14ac:dyDescent="0.35">
      <c r="A726" s="5" t="s">
        <v>1144</v>
      </c>
      <c r="B726" s="7">
        <v>3015</v>
      </c>
      <c r="C726" s="7">
        <v>-110</v>
      </c>
      <c r="D726" s="7">
        <v>23000</v>
      </c>
    </row>
    <row r="727" spans="1:4" ht="17.25" x14ac:dyDescent="0.35">
      <c r="A727" s="5" t="s">
        <v>1146</v>
      </c>
      <c r="B727" s="7">
        <v>3014</v>
      </c>
      <c r="C727" s="7">
        <v>238</v>
      </c>
      <c r="D727" s="7">
        <v>16800</v>
      </c>
    </row>
    <row r="728" spans="1:4" ht="17.25" x14ac:dyDescent="0.35">
      <c r="A728" s="5" t="s">
        <v>1147</v>
      </c>
      <c r="B728" s="7">
        <v>3010</v>
      </c>
      <c r="C728" s="7">
        <v>-502</v>
      </c>
      <c r="D728" s="7">
        <v>4850</v>
      </c>
    </row>
    <row r="729" spans="1:4" ht="17.25" x14ac:dyDescent="0.35">
      <c r="A729" s="5" t="s">
        <v>1148</v>
      </c>
      <c r="B729" s="7">
        <v>3009</v>
      </c>
      <c r="C729" s="7">
        <v>75</v>
      </c>
      <c r="D729" s="7">
        <v>4300</v>
      </c>
    </row>
    <row r="730" spans="1:4" ht="17.25" x14ac:dyDescent="0.35">
      <c r="A730" s="5" t="s">
        <v>1149</v>
      </c>
      <c r="B730" s="7">
        <v>3008</v>
      </c>
      <c r="C730" s="7">
        <v>123</v>
      </c>
      <c r="D730" s="7">
        <v>20000</v>
      </c>
    </row>
    <row r="731" spans="1:4" ht="17.25" x14ac:dyDescent="0.35">
      <c r="A731" s="5" t="s">
        <v>1150</v>
      </c>
      <c r="B731" s="7">
        <v>3006</v>
      </c>
      <c r="C731" s="7">
        <v>-18</v>
      </c>
      <c r="D731" s="7">
        <v>1700</v>
      </c>
    </row>
    <row r="732" spans="1:4" ht="17.25" x14ac:dyDescent="0.35">
      <c r="A732" s="5" t="s">
        <v>1152</v>
      </c>
      <c r="B732" s="7">
        <v>3002</v>
      </c>
      <c r="C732" s="7">
        <v>331</v>
      </c>
      <c r="D732" s="7">
        <v>2961</v>
      </c>
    </row>
    <row r="733" spans="1:4" ht="17.25" x14ac:dyDescent="0.35">
      <c r="A733" s="5" t="s">
        <v>1151</v>
      </c>
      <c r="B733" s="7">
        <v>3002</v>
      </c>
      <c r="C733" s="7">
        <v>197</v>
      </c>
      <c r="D733" s="7">
        <v>53000</v>
      </c>
    </row>
    <row r="734" spans="1:4" ht="17.25" x14ac:dyDescent="0.35">
      <c r="A734" s="5" t="s">
        <v>1153</v>
      </c>
      <c r="B734" s="7">
        <v>2991</v>
      </c>
      <c r="C734" s="7">
        <v>-166</v>
      </c>
      <c r="D734" s="7">
        <v>9372</v>
      </c>
    </row>
    <row r="735" spans="1:4" ht="17.25" x14ac:dyDescent="0.35">
      <c r="A735" s="5" t="s">
        <v>1154</v>
      </c>
      <c r="B735" s="7">
        <v>2986</v>
      </c>
      <c r="C735" s="7">
        <v>234</v>
      </c>
      <c r="D735" s="7">
        <v>19720</v>
      </c>
    </row>
    <row r="736" spans="1:4" ht="17.25" x14ac:dyDescent="0.35">
      <c r="A736" s="5" t="s">
        <v>1155</v>
      </c>
      <c r="B736" s="7">
        <v>2986</v>
      </c>
      <c r="C736" s="7">
        <v>267</v>
      </c>
      <c r="D736" s="7">
        <v>25472</v>
      </c>
    </row>
    <row r="737" spans="1:4" ht="17.25" x14ac:dyDescent="0.35">
      <c r="A737" s="5" t="s">
        <v>1156</v>
      </c>
      <c r="B737" s="7">
        <v>2986</v>
      </c>
      <c r="C737" s="7">
        <v>546</v>
      </c>
      <c r="D737" s="7">
        <v>9100</v>
      </c>
    </row>
    <row r="738" spans="1:4" ht="17.25" x14ac:dyDescent="0.35">
      <c r="A738" s="5" t="s">
        <v>1158</v>
      </c>
      <c r="B738" s="7">
        <v>2984</v>
      </c>
      <c r="C738" s="7">
        <v>-101</v>
      </c>
      <c r="D738" s="7">
        <v>11585</v>
      </c>
    </row>
    <row r="739" spans="1:4" ht="17.25" x14ac:dyDescent="0.35">
      <c r="A739" s="5" t="s">
        <v>1160</v>
      </c>
      <c r="B739" s="7">
        <v>2977</v>
      </c>
      <c r="C739" s="7">
        <v>61</v>
      </c>
      <c r="D739" s="7">
        <v>1600</v>
      </c>
    </row>
    <row r="740" spans="1:4" ht="17.25" x14ac:dyDescent="0.35">
      <c r="A740" s="5" t="s">
        <v>1161</v>
      </c>
      <c r="B740" s="7">
        <v>2973</v>
      </c>
      <c r="C740" s="7">
        <v>213</v>
      </c>
      <c r="D740" s="7">
        <v>9119</v>
      </c>
    </row>
    <row r="741" spans="1:4" ht="17.25" x14ac:dyDescent="0.35">
      <c r="A741" s="5" t="s">
        <v>1162</v>
      </c>
      <c r="B741" s="7">
        <v>2972</v>
      </c>
      <c r="C741" s="7">
        <v>305</v>
      </c>
      <c r="D741" s="7">
        <v>17931</v>
      </c>
    </row>
    <row r="742" spans="1:4" ht="17.25" x14ac:dyDescent="0.35">
      <c r="A742" s="5" t="s">
        <v>1164</v>
      </c>
      <c r="B742" s="7">
        <v>2966</v>
      </c>
      <c r="C742" s="7">
        <v>-91</v>
      </c>
      <c r="D742" s="7">
        <v>4211</v>
      </c>
    </row>
    <row r="743" spans="1:4" ht="17.25" x14ac:dyDescent="0.35">
      <c r="A743" s="5" t="s">
        <v>1165</v>
      </c>
      <c r="B743" s="7">
        <v>2966</v>
      </c>
      <c r="C743" s="7">
        <v>7</v>
      </c>
      <c r="D743" s="7">
        <v>995</v>
      </c>
    </row>
    <row r="744" spans="1:4" ht="17.25" x14ac:dyDescent="0.35">
      <c r="A744" s="5" t="s">
        <v>1166</v>
      </c>
      <c r="B744" s="7">
        <v>2965</v>
      </c>
      <c r="C744" s="7">
        <v>-5785</v>
      </c>
      <c r="D744" s="7">
        <v>6700</v>
      </c>
    </row>
    <row r="745" spans="1:4" ht="17.25" x14ac:dyDescent="0.35">
      <c r="A745" s="5" t="s">
        <v>1168</v>
      </c>
      <c r="B745" s="7">
        <v>2951</v>
      </c>
      <c r="C745" s="7">
        <v>169</v>
      </c>
      <c r="D745" s="7">
        <v>130000</v>
      </c>
    </row>
    <row r="746" spans="1:4" ht="17.25" x14ac:dyDescent="0.35">
      <c r="A746" s="5" t="s">
        <v>1169</v>
      </c>
      <c r="B746" s="7">
        <v>2944</v>
      </c>
      <c r="C746" s="7">
        <v>174</v>
      </c>
      <c r="D746" s="7">
        <v>3713</v>
      </c>
    </row>
    <row r="747" spans="1:4" ht="17.25" x14ac:dyDescent="0.35">
      <c r="A747" s="5" t="s">
        <v>1170</v>
      </c>
      <c r="B747" s="7">
        <v>2921</v>
      </c>
      <c r="C747" s="7">
        <v>417</v>
      </c>
      <c r="D747" s="7">
        <v>15000</v>
      </c>
    </row>
    <row r="748" spans="1:4" ht="17.25" x14ac:dyDescent="0.35">
      <c r="A748" s="5" t="s">
        <v>1171</v>
      </c>
      <c r="B748" s="7">
        <v>2910</v>
      </c>
      <c r="C748" s="7">
        <v>231</v>
      </c>
      <c r="D748" s="7">
        <v>6588</v>
      </c>
    </row>
    <row r="749" spans="1:4" ht="17.25" x14ac:dyDescent="0.35">
      <c r="A749" s="5" t="s">
        <v>1172</v>
      </c>
      <c r="B749" s="7">
        <v>2908</v>
      </c>
      <c r="C749" s="7">
        <v>-100</v>
      </c>
      <c r="D749" s="7">
        <v>3300</v>
      </c>
    </row>
    <row r="750" spans="1:4" ht="17.25" x14ac:dyDescent="0.35">
      <c r="A750" s="5" t="s">
        <v>1174</v>
      </c>
      <c r="B750" s="7">
        <v>2903</v>
      </c>
      <c r="C750" s="7">
        <v>52</v>
      </c>
      <c r="D750" s="7">
        <v>3405</v>
      </c>
    </row>
    <row r="751" spans="1:4" ht="17.25" x14ac:dyDescent="0.35">
      <c r="A751" s="5" t="s">
        <v>1176</v>
      </c>
      <c r="B751" s="7">
        <v>2902</v>
      </c>
      <c r="C751" s="7">
        <v>215</v>
      </c>
      <c r="D751" s="7">
        <v>2767</v>
      </c>
    </row>
    <row r="752" spans="1:4" ht="17.25" x14ac:dyDescent="0.35">
      <c r="A752" s="5" t="s">
        <v>1177</v>
      </c>
      <c r="B752" s="7">
        <v>2887</v>
      </c>
      <c r="C752" s="7">
        <v>81</v>
      </c>
      <c r="D752" s="7">
        <v>7000</v>
      </c>
    </row>
    <row r="753" spans="1:4" ht="17.25" x14ac:dyDescent="0.35">
      <c r="A753" s="5" t="s">
        <v>1178</v>
      </c>
      <c r="B753" s="7">
        <v>2885</v>
      </c>
      <c r="C753" s="7">
        <v>146</v>
      </c>
      <c r="D753" s="7">
        <v>18700</v>
      </c>
    </row>
    <row r="754" spans="1:4" ht="17.25" x14ac:dyDescent="0.35">
      <c r="A754" s="5" t="s">
        <v>1179</v>
      </c>
      <c r="B754" s="7">
        <v>2885</v>
      </c>
      <c r="C754" s="7">
        <v>57</v>
      </c>
      <c r="D754" s="7">
        <v>26700</v>
      </c>
    </row>
    <row r="755" spans="1:4" ht="17.25" x14ac:dyDescent="0.35">
      <c r="A755" s="5" t="s">
        <v>1181</v>
      </c>
      <c r="B755" s="7">
        <v>2883</v>
      </c>
      <c r="C755" s="7">
        <v>284</v>
      </c>
      <c r="D755" s="7">
        <v>4169</v>
      </c>
    </row>
    <row r="756" spans="1:4" ht="17.25" x14ac:dyDescent="0.35">
      <c r="A756" s="5" t="s">
        <v>1180</v>
      </c>
      <c r="B756" s="7">
        <v>2883</v>
      </c>
      <c r="C756" s="7">
        <v>-4760</v>
      </c>
      <c r="D756" s="7">
        <v>1760</v>
      </c>
    </row>
    <row r="757" spans="1:4" ht="17.25" x14ac:dyDescent="0.35">
      <c r="A757" s="5" t="s">
        <v>1183</v>
      </c>
      <c r="B757" s="7">
        <v>2877</v>
      </c>
      <c r="C757" s="7">
        <v>59</v>
      </c>
      <c r="D757" s="7">
        <v>19000</v>
      </c>
    </row>
    <row r="758" spans="1:4" ht="17.25" x14ac:dyDescent="0.35">
      <c r="A758" s="5" t="s">
        <v>1185</v>
      </c>
      <c r="B758" s="7">
        <v>2872</v>
      </c>
      <c r="C758" s="7">
        <v>-71</v>
      </c>
      <c r="D758" s="7">
        <v>14709</v>
      </c>
    </row>
    <row r="759" spans="1:4" ht="17.25" x14ac:dyDescent="0.35">
      <c r="A759" s="5" t="s">
        <v>1187</v>
      </c>
      <c r="B759" s="7">
        <v>2871</v>
      </c>
      <c r="C759" s="7">
        <v>-334</v>
      </c>
      <c r="D759" s="7">
        <v>4600</v>
      </c>
    </row>
    <row r="760" spans="1:4" ht="17.25" x14ac:dyDescent="0.35">
      <c r="A760" s="5" t="s">
        <v>1188</v>
      </c>
      <c r="B760" s="7">
        <v>2858</v>
      </c>
      <c r="C760" s="7">
        <v>-45</v>
      </c>
      <c r="D760" s="7">
        <v>3700</v>
      </c>
    </row>
    <row r="761" spans="1:4" ht="17.25" x14ac:dyDescent="0.35">
      <c r="A761" s="5" t="s">
        <v>1189</v>
      </c>
      <c r="B761" s="7">
        <v>2856</v>
      </c>
      <c r="C761" s="7">
        <v>513</v>
      </c>
      <c r="D761" s="7">
        <v>10250</v>
      </c>
    </row>
    <row r="762" spans="1:4" ht="17.25" x14ac:dyDescent="0.35">
      <c r="A762" s="5" t="s">
        <v>1191</v>
      </c>
      <c r="B762" s="7">
        <v>2854</v>
      </c>
      <c r="C762" s="7">
        <v>-1</v>
      </c>
      <c r="D762" s="7">
        <v>6200</v>
      </c>
    </row>
    <row r="763" spans="1:4" ht="17.25" x14ac:dyDescent="0.35">
      <c r="A763" s="5" t="s">
        <v>1193</v>
      </c>
      <c r="B763" s="7">
        <v>2853</v>
      </c>
      <c r="C763" s="7">
        <v>217</v>
      </c>
      <c r="D763" s="7">
        <v>17649</v>
      </c>
    </row>
    <row r="764" spans="1:4" ht="17.25" x14ac:dyDescent="0.35">
      <c r="A764" s="5" t="s">
        <v>1194</v>
      </c>
      <c r="B764" s="7">
        <v>2842</v>
      </c>
      <c r="C764" s="7">
        <v>164</v>
      </c>
      <c r="D764" s="7">
        <v>72000</v>
      </c>
    </row>
    <row r="765" spans="1:4" ht="17.25" x14ac:dyDescent="0.35">
      <c r="A765" s="5" t="s">
        <v>1196</v>
      </c>
      <c r="B765" s="7">
        <v>2838</v>
      </c>
      <c r="C765" s="7">
        <v>1</v>
      </c>
      <c r="D765" s="7">
        <v>18204</v>
      </c>
    </row>
    <row r="766" spans="1:4" ht="17.25" x14ac:dyDescent="0.35">
      <c r="A766" s="5" t="s">
        <v>1198</v>
      </c>
      <c r="B766" s="7">
        <v>2834</v>
      </c>
      <c r="C766" s="7">
        <v>521</v>
      </c>
      <c r="D766" s="7">
        <v>8818</v>
      </c>
    </row>
    <row r="767" spans="1:4" ht="17.25" x14ac:dyDescent="0.35">
      <c r="A767" s="5" t="s">
        <v>1199</v>
      </c>
      <c r="B767" s="7">
        <v>2833</v>
      </c>
      <c r="C767" s="7">
        <v>163</v>
      </c>
      <c r="D767" s="7">
        <v>10700</v>
      </c>
    </row>
    <row r="768" spans="1:4" ht="17.25" x14ac:dyDescent="0.35">
      <c r="A768" s="5" t="s">
        <v>1200</v>
      </c>
      <c r="B768" s="7">
        <v>2825</v>
      </c>
      <c r="C768" s="7">
        <v>358</v>
      </c>
      <c r="D768" s="7">
        <v>13420</v>
      </c>
    </row>
    <row r="769" spans="1:4" ht="17.25" x14ac:dyDescent="0.35">
      <c r="A769" s="5" t="s">
        <v>1201</v>
      </c>
      <c r="B769" s="7">
        <v>2819</v>
      </c>
      <c r="C769" s="7">
        <v>237</v>
      </c>
      <c r="D769" s="7">
        <v>2982</v>
      </c>
    </row>
    <row r="770" spans="1:4" ht="17.25" x14ac:dyDescent="0.35">
      <c r="A770" s="5" t="s">
        <v>1202</v>
      </c>
      <c r="B770" s="7">
        <v>2814</v>
      </c>
      <c r="C770" s="7">
        <v>366</v>
      </c>
      <c r="D770" s="7">
        <v>5880</v>
      </c>
    </row>
    <row r="771" spans="1:4" ht="17.25" x14ac:dyDescent="0.35">
      <c r="A771" s="5" t="s">
        <v>1203</v>
      </c>
      <c r="B771" s="7">
        <v>2804</v>
      </c>
      <c r="C771" s="7">
        <v>216</v>
      </c>
      <c r="D771" s="7">
        <v>12264</v>
      </c>
    </row>
    <row r="772" spans="1:4" ht="17.25" x14ac:dyDescent="0.35">
      <c r="A772" s="5" t="s">
        <v>1205</v>
      </c>
      <c r="B772" s="7">
        <v>2803</v>
      </c>
      <c r="C772" s="7">
        <v>89</v>
      </c>
      <c r="D772" s="7">
        <v>7592</v>
      </c>
    </row>
    <row r="773" spans="1:4" ht="17.25" x14ac:dyDescent="0.35">
      <c r="A773" s="5" t="s">
        <v>1206</v>
      </c>
      <c r="B773" s="7">
        <v>2793</v>
      </c>
      <c r="C773" s="7">
        <v>-1855</v>
      </c>
      <c r="D773" s="7">
        <v>8300</v>
      </c>
    </row>
    <row r="774" spans="1:4" ht="17.25" x14ac:dyDescent="0.35">
      <c r="A774" s="5" t="s">
        <v>1207</v>
      </c>
      <c r="B774" s="7">
        <v>2790</v>
      </c>
      <c r="C774" s="7">
        <v>-57</v>
      </c>
      <c r="D774" s="7">
        <v>24100</v>
      </c>
    </row>
    <row r="775" spans="1:4" ht="17.25" x14ac:dyDescent="0.35">
      <c r="A775" s="5" t="s">
        <v>1209</v>
      </c>
      <c r="B775" s="7">
        <v>2789</v>
      </c>
      <c r="C775" s="7">
        <v>106</v>
      </c>
      <c r="D775" s="7">
        <v>6400</v>
      </c>
    </row>
    <row r="776" spans="1:4" ht="17.25" x14ac:dyDescent="0.35">
      <c r="A776" s="5" t="s">
        <v>1212</v>
      </c>
      <c r="B776" s="7">
        <v>2780</v>
      </c>
      <c r="C776" s="7">
        <v>364</v>
      </c>
      <c r="D776" s="7">
        <v>10500</v>
      </c>
    </row>
    <row r="777" spans="1:4" ht="17.25" x14ac:dyDescent="0.35">
      <c r="A777" s="5" t="s">
        <v>1210</v>
      </c>
      <c r="B777" s="7">
        <v>2780</v>
      </c>
      <c r="C777" s="7">
        <v>336</v>
      </c>
      <c r="D777" s="7">
        <v>8645</v>
      </c>
    </row>
    <row r="778" spans="1:4" ht="17.25" x14ac:dyDescent="0.35">
      <c r="A778" s="5" t="s">
        <v>1213</v>
      </c>
      <c r="B778" s="7">
        <v>2774</v>
      </c>
      <c r="C778" s="7">
        <v>278</v>
      </c>
      <c r="D778" s="7">
        <v>4438</v>
      </c>
    </row>
    <row r="779" spans="1:4" ht="17.25" x14ac:dyDescent="0.35">
      <c r="A779" s="5" t="s">
        <v>1214</v>
      </c>
      <c r="B779" s="7">
        <v>2768</v>
      </c>
      <c r="C779" s="7">
        <v>74</v>
      </c>
      <c r="D779" s="7">
        <v>16000</v>
      </c>
    </row>
    <row r="780" spans="1:4" ht="17.25" x14ac:dyDescent="0.35">
      <c r="A780" s="5" t="s">
        <v>1215</v>
      </c>
      <c r="B780" s="7">
        <v>2759</v>
      </c>
      <c r="C780" s="7">
        <v>-1394</v>
      </c>
      <c r="D780" s="7">
        <v>8500</v>
      </c>
    </row>
    <row r="781" spans="1:4" ht="17.25" x14ac:dyDescent="0.35">
      <c r="A781" s="5" t="s">
        <v>1216</v>
      </c>
      <c r="B781" s="7">
        <v>2752</v>
      </c>
      <c r="C781" s="7">
        <v>116</v>
      </c>
      <c r="D781" s="7">
        <v>5839</v>
      </c>
    </row>
    <row r="782" spans="1:4" ht="17.25" x14ac:dyDescent="0.35">
      <c r="A782" s="5" t="s">
        <v>1217</v>
      </c>
      <c r="B782" s="7">
        <v>2746</v>
      </c>
      <c r="C782" s="7">
        <v>870</v>
      </c>
      <c r="D782" s="7">
        <v>3500</v>
      </c>
    </row>
    <row r="783" spans="1:4" ht="17.25" x14ac:dyDescent="0.35">
      <c r="A783" s="5" t="s">
        <v>1218</v>
      </c>
      <c r="B783" s="7">
        <v>2741</v>
      </c>
      <c r="C783" s="7">
        <v>229</v>
      </c>
      <c r="D783" s="7">
        <v>11200</v>
      </c>
    </row>
    <row r="784" spans="1:4" ht="17.25" x14ac:dyDescent="0.35">
      <c r="A784" s="5" t="s">
        <v>1219</v>
      </c>
      <c r="B784" s="7">
        <v>2740</v>
      </c>
      <c r="C784" s="7">
        <v>675</v>
      </c>
      <c r="D784" s="7">
        <v>13000</v>
      </c>
    </row>
    <row r="785" spans="1:4" ht="17.25" x14ac:dyDescent="0.35">
      <c r="A785" s="5" t="s">
        <v>1221</v>
      </c>
      <c r="B785" s="7">
        <v>2734</v>
      </c>
      <c r="C785" s="7">
        <v>181</v>
      </c>
      <c r="D785" s="7">
        <v>991</v>
      </c>
    </row>
    <row r="786" spans="1:4" ht="17.25" x14ac:dyDescent="0.35">
      <c r="A786" s="5" t="s">
        <v>1223</v>
      </c>
      <c r="B786" s="7">
        <v>2730</v>
      </c>
      <c r="C786" s="7">
        <v>286</v>
      </c>
      <c r="D786" s="7">
        <v>10057</v>
      </c>
    </row>
    <row r="787" spans="1:4" ht="17.25" x14ac:dyDescent="0.35">
      <c r="A787" s="5" t="s">
        <v>1225</v>
      </c>
      <c r="B787" s="7">
        <v>2726</v>
      </c>
      <c r="C787" s="7">
        <v>188</v>
      </c>
      <c r="D787" s="7">
        <v>5042</v>
      </c>
    </row>
    <row r="788" spans="1:4" ht="17.25" x14ac:dyDescent="0.35">
      <c r="A788" s="5" t="s">
        <v>1226</v>
      </c>
      <c r="B788" s="7">
        <v>2723</v>
      </c>
      <c r="C788" s="7">
        <v>547</v>
      </c>
      <c r="D788" s="7">
        <v>1857</v>
      </c>
    </row>
    <row r="789" spans="1:4" ht="17.25" x14ac:dyDescent="0.35">
      <c r="A789" s="5" t="s">
        <v>1228</v>
      </c>
      <c r="B789" s="7">
        <v>2707</v>
      </c>
      <c r="C789" s="7">
        <v>447</v>
      </c>
      <c r="D789" s="7">
        <v>8200</v>
      </c>
    </row>
    <row r="790" spans="1:4" ht="17.25" x14ac:dyDescent="0.35">
      <c r="A790" s="5" t="s">
        <v>1229</v>
      </c>
      <c r="B790" s="7">
        <v>2707</v>
      </c>
      <c r="C790" s="7">
        <v>222</v>
      </c>
      <c r="D790" s="7">
        <v>7800</v>
      </c>
    </row>
    <row r="791" spans="1:4" ht="17.25" x14ac:dyDescent="0.35">
      <c r="A791" s="5" t="s">
        <v>1230</v>
      </c>
      <c r="B791" s="7">
        <v>2705</v>
      </c>
      <c r="C791" s="7">
        <v>132</v>
      </c>
      <c r="D791" s="7">
        <v>5290</v>
      </c>
    </row>
    <row r="792" spans="1:4" ht="17.25" x14ac:dyDescent="0.35">
      <c r="A792" s="5" t="s">
        <v>1231</v>
      </c>
      <c r="B792" s="7">
        <v>2696</v>
      </c>
      <c r="C792" s="7">
        <v>71</v>
      </c>
      <c r="D792" s="7">
        <v>5500</v>
      </c>
    </row>
    <row r="793" spans="1:4" ht="17.25" x14ac:dyDescent="0.35">
      <c r="A793" s="5" t="s">
        <v>1233</v>
      </c>
      <c r="B793" s="7">
        <v>2694</v>
      </c>
      <c r="C793" s="7">
        <v>287</v>
      </c>
      <c r="D793" s="7">
        <v>7400</v>
      </c>
    </row>
    <row r="794" spans="1:4" ht="17.25" x14ac:dyDescent="0.35">
      <c r="A794" s="5" t="s">
        <v>1236</v>
      </c>
      <c r="B794" s="7">
        <v>2692</v>
      </c>
      <c r="C794" s="7">
        <v>123</v>
      </c>
      <c r="D794" s="7">
        <v>6550</v>
      </c>
    </row>
    <row r="795" spans="1:4" ht="17.25" x14ac:dyDescent="0.35">
      <c r="A795" s="5" t="s">
        <v>1235</v>
      </c>
      <c r="B795" s="7">
        <v>2692</v>
      </c>
      <c r="C795" s="7">
        <v>-477</v>
      </c>
      <c r="D795" s="7">
        <v>1630</v>
      </c>
    </row>
    <row r="796" spans="1:4" ht="17.25" x14ac:dyDescent="0.35">
      <c r="A796" s="5" t="s">
        <v>1238</v>
      </c>
      <c r="B796" s="7">
        <v>2689</v>
      </c>
      <c r="C796" s="7">
        <v>168</v>
      </c>
      <c r="D796" s="7">
        <v>6307</v>
      </c>
    </row>
    <row r="797" spans="1:4" ht="17.25" x14ac:dyDescent="0.35">
      <c r="A797" s="5" t="s">
        <v>1240</v>
      </c>
      <c r="B797" s="7">
        <v>2682</v>
      </c>
      <c r="C797" s="7">
        <v>149</v>
      </c>
      <c r="D797" s="7">
        <v>37200</v>
      </c>
    </row>
    <row r="798" spans="1:4" ht="17.25" x14ac:dyDescent="0.35">
      <c r="A798" s="5" t="s">
        <v>1239</v>
      </c>
      <c r="B798" s="7">
        <v>2682</v>
      </c>
      <c r="C798" s="7">
        <v>85</v>
      </c>
      <c r="D798" s="7">
        <v>4272</v>
      </c>
    </row>
    <row r="799" spans="1:4" ht="17.25" x14ac:dyDescent="0.35">
      <c r="A799" s="5" t="s">
        <v>1241</v>
      </c>
      <c r="B799" s="7">
        <v>2680</v>
      </c>
      <c r="C799" s="7">
        <v>-354</v>
      </c>
      <c r="D799" s="7">
        <v>1143</v>
      </c>
    </row>
    <row r="800" spans="1:4" ht="17.25" x14ac:dyDescent="0.35">
      <c r="A800" s="5" t="s">
        <v>1242</v>
      </c>
      <c r="B800" s="7">
        <v>2674</v>
      </c>
      <c r="C800" s="7">
        <v>251</v>
      </c>
      <c r="D800" s="7">
        <v>11400</v>
      </c>
    </row>
    <row r="801" spans="1:4" ht="17.25" x14ac:dyDescent="0.35">
      <c r="A801" s="5" t="s">
        <v>1243</v>
      </c>
      <c r="B801" s="7">
        <v>2667</v>
      </c>
      <c r="C801" s="7">
        <v>45</v>
      </c>
      <c r="D801" s="7">
        <v>13000</v>
      </c>
    </row>
    <row r="802" spans="1:4" ht="17.25" x14ac:dyDescent="0.35">
      <c r="A802" s="5" t="s">
        <v>1245</v>
      </c>
      <c r="B802" s="7">
        <v>2664</v>
      </c>
      <c r="C802" s="7">
        <v>429</v>
      </c>
      <c r="D802" s="7">
        <v>8000</v>
      </c>
    </row>
    <row r="803" spans="1:4" ht="17.25" x14ac:dyDescent="0.35">
      <c r="A803" s="5" t="s">
        <v>1246</v>
      </c>
      <c r="B803" s="7">
        <v>2660</v>
      </c>
      <c r="C803" s="7">
        <v>131</v>
      </c>
      <c r="D803" s="7">
        <v>1529</v>
      </c>
    </row>
    <row r="804" spans="1:4" ht="17.25" x14ac:dyDescent="0.35">
      <c r="A804" s="5" t="s">
        <v>1247</v>
      </c>
      <c r="B804" s="7">
        <v>2659</v>
      </c>
      <c r="C804" s="7">
        <v>32</v>
      </c>
      <c r="D804" s="7">
        <v>2500</v>
      </c>
    </row>
    <row r="805" spans="1:4" ht="17.25" x14ac:dyDescent="0.35">
      <c r="A805" s="5" t="s">
        <v>1249</v>
      </c>
      <c r="B805" s="7">
        <v>2656</v>
      </c>
      <c r="C805" s="7">
        <v>213</v>
      </c>
      <c r="D805" s="7">
        <v>4300</v>
      </c>
    </row>
    <row r="806" spans="1:4" ht="17.25" x14ac:dyDescent="0.35">
      <c r="A806" s="5" t="s">
        <v>1250</v>
      </c>
      <c r="B806" s="7">
        <v>2654</v>
      </c>
      <c r="C806" s="7">
        <v>94</v>
      </c>
      <c r="D806" s="7">
        <v>14000</v>
      </c>
    </row>
    <row r="807" spans="1:4" ht="17.25" x14ac:dyDescent="0.35">
      <c r="A807" s="5" t="s">
        <v>1251</v>
      </c>
      <c r="B807" s="7">
        <v>2647</v>
      </c>
      <c r="C807" s="7">
        <v>-374</v>
      </c>
      <c r="D807" s="7">
        <v>12700</v>
      </c>
    </row>
    <row r="808" spans="1:4" ht="17.25" x14ac:dyDescent="0.35">
      <c r="A808" s="5" t="s">
        <v>1252</v>
      </c>
      <c r="B808" s="7">
        <v>2642</v>
      </c>
      <c r="C808" s="7">
        <v>2</v>
      </c>
      <c r="D808" s="7">
        <v>14755</v>
      </c>
    </row>
    <row r="809" spans="1:4" ht="17.25" x14ac:dyDescent="0.35">
      <c r="A809" s="5" t="s">
        <v>1254</v>
      </c>
      <c r="B809" s="7">
        <v>2640</v>
      </c>
      <c r="C809" s="7">
        <v>215</v>
      </c>
      <c r="D809" s="7">
        <v>12528</v>
      </c>
    </row>
    <row r="810" spans="1:4" ht="17.25" x14ac:dyDescent="0.35">
      <c r="A810" s="5" t="s">
        <v>1255</v>
      </c>
      <c r="B810" s="7">
        <v>2639</v>
      </c>
      <c r="C810" s="7">
        <v>219</v>
      </c>
      <c r="D810" s="7">
        <v>11650</v>
      </c>
    </row>
    <row r="811" spans="1:4" ht="17.25" x14ac:dyDescent="0.35">
      <c r="A811" s="5" t="s">
        <v>1256</v>
      </c>
      <c r="B811" s="7">
        <v>2633</v>
      </c>
      <c r="C811" s="7">
        <v>-1667</v>
      </c>
      <c r="D811" s="7">
        <v>1300</v>
      </c>
    </row>
    <row r="812" spans="1:4" ht="17.25" x14ac:dyDescent="0.35">
      <c r="A812" s="5" t="s">
        <v>1257</v>
      </c>
      <c r="B812" s="7">
        <v>2628</v>
      </c>
      <c r="C812" s="7">
        <v>275</v>
      </c>
      <c r="D812" s="7">
        <v>12429</v>
      </c>
    </row>
    <row r="813" spans="1:4" ht="17.25" x14ac:dyDescent="0.35">
      <c r="A813" s="5" t="s">
        <v>1259</v>
      </c>
      <c r="B813" s="7">
        <v>2620</v>
      </c>
      <c r="C813" s="7">
        <v>136</v>
      </c>
      <c r="D813" s="7">
        <v>11900</v>
      </c>
    </row>
    <row r="814" spans="1:4" ht="17.25" x14ac:dyDescent="0.35">
      <c r="A814" s="5" t="s">
        <v>1260</v>
      </c>
      <c r="B814" s="7">
        <v>2619</v>
      </c>
      <c r="C814" s="7">
        <v>40</v>
      </c>
      <c r="D814" s="7">
        <v>10697</v>
      </c>
    </row>
    <row r="815" spans="1:4" ht="17.25" x14ac:dyDescent="0.35">
      <c r="A815" s="5" t="s">
        <v>1261</v>
      </c>
      <c r="B815" s="7">
        <v>2605</v>
      </c>
      <c r="C815" s="7">
        <v>193</v>
      </c>
      <c r="D815" s="7">
        <v>10689</v>
      </c>
    </row>
    <row r="816" spans="1:4" ht="17.25" x14ac:dyDescent="0.35">
      <c r="A816" s="5" t="s">
        <v>1265</v>
      </c>
      <c r="B816" s="7">
        <v>2604</v>
      </c>
      <c r="C816" s="7">
        <v>39</v>
      </c>
      <c r="D816" s="7">
        <v>2400</v>
      </c>
    </row>
    <row r="817" spans="1:4" ht="17.25" x14ac:dyDescent="0.35">
      <c r="A817" s="5" t="s">
        <v>1263</v>
      </c>
      <c r="B817" s="7">
        <v>2604</v>
      </c>
      <c r="C817" s="7">
        <v>144</v>
      </c>
      <c r="D817" s="7">
        <v>2924</v>
      </c>
    </row>
    <row r="818" spans="1:4" ht="17.25" x14ac:dyDescent="0.35">
      <c r="A818" s="5" t="s">
        <v>1267</v>
      </c>
      <c r="B818" s="7">
        <v>2603</v>
      </c>
      <c r="C818" s="7">
        <v>160</v>
      </c>
      <c r="D818" s="7">
        <v>3918</v>
      </c>
    </row>
    <row r="819" spans="1:4" ht="17.25" x14ac:dyDescent="0.35">
      <c r="A819" s="5" t="s">
        <v>1269</v>
      </c>
      <c r="B819" s="7">
        <v>2601</v>
      </c>
      <c r="C819" s="7">
        <v>346</v>
      </c>
      <c r="D819" s="7">
        <v>9800</v>
      </c>
    </row>
    <row r="820" spans="1:4" ht="17.25" x14ac:dyDescent="0.35">
      <c r="A820" s="5" t="s">
        <v>1270</v>
      </c>
      <c r="B820" s="7">
        <v>2594</v>
      </c>
      <c r="C820" s="7">
        <v>160</v>
      </c>
      <c r="D820" s="7">
        <v>13000</v>
      </c>
    </row>
    <row r="821" spans="1:4" ht="17.25" x14ac:dyDescent="0.35">
      <c r="A821" s="5" t="s">
        <v>1271</v>
      </c>
      <c r="B821" s="7">
        <v>2591</v>
      </c>
      <c r="C821" s="7">
        <v>30</v>
      </c>
      <c r="D821" s="7">
        <v>23400</v>
      </c>
    </row>
    <row r="822" spans="1:4" ht="17.25" x14ac:dyDescent="0.35">
      <c r="A822" s="5" t="s">
        <v>1272</v>
      </c>
      <c r="B822" s="7">
        <v>2581</v>
      </c>
      <c r="C822" s="7">
        <v>367</v>
      </c>
      <c r="D822" s="7">
        <v>2341</v>
      </c>
    </row>
    <row r="823" spans="1:4" ht="17.25" x14ac:dyDescent="0.35">
      <c r="A823" s="5" t="s">
        <v>1273</v>
      </c>
      <c r="B823" s="7">
        <v>2580</v>
      </c>
      <c r="C823" s="7">
        <v>129</v>
      </c>
      <c r="D823" s="7">
        <v>1409</v>
      </c>
    </row>
    <row r="824" spans="1:4" ht="17.25" x14ac:dyDescent="0.35">
      <c r="A824" s="5" t="s">
        <v>1274</v>
      </c>
      <c r="B824" s="7">
        <v>2578</v>
      </c>
      <c r="C824" s="7">
        <v>75</v>
      </c>
      <c r="D824" s="7">
        <v>5400</v>
      </c>
    </row>
    <row r="825" spans="1:4" ht="17.25" x14ac:dyDescent="0.35">
      <c r="A825" s="5" t="s">
        <v>1275</v>
      </c>
      <c r="B825" s="7">
        <v>2577</v>
      </c>
      <c r="C825" s="7">
        <v>82</v>
      </c>
      <c r="D825" s="7">
        <v>11000</v>
      </c>
    </row>
    <row r="826" spans="1:4" ht="17.25" x14ac:dyDescent="0.35">
      <c r="A826" s="5" t="s">
        <v>1276</v>
      </c>
      <c r="B826" s="7">
        <v>2574</v>
      </c>
      <c r="C826" s="7">
        <v>47</v>
      </c>
      <c r="D826" s="7">
        <v>2155</v>
      </c>
    </row>
    <row r="827" spans="1:4" ht="17.25" x14ac:dyDescent="0.35">
      <c r="A827" s="5" t="s">
        <v>1278</v>
      </c>
      <c r="B827" s="7">
        <v>2573</v>
      </c>
      <c r="C827" s="7">
        <v>-2913</v>
      </c>
      <c r="D827" s="7">
        <v>4655</v>
      </c>
    </row>
    <row r="828" spans="1:4" ht="17.25" x14ac:dyDescent="0.35">
      <c r="A828" s="5" t="s">
        <v>1279</v>
      </c>
      <c r="B828" s="7">
        <v>2547</v>
      </c>
      <c r="C828" s="7">
        <v>65</v>
      </c>
      <c r="D828" s="7">
        <v>7186</v>
      </c>
    </row>
    <row r="829" spans="1:4" ht="17.25" x14ac:dyDescent="0.35">
      <c r="A829" s="5" t="s">
        <v>1280</v>
      </c>
      <c r="B829" s="7">
        <v>2544</v>
      </c>
      <c r="C829" s="7">
        <v>-559</v>
      </c>
      <c r="D829" s="7">
        <v>187</v>
      </c>
    </row>
    <row r="830" spans="1:4" ht="17.25" x14ac:dyDescent="0.35">
      <c r="A830" s="5" t="s">
        <v>1281</v>
      </c>
      <c r="B830" s="7">
        <v>2542</v>
      </c>
      <c r="C830" s="7">
        <v>-309</v>
      </c>
      <c r="D830" s="7">
        <v>8200</v>
      </c>
    </row>
    <row r="831" spans="1:4" ht="17.25" x14ac:dyDescent="0.35">
      <c r="A831" s="5" t="s">
        <v>1283</v>
      </c>
      <c r="B831" s="7">
        <v>2541</v>
      </c>
      <c r="C831" s="7">
        <v>95</v>
      </c>
      <c r="D831" s="7">
        <v>10500</v>
      </c>
    </row>
    <row r="832" spans="1:4" ht="17.25" x14ac:dyDescent="0.35">
      <c r="A832" s="5" t="s">
        <v>1285</v>
      </c>
      <c r="B832" s="7">
        <v>2537</v>
      </c>
      <c r="C832" s="7">
        <v>283</v>
      </c>
      <c r="D832" s="7">
        <v>13386</v>
      </c>
    </row>
    <row r="833" spans="1:4" ht="17.25" x14ac:dyDescent="0.35">
      <c r="A833" s="5" t="s">
        <v>1286</v>
      </c>
      <c r="B833" s="7">
        <v>2536</v>
      </c>
      <c r="C833" s="7">
        <v>128</v>
      </c>
      <c r="D833" s="7">
        <v>10000</v>
      </c>
    </row>
    <row r="834" spans="1:4" ht="17.25" x14ac:dyDescent="0.35">
      <c r="A834" s="5" t="s">
        <v>1287</v>
      </c>
      <c r="B834" s="7">
        <v>2530</v>
      </c>
      <c r="C834" s="7">
        <v>760</v>
      </c>
      <c r="D834" s="7">
        <v>4089</v>
      </c>
    </row>
    <row r="835" spans="1:4" ht="17.25" x14ac:dyDescent="0.35">
      <c r="A835" s="5" t="s">
        <v>1288</v>
      </c>
      <c r="B835" s="7">
        <v>2530</v>
      </c>
      <c r="C835" s="7">
        <v>-214</v>
      </c>
      <c r="D835" s="7">
        <v>11300</v>
      </c>
    </row>
    <row r="836" spans="1:4" ht="17.25" x14ac:dyDescent="0.35">
      <c r="A836" s="5" t="s">
        <v>1291</v>
      </c>
      <c r="B836" s="7">
        <v>2526</v>
      </c>
      <c r="C836" s="7">
        <v>132</v>
      </c>
      <c r="D836" s="7">
        <v>10691</v>
      </c>
    </row>
    <row r="837" spans="1:4" ht="17.25" x14ac:dyDescent="0.35">
      <c r="A837" s="5" t="s">
        <v>1290</v>
      </c>
      <c r="B837" s="7">
        <v>2526</v>
      </c>
      <c r="C837" s="7">
        <v>-27</v>
      </c>
      <c r="D837" s="7">
        <v>11400</v>
      </c>
    </row>
    <row r="838" spans="1:4" ht="17.25" x14ac:dyDescent="0.35">
      <c r="A838" s="5" t="s">
        <v>1293</v>
      </c>
      <c r="B838" s="7">
        <v>2515</v>
      </c>
      <c r="C838" s="7">
        <v>62</v>
      </c>
      <c r="D838" s="7">
        <v>3366</v>
      </c>
    </row>
    <row r="839" spans="1:4" ht="17.25" x14ac:dyDescent="0.35">
      <c r="A839" s="5" t="s">
        <v>1295</v>
      </c>
      <c r="B839" s="7">
        <v>2511</v>
      </c>
      <c r="C839" s="7">
        <v>142</v>
      </c>
      <c r="D839" s="7">
        <v>4630</v>
      </c>
    </row>
    <row r="840" spans="1:4" ht="17.25" x14ac:dyDescent="0.35">
      <c r="A840" s="5" t="s">
        <v>1296</v>
      </c>
      <c r="B840" s="7">
        <v>2509</v>
      </c>
      <c r="C840" s="7">
        <v>-509</v>
      </c>
      <c r="D840" s="7">
        <v>2116</v>
      </c>
    </row>
    <row r="841" spans="1:4" ht="17.25" x14ac:dyDescent="0.35">
      <c r="A841" s="5" t="s">
        <v>1297</v>
      </c>
      <c r="B841" s="7">
        <v>2506</v>
      </c>
      <c r="C841" s="7">
        <v>-1243</v>
      </c>
      <c r="D841" s="7">
        <v>10450</v>
      </c>
    </row>
    <row r="842" spans="1:4" ht="17.25" x14ac:dyDescent="0.35">
      <c r="A842" s="5" t="s">
        <v>1298</v>
      </c>
      <c r="B842" s="7">
        <v>2506</v>
      </c>
      <c r="C842" s="7">
        <v>181</v>
      </c>
      <c r="D842" s="7">
        <v>9500</v>
      </c>
    </row>
    <row r="843" spans="1:4" ht="17.25" x14ac:dyDescent="0.35">
      <c r="A843" s="5" t="s">
        <v>1300</v>
      </c>
      <c r="B843" s="7">
        <v>2504</v>
      </c>
      <c r="C843" s="7">
        <v>-331</v>
      </c>
      <c r="D843" s="7">
        <v>9500</v>
      </c>
    </row>
    <row r="844" spans="1:4" ht="17.25" x14ac:dyDescent="0.35">
      <c r="A844" s="5" t="s">
        <v>1302</v>
      </c>
      <c r="B844" s="7">
        <v>2502</v>
      </c>
      <c r="C844" s="7">
        <v>213</v>
      </c>
      <c r="D844" s="7">
        <v>2899</v>
      </c>
    </row>
    <row r="845" spans="1:4" ht="17.25" x14ac:dyDescent="0.35">
      <c r="A845" s="5" t="s">
        <v>1303</v>
      </c>
      <c r="B845" s="7">
        <v>2495</v>
      </c>
      <c r="C845" s="7">
        <v>65</v>
      </c>
      <c r="D845" s="7">
        <v>1093</v>
      </c>
    </row>
    <row r="846" spans="1:4" ht="17.25" x14ac:dyDescent="0.35">
      <c r="A846" s="5" t="s">
        <v>1304</v>
      </c>
      <c r="B846" s="7">
        <v>2494</v>
      </c>
      <c r="C846" s="7">
        <v>495</v>
      </c>
      <c r="D846" s="7">
        <v>9800</v>
      </c>
    </row>
    <row r="847" spans="1:4" ht="17.25" x14ac:dyDescent="0.35">
      <c r="A847" s="5" t="s">
        <v>1305</v>
      </c>
      <c r="B847" s="7">
        <v>2491</v>
      </c>
      <c r="C847" s="7">
        <v>583</v>
      </c>
      <c r="D847" s="7">
        <v>765</v>
      </c>
    </row>
    <row r="848" spans="1:4" ht="17.25" x14ac:dyDescent="0.35">
      <c r="A848" s="5" t="s">
        <v>1306</v>
      </c>
      <c r="B848" s="7">
        <v>2486</v>
      </c>
      <c r="C848" s="7">
        <v>352</v>
      </c>
      <c r="D848" s="7">
        <v>9700</v>
      </c>
    </row>
    <row r="849" spans="1:4" ht="17.25" x14ac:dyDescent="0.35">
      <c r="A849" s="5" t="s">
        <v>1308</v>
      </c>
      <c r="B849" s="7">
        <v>2485</v>
      </c>
      <c r="C849" s="7">
        <v>516</v>
      </c>
      <c r="D849" s="7">
        <v>3200</v>
      </c>
    </row>
    <row r="850" spans="1:4" ht="17.25" x14ac:dyDescent="0.35">
      <c r="A850" s="5" t="s">
        <v>1309</v>
      </c>
      <c r="B850" s="7">
        <v>2472</v>
      </c>
      <c r="C850" s="7">
        <v>-62</v>
      </c>
      <c r="D850" s="7">
        <v>14800</v>
      </c>
    </row>
    <row r="851" spans="1:4" ht="17.25" x14ac:dyDescent="0.35">
      <c r="A851" s="5" t="s">
        <v>1311</v>
      </c>
      <c r="B851" s="7">
        <v>2470</v>
      </c>
      <c r="C851" s="7">
        <v>82</v>
      </c>
      <c r="D851" s="7">
        <v>2997</v>
      </c>
    </row>
    <row r="852" spans="1:4" ht="17.25" x14ac:dyDescent="0.35">
      <c r="A852" s="5" t="s">
        <v>1313</v>
      </c>
      <c r="B852" s="7">
        <v>2464</v>
      </c>
      <c r="C852" s="7">
        <v>138</v>
      </c>
      <c r="D852" s="7">
        <v>5876</v>
      </c>
    </row>
    <row r="853" spans="1:4" ht="17.25" x14ac:dyDescent="0.35">
      <c r="A853" s="5" t="s">
        <v>1314</v>
      </c>
      <c r="B853" s="7">
        <v>2462</v>
      </c>
      <c r="C853" s="7">
        <v>120</v>
      </c>
      <c r="D853" s="7">
        <v>2186</v>
      </c>
    </row>
    <row r="854" spans="1:4" ht="17.25" x14ac:dyDescent="0.35">
      <c r="A854" s="5" t="s">
        <v>1315</v>
      </c>
      <c r="B854" s="7">
        <v>2459</v>
      </c>
      <c r="C854" s="7">
        <v>292</v>
      </c>
      <c r="D854" s="7">
        <v>2330</v>
      </c>
    </row>
    <row r="855" spans="1:4" ht="17.25" x14ac:dyDescent="0.35">
      <c r="A855" s="5" t="s">
        <v>1317</v>
      </c>
      <c r="B855" s="7">
        <v>2446</v>
      </c>
      <c r="C855" s="7">
        <v>12</v>
      </c>
      <c r="D855" s="7">
        <v>5345</v>
      </c>
    </row>
    <row r="856" spans="1:4" ht="17.25" x14ac:dyDescent="0.35">
      <c r="A856" s="5" t="s">
        <v>1319</v>
      </c>
      <c r="B856" s="7">
        <v>2435</v>
      </c>
      <c r="C856" s="7">
        <v>197</v>
      </c>
      <c r="D856" s="7">
        <v>5600</v>
      </c>
    </row>
    <row r="857" spans="1:4" ht="17.25" x14ac:dyDescent="0.35">
      <c r="A857" s="5" t="s">
        <v>1320</v>
      </c>
      <c r="B857" s="7">
        <v>2421</v>
      </c>
      <c r="C857" s="7">
        <v>-275</v>
      </c>
      <c r="D857" s="7">
        <v>6000</v>
      </c>
    </row>
    <row r="858" spans="1:4" ht="17.25" x14ac:dyDescent="0.35">
      <c r="A858" s="5" t="s">
        <v>1321</v>
      </c>
      <c r="B858" s="7">
        <v>2420</v>
      </c>
      <c r="C858" s="7">
        <v>94</v>
      </c>
      <c r="D858" s="7">
        <v>7600</v>
      </c>
    </row>
    <row r="859" spans="1:4" ht="17.25" x14ac:dyDescent="0.35">
      <c r="A859" s="5" t="s">
        <v>1323</v>
      </c>
      <c r="B859" s="7">
        <v>2419</v>
      </c>
      <c r="C859" s="7">
        <v>484</v>
      </c>
      <c r="D859" s="7">
        <v>6670</v>
      </c>
    </row>
    <row r="860" spans="1:4" ht="17.25" x14ac:dyDescent="0.35">
      <c r="A860" s="5" t="s">
        <v>1325</v>
      </c>
      <c r="B860" s="7">
        <v>2418</v>
      </c>
      <c r="C860" s="7">
        <v>-749</v>
      </c>
      <c r="D860" s="7">
        <v>2638</v>
      </c>
    </row>
    <row r="861" spans="1:4" ht="17.25" x14ac:dyDescent="0.35">
      <c r="A861" s="5" t="s">
        <v>1324</v>
      </c>
      <c r="B861" s="7">
        <v>2418</v>
      </c>
      <c r="C861" s="7">
        <v>-752</v>
      </c>
      <c r="D861" s="7">
        <v>1640</v>
      </c>
    </row>
    <row r="862" spans="1:4" ht="17.25" x14ac:dyDescent="0.35">
      <c r="A862" s="5" t="s">
        <v>1326</v>
      </c>
      <c r="B862" s="7">
        <v>2404</v>
      </c>
      <c r="C862" s="7">
        <v>1375</v>
      </c>
      <c r="D862" s="7">
        <v>1700</v>
      </c>
    </row>
    <row r="863" spans="1:4" ht="17.25" x14ac:dyDescent="0.35">
      <c r="A863" s="5" t="s">
        <v>1327</v>
      </c>
      <c r="B863" s="7">
        <v>2403</v>
      </c>
      <c r="C863" s="7">
        <v>-3554</v>
      </c>
      <c r="D863" s="7">
        <v>1700</v>
      </c>
    </row>
    <row r="864" spans="1:4" ht="17.25" x14ac:dyDescent="0.35">
      <c r="A864" s="5" t="s">
        <v>1328</v>
      </c>
      <c r="B864" s="7">
        <v>2401</v>
      </c>
      <c r="C864" s="7">
        <v>206</v>
      </c>
      <c r="D864" s="7">
        <v>1036</v>
      </c>
    </row>
    <row r="865" spans="1:4" ht="17.25" x14ac:dyDescent="0.35">
      <c r="A865" s="5" t="s">
        <v>1329</v>
      </c>
      <c r="B865" s="7">
        <v>2395</v>
      </c>
      <c r="C865" s="7">
        <v>353</v>
      </c>
      <c r="D865" s="7">
        <v>13000</v>
      </c>
    </row>
    <row r="866" spans="1:4" ht="17.25" x14ac:dyDescent="0.35">
      <c r="A866" s="5" t="s">
        <v>1330</v>
      </c>
      <c r="B866" s="7">
        <v>2392</v>
      </c>
      <c r="C866" s="7">
        <v>27</v>
      </c>
      <c r="D866" s="7">
        <v>5000</v>
      </c>
    </row>
    <row r="867" spans="1:4" ht="17.25" x14ac:dyDescent="0.35">
      <c r="A867" s="5" t="s">
        <v>1332</v>
      </c>
      <c r="B867" s="7">
        <v>2391</v>
      </c>
      <c r="C867" s="7">
        <v>202</v>
      </c>
      <c r="D867" s="7">
        <v>6874</v>
      </c>
    </row>
    <row r="868" spans="1:4" ht="17.25" x14ac:dyDescent="0.35">
      <c r="A868" s="5" t="s">
        <v>1334</v>
      </c>
      <c r="B868" s="7">
        <v>2389</v>
      </c>
      <c r="C868" s="7">
        <v>88</v>
      </c>
      <c r="D868" s="7">
        <v>8000</v>
      </c>
    </row>
    <row r="869" spans="1:4" ht="17.25" x14ac:dyDescent="0.35">
      <c r="A869" s="5" t="s">
        <v>1335</v>
      </c>
      <c r="B869" s="7">
        <v>2384</v>
      </c>
      <c r="C869" s="7">
        <v>589</v>
      </c>
      <c r="D869" s="7">
        <v>3211</v>
      </c>
    </row>
    <row r="870" spans="1:4" ht="17.25" x14ac:dyDescent="0.35">
      <c r="A870" s="5" t="s">
        <v>1336</v>
      </c>
      <c r="B870" s="7">
        <v>2383</v>
      </c>
      <c r="C870" s="7">
        <v>242</v>
      </c>
      <c r="D870" s="7">
        <v>10630</v>
      </c>
    </row>
    <row r="871" spans="1:4" ht="17.25" x14ac:dyDescent="0.35">
      <c r="A871" s="5" t="s">
        <v>1337</v>
      </c>
      <c r="B871" s="7">
        <v>2382</v>
      </c>
      <c r="C871" s="7">
        <v>1311</v>
      </c>
      <c r="D871" s="7">
        <v>5300</v>
      </c>
    </row>
    <row r="872" spans="1:4" ht="17.25" x14ac:dyDescent="0.35">
      <c r="A872" s="5" t="s">
        <v>1338</v>
      </c>
      <c r="B872" s="7">
        <v>2377</v>
      </c>
      <c r="C872" s="7">
        <v>648</v>
      </c>
      <c r="D872" s="7">
        <v>3451</v>
      </c>
    </row>
    <row r="873" spans="1:4" ht="17.25" x14ac:dyDescent="0.35">
      <c r="A873" s="5" t="s">
        <v>1339</v>
      </c>
      <c r="B873" s="7">
        <v>2377</v>
      </c>
      <c r="C873" s="7">
        <v>92</v>
      </c>
      <c r="D873" s="7">
        <v>7100</v>
      </c>
    </row>
    <row r="874" spans="1:4" ht="17.25" x14ac:dyDescent="0.35">
      <c r="A874" s="5" t="s">
        <v>1341</v>
      </c>
      <c r="B874" s="7">
        <v>2371</v>
      </c>
      <c r="C874" s="7">
        <v>61</v>
      </c>
      <c r="D874" s="7">
        <v>3200</v>
      </c>
    </row>
    <row r="875" spans="1:4" ht="17.25" x14ac:dyDescent="0.35">
      <c r="A875" s="5" t="s">
        <v>1340</v>
      </c>
      <c r="B875" s="7">
        <v>2371</v>
      </c>
      <c r="C875" s="7">
        <v>208</v>
      </c>
      <c r="D875" s="7">
        <v>12500</v>
      </c>
    </row>
    <row r="876" spans="1:4" ht="17.25" x14ac:dyDescent="0.35">
      <c r="A876" s="5" t="s">
        <v>1343</v>
      </c>
      <c r="B876" s="7">
        <v>2363</v>
      </c>
      <c r="C876" s="7">
        <v>128</v>
      </c>
      <c r="D876" s="7">
        <v>3800</v>
      </c>
    </row>
    <row r="877" spans="1:4" ht="17.25" x14ac:dyDescent="0.35">
      <c r="A877" s="5" t="s">
        <v>1345</v>
      </c>
      <c r="B877" s="7">
        <v>2350</v>
      </c>
      <c r="C877" s="7">
        <v>117</v>
      </c>
      <c r="D877" s="7">
        <v>10710</v>
      </c>
    </row>
    <row r="878" spans="1:4" ht="17.25" x14ac:dyDescent="0.35">
      <c r="A878" s="5" t="s">
        <v>1346</v>
      </c>
      <c r="B878" s="7">
        <v>2344</v>
      </c>
      <c r="C878" s="7">
        <v>114</v>
      </c>
      <c r="D878" s="7">
        <v>8919</v>
      </c>
    </row>
    <row r="879" spans="1:4" ht="17.25" x14ac:dyDescent="0.35">
      <c r="A879" s="5" t="s">
        <v>1347</v>
      </c>
      <c r="B879" s="7">
        <v>2341</v>
      </c>
      <c r="C879" s="7">
        <v>86</v>
      </c>
      <c r="D879" s="7">
        <v>5600</v>
      </c>
    </row>
    <row r="880" spans="1:4" ht="17.25" x14ac:dyDescent="0.35">
      <c r="A880" s="5" t="s">
        <v>1348</v>
      </c>
      <c r="B880" s="7">
        <v>2340</v>
      </c>
      <c r="C880" s="7">
        <v>85</v>
      </c>
      <c r="D880" s="7">
        <v>1914</v>
      </c>
    </row>
    <row r="881" spans="1:4" ht="17.25" x14ac:dyDescent="0.35">
      <c r="A881" s="5" t="s">
        <v>1349</v>
      </c>
      <c r="B881" s="7">
        <v>2339</v>
      </c>
      <c r="C881" s="7">
        <v>39</v>
      </c>
      <c r="D881" s="7">
        <v>6740</v>
      </c>
    </row>
    <row r="882" spans="1:4" ht="17.25" x14ac:dyDescent="0.35">
      <c r="A882" s="5" t="s">
        <v>1351</v>
      </c>
      <c r="B882" s="7">
        <v>2330</v>
      </c>
      <c r="C882" s="7">
        <v>148</v>
      </c>
      <c r="D882" s="7">
        <v>18660</v>
      </c>
    </row>
    <row r="883" spans="1:4" ht="17.25" x14ac:dyDescent="0.35">
      <c r="A883" s="5" t="s">
        <v>1352</v>
      </c>
      <c r="B883" s="7">
        <v>2326</v>
      </c>
      <c r="C883" s="7">
        <v>174</v>
      </c>
      <c r="D883" s="7">
        <v>5978</v>
      </c>
    </row>
    <row r="884" spans="1:4" ht="17.25" x14ac:dyDescent="0.35">
      <c r="A884" s="5" t="s">
        <v>1353</v>
      </c>
      <c r="B884" s="7">
        <v>2321</v>
      </c>
      <c r="C884" s="7">
        <v>-152</v>
      </c>
      <c r="D884" s="7">
        <v>14000</v>
      </c>
    </row>
    <row r="885" spans="1:4" ht="17.25" x14ac:dyDescent="0.35">
      <c r="A885" s="5" t="s">
        <v>1355</v>
      </c>
      <c r="B885" s="7">
        <v>2318</v>
      </c>
      <c r="C885" s="7">
        <v>183</v>
      </c>
      <c r="D885" s="7">
        <v>5548</v>
      </c>
    </row>
    <row r="886" spans="1:4" ht="17.25" x14ac:dyDescent="0.35">
      <c r="A886" s="5" t="s">
        <v>1356</v>
      </c>
      <c r="B886" s="7">
        <v>2317</v>
      </c>
      <c r="C886" s="7">
        <v>199</v>
      </c>
      <c r="D886" s="7">
        <v>13000</v>
      </c>
    </row>
    <row r="887" spans="1:4" ht="17.25" x14ac:dyDescent="0.35">
      <c r="A887" s="5" t="s">
        <v>1358</v>
      </c>
      <c r="B887" s="7">
        <v>2314</v>
      </c>
      <c r="C887" s="7">
        <v>240</v>
      </c>
      <c r="D887" s="7">
        <v>8600</v>
      </c>
    </row>
    <row r="888" spans="1:4" ht="17.25" x14ac:dyDescent="0.35">
      <c r="A888" s="5" t="s">
        <v>1359</v>
      </c>
      <c r="B888" s="7">
        <v>2309</v>
      </c>
      <c r="C888" s="7">
        <v>66</v>
      </c>
      <c r="D888" s="7">
        <v>8200</v>
      </c>
    </row>
    <row r="889" spans="1:4" ht="17.25" x14ac:dyDescent="0.35">
      <c r="A889" s="5" t="s">
        <v>1360</v>
      </c>
      <c r="B889" s="7">
        <v>2307</v>
      </c>
      <c r="C889" s="7">
        <v>206</v>
      </c>
      <c r="D889" s="7">
        <v>8250</v>
      </c>
    </row>
    <row r="890" spans="1:4" ht="17.25" x14ac:dyDescent="0.35">
      <c r="A890" s="5" t="s">
        <v>1361</v>
      </c>
      <c r="B890" s="7">
        <v>2307</v>
      </c>
      <c r="C890" s="7">
        <v>59</v>
      </c>
      <c r="D890" s="7">
        <v>8550</v>
      </c>
    </row>
    <row r="891" spans="1:4" ht="17.25" x14ac:dyDescent="0.35">
      <c r="A891" s="5" t="s">
        <v>1362</v>
      </c>
      <c r="B891" s="7">
        <v>2304</v>
      </c>
      <c r="C891" s="7">
        <v>105</v>
      </c>
      <c r="D891" s="7">
        <v>10200</v>
      </c>
    </row>
    <row r="892" spans="1:4" ht="17.25" x14ac:dyDescent="0.35">
      <c r="A892" s="5" t="s">
        <v>1364</v>
      </c>
      <c r="B892" s="7">
        <v>2301</v>
      </c>
      <c r="C892" s="7">
        <v>-109</v>
      </c>
      <c r="D892" s="7">
        <v>22400</v>
      </c>
    </row>
    <row r="893" spans="1:4" ht="17.25" x14ac:dyDescent="0.35">
      <c r="A893" s="5" t="s">
        <v>1366</v>
      </c>
      <c r="B893" s="7">
        <v>2299</v>
      </c>
      <c r="C893" s="7">
        <v>39</v>
      </c>
      <c r="D893" s="7">
        <v>13000</v>
      </c>
    </row>
    <row r="894" spans="1:4" ht="17.25" x14ac:dyDescent="0.35">
      <c r="A894" s="5" t="s">
        <v>1367</v>
      </c>
      <c r="B894" s="7">
        <v>2298</v>
      </c>
      <c r="C894" s="7">
        <v>196</v>
      </c>
      <c r="D894" s="7">
        <v>9200</v>
      </c>
    </row>
    <row r="895" spans="1:4" ht="17.25" x14ac:dyDescent="0.35">
      <c r="A895" s="5" t="s">
        <v>1368</v>
      </c>
      <c r="B895" s="7">
        <v>2295</v>
      </c>
      <c r="C895" s="7">
        <v>11</v>
      </c>
      <c r="D895" s="7">
        <v>12888</v>
      </c>
    </row>
    <row r="896" spans="1:4" ht="17.25" x14ac:dyDescent="0.35">
      <c r="A896" s="5" t="s">
        <v>1370</v>
      </c>
      <c r="B896" s="7">
        <v>2292</v>
      </c>
      <c r="C896" s="7">
        <v>49</v>
      </c>
      <c r="D896" s="7">
        <v>14726</v>
      </c>
    </row>
    <row r="897" spans="1:4" ht="17.25" x14ac:dyDescent="0.35">
      <c r="A897" s="5" t="s">
        <v>1372</v>
      </c>
      <c r="B897" s="7">
        <v>2290</v>
      </c>
      <c r="C897" s="7">
        <v>209</v>
      </c>
      <c r="D897" s="7">
        <v>1022</v>
      </c>
    </row>
    <row r="898" spans="1:4" ht="17.25" x14ac:dyDescent="0.35">
      <c r="A898" s="5" t="s">
        <v>1371</v>
      </c>
      <c r="B898" s="7">
        <v>2290</v>
      </c>
      <c r="C898" s="7">
        <v>121</v>
      </c>
      <c r="D898" s="7">
        <v>8451</v>
      </c>
    </row>
    <row r="899" spans="1:4" ht="17.25" x14ac:dyDescent="0.35">
      <c r="A899" s="5" t="s">
        <v>1373</v>
      </c>
      <c r="B899" s="7">
        <v>2289</v>
      </c>
      <c r="C899" s="7">
        <v>-83</v>
      </c>
      <c r="D899" s="7">
        <v>5000</v>
      </c>
    </row>
    <row r="900" spans="1:4" ht="17.25" x14ac:dyDescent="0.35">
      <c r="A900" s="5" t="s">
        <v>1375</v>
      </c>
      <c r="B900" s="7">
        <v>2288</v>
      </c>
      <c r="C900" s="7">
        <v>-27</v>
      </c>
      <c r="D900" s="7">
        <v>2918</v>
      </c>
    </row>
    <row r="901" spans="1:4" ht="17.25" x14ac:dyDescent="0.35">
      <c r="A901" s="5" t="s">
        <v>1376</v>
      </c>
      <c r="B901" s="7">
        <v>2284</v>
      </c>
      <c r="C901" s="7">
        <v>186</v>
      </c>
      <c r="D901" s="7">
        <v>13000</v>
      </c>
    </row>
    <row r="902" spans="1:4" ht="17.25" x14ac:dyDescent="0.35">
      <c r="A902" s="5" t="s">
        <v>1377</v>
      </c>
      <c r="B902" s="7">
        <v>2273</v>
      </c>
      <c r="C902" s="7">
        <v>211</v>
      </c>
      <c r="D902" s="7">
        <v>4243</v>
      </c>
    </row>
    <row r="903" spans="1:4" ht="17.25" x14ac:dyDescent="0.35">
      <c r="A903" s="5" t="s">
        <v>1378</v>
      </c>
      <c r="B903" s="7">
        <v>2272</v>
      </c>
      <c r="C903" s="7">
        <v>115</v>
      </c>
      <c r="D903" s="7">
        <v>27000</v>
      </c>
    </row>
    <row r="904" spans="1:4" ht="17.25" x14ac:dyDescent="0.35">
      <c r="A904" s="5" t="s">
        <v>1380</v>
      </c>
      <c r="B904" s="7">
        <v>2264</v>
      </c>
      <c r="C904" s="7">
        <v>340</v>
      </c>
      <c r="D904" s="7">
        <v>4640</v>
      </c>
    </row>
    <row r="905" spans="1:4" ht="17.25" x14ac:dyDescent="0.35">
      <c r="A905" s="5" t="s">
        <v>1379</v>
      </c>
      <c r="B905" s="7">
        <v>2264</v>
      </c>
      <c r="C905" s="7">
        <v>146</v>
      </c>
      <c r="D905" s="7">
        <v>8400</v>
      </c>
    </row>
    <row r="906" spans="1:4" ht="17.25" x14ac:dyDescent="0.35">
      <c r="A906" s="5" t="s">
        <v>1381</v>
      </c>
      <c r="B906" s="7">
        <v>2263</v>
      </c>
      <c r="C906" s="7">
        <v>212</v>
      </c>
      <c r="D906" s="7">
        <v>8000</v>
      </c>
    </row>
    <row r="907" spans="1:4" ht="17.25" x14ac:dyDescent="0.35">
      <c r="A907" s="5" t="s">
        <v>1382</v>
      </c>
      <c r="B907" s="7">
        <v>2250</v>
      </c>
      <c r="C907" s="7">
        <v>-77</v>
      </c>
      <c r="D907" s="7">
        <v>3809</v>
      </c>
    </row>
    <row r="908" spans="1:4" ht="17.25" x14ac:dyDescent="0.35">
      <c r="A908" s="5" t="s">
        <v>1385</v>
      </c>
      <c r="B908" s="7">
        <v>2247</v>
      </c>
      <c r="C908" s="7">
        <v>423</v>
      </c>
      <c r="D908" s="7">
        <v>1400</v>
      </c>
    </row>
    <row r="909" spans="1:4" ht="17.25" x14ac:dyDescent="0.35">
      <c r="A909" s="5" t="s">
        <v>1383</v>
      </c>
      <c r="B909" s="7">
        <v>2247</v>
      </c>
      <c r="C909" s="7">
        <v>133</v>
      </c>
      <c r="D909" s="7">
        <v>26800</v>
      </c>
    </row>
    <row r="910" spans="1:4" ht="17.25" x14ac:dyDescent="0.35">
      <c r="A910" s="5" t="s">
        <v>1386</v>
      </c>
      <c r="B910" s="7">
        <v>2242</v>
      </c>
      <c r="C910" s="7">
        <v>226</v>
      </c>
      <c r="D910" s="7">
        <v>10284</v>
      </c>
    </row>
    <row r="911" spans="1:4" ht="17.25" x14ac:dyDescent="0.35">
      <c r="A911" s="5" t="s">
        <v>1387</v>
      </c>
      <c r="B911" s="7">
        <v>2231</v>
      </c>
      <c r="C911" s="7">
        <v>63</v>
      </c>
      <c r="D911" s="7">
        <v>3512</v>
      </c>
    </row>
    <row r="912" spans="1:4" ht="17.25" x14ac:dyDescent="0.35">
      <c r="A912" s="5" t="s">
        <v>1389</v>
      </c>
      <c r="B912" s="7">
        <v>2227</v>
      </c>
      <c r="C912" s="7">
        <v>59</v>
      </c>
      <c r="D912" s="7">
        <v>4900</v>
      </c>
    </row>
    <row r="913" spans="1:4" ht="17.25" x14ac:dyDescent="0.35">
      <c r="A913" s="5" t="s">
        <v>1390</v>
      </c>
      <c r="B913" s="7">
        <v>2220</v>
      </c>
      <c r="C913" s="7">
        <v>462</v>
      </c>
      <c r="D913" s="7">
        <v>4600</v>
      </c>
    </row>
    <row r="914" spans="1:4" ht="17.25" x14ac:dyDescent="0.35">
      <c r="A914" s="5" t="s">
        <v>1391</v>
      </c>
      <c r="B914" s="7">
        <v>2219</v>
      </c>
      <c r="C914" s="7">
        <v>172</v>
      </c>
      <c r="D914" s="7">
        <v>8000</v>
      </c>
    </row>
    <row r="915" spans="1:4" ht="17.25" x14ac:dyDescent="0.35">
      <c r="A915" s="5" t="s">
        <v>1393</v>
      </c>
      <c r="B915" s="7">
        <v>2218</v>
      </c>
      <c r="C915" s="7">
        <v>-521</v>
      </c>
      <c r="D915" s="7">
        <v>3898</v>
      </c>
    </row>
    <row r="916" spans="1:4" ht="17.25" x14ac:dyDescent="0.35">
      <c r="A916" s="5" t="s">
        <v>1394</v>
      </c>
      <c r="B916" s="7">
        <v>2217</v>
      </c>
      <c r="C916" s="7">
        <v>193</v>
      </c>
      <c r="D916" s="7">
        <v>11900</v>
      </c>
    </row>
    <row r="917" spans="1:4" ht="17.25" x14ac:dyDescent="0.35">
      <c r="A917" s="5" t="s">
        <v>1396</v>
      </c>
      <c r="B917" s="7">
        <v>2211</v>
      </c>
      <c r="C917" s="7">
        <v>310</v>
      </c>
      <c r="D917" s="7">
        <v>10200</v>
      </c>
    </row>
    <row r="918" spans="1:4" ht="17.25" x14ac:dyDescent="0.35">
      <c r="A918" s="5" t="s">
        <v>1398</v>
      </c>
      <c r="B918" s="7">
        <v>2204</v>
      </c>
      <c r="C918" s="7">
        <v>82</v>
      </c>
      <c r="D918" s="7">
        <v>13500</v>
      </c>
    </row>
    <row r="919" spans="1:4" ht="17.25" x14ac:dyDescent="0.35">
      <c r="A919" s="5" t="s">
        <v>1399</v>
      </c>
      <c r="B919" s="7">
        <v>2199</v>
      </c>
      <c r="C919" s="7">
        <v>47</v>
      </c>
      <c r="D919" s="7">
        <v>18243</v>
      </c>
    </row>
    <row r="920" spans="1:4" ht="17.25" x14ac:dyDescent="0.35">
      <c r="A920" s="5" t="s">
        <v>1401</v>
      </c>
      <c r="B920" s="7">
        <v>2197</v>
      </c>
      <c r="C920" s="7">
        <v>869</v>
      </c>
      <c r="D920" s="7">
        <v>1555</v>
      </c>
    </row>
    <row r="921" spans="1:4" ht="17.25" x14ac:dyDescent="0.35">
      <c r="A921" s="5" t="s">
        <v>1402</v>
      </c>
      <c r="B921" s="7">
        <v>2197</v>
      </c>
      <c r="C921" s="7">
        <v>271</v>
      </c>
      <c r="D921" s="7">
        <v>2586</v>
      </c>
    </row>
    <row r="922" spans="1:4" ht="17.25" x14ac:dyDescent="0.35">
      <c r="A922" s="5" t="s">
        <v>1400</v>
      </c>
      <c r="B922" s="7">
        <v>2197</v>
      </c>
      <c r="C922" s="7">
        <v>321</v>
      </c>
      <c r="D922" s="7">
        <v>6084</v>
      </c>
    </row>
    <row r="923" spans="1:4" ht="17.25" x14ac:dyDescent="0.35">
      <c r="A923" s="5" t="s">
        <v>1403</v>
      </c>
      <c r="B923" s="7">
        <v>2195</v>
      </c>
      <c r="C923" s="7">
        <v>44</v>
      </c>
      <c r="D923" s="7">
        <v>2670</v>
      </c>
    </row>
    <row r="924" spans="1:4" ht="17.25" x14ac:dyDescent="0.35">
      <c r="A924" s="5" t="s">
        <v>1404</v>
      </c>
      <c r="B924" s="7">
        <v>2192</v>
      </c>
      <c r="C924" s="7">
        <v>-242</v>
      </c>
      <c r="D924" s="7">
        <v>11400</v>
      </c>
    </row>
    <row r="925" spans="1:4" ht="17.25" x14ac:dyDescent="0.35">
      <c r="A925" s="5" t="s">
        <v>1405</v>
      </c>
      <c r="B925" s="7">
        <v>2189</v>
      </c>
      <c r="C925" s="7">
        <v>819</v>
      </c>
      <c r="D925" s="7">
        <v>1640</v>
      </c>
    </row>
    <row r="926" spans="1:4" ht="17.25" x14ac:dyDescent="0.35">
      <c r="A926" s="5" t="s">
        <v>1406</v>
      </c>
      <c r="B926" s="7">
        <v>2180</v>
      </c>
      <c r="C926" s="7">
        <v>68</v>
      </c>
      <c r="D926" s="7">
        <v>929</v>
      </c>
    </row>
    <row r="927" spans="1:4" ht="17.25" x14ac:dyDescent="0.35">
      <c r="A927" s="5" t="s">
        <v>1407</v>
      </c>
      <c r="B927" s="7">
        <v>2179</v>
      </c>
      <c r="C927" s="7">
        <v>147</v>
      </c>
      <c r="D927" s="7">
        <v>1400</v>
      </c>
    </row>
    <row r="928" spans="1:4" ht="17.25" x14ac:dyDescent="0.35">
      <c r="A928" s="5" t="s">
        <v>1408</v>
      </c>
      <c r="B928" s="7">
        <v>2163</v>
      </c>
      <c r="C928" s="7">
        <v>176</v>
      </c>
      <c r="D928" s="7">
        <v>7834</v>
      </c>
    </row>
    <row r="929" spans="1:4" ht="17.25" x14ac:dyDescent="0.35">
      <c r="A929" s="5" t="s">
        <v>1409</v>
      </c>
      <c r="B929" s="7">
        <v>2151</v>
      </c>
      <c r="C929" s="7">
        <v>-7</v>
      </c>
      <c r="D929" s="7">
        <v>7103</v>
      </c>
    </row>
    <row r="930" spans="1:4" ht="17.25" x14ac:dyDescent="0.35">
      <c r="A930" s="5" t="s">
        <v>1410</v>
      </c>
      <c r="B930" s="7">
        <v>2149</v>
      </c>
      <c r="C930" s="7">
        <v>-16</v>
      </c>
      <c r="D930" s="7">
        <v>2078</v>
      </c>
    </row>
    <row r="931" spans="1:4" ht="17.25" x14ac:dyDescent="0.35">
      <c r="A931" s="5" t="s">
        <v>1412</v>
      </c>
      <c r="B931" s="7">
        <v>2148</v>
      </c>
      <c r="C931" s="7">
        <v>227</v>
      </c>
      <c r="D931" s="7">
        <v>4200</v>
      </c>
    </row>
    <row r="932" spans="1:4" ht="17.25" x14ac:dyDescent="0.35">
      <c r="A932" s="5" t="s">
        <v>1413</v>
      </c>
      <c r="B932" s="7">
        <v>2147</v>
      </c>
      <c r="C932" s="7">
        <v>369</v>
      </c>
      <c r="D932" s="7">
        <v>9449</v>
      </c>
    </row>
    <row r="933" spans="1:4" ht="17.25" x14ac:dyDescent="0.35">
      <c r="A933" s="5" t="s">
        <v>1417</v>
      </c>
      <c r="B933" s="7">
        <v>2142</v>
      </c>
      <c r="C933" s="7">
        <v>317</v>
      </c>
      <c r="D933" s="7">
        <v>4326</v>
      </c>
    </row>
    <row r="934" spans="1:4" ht="17.25" x14ac:dyDescent="0.35">
      <c r="A934" s="5" t="s">
        <v>1415</v>
      </c>
      <c r="B934" s="7">
        <v>2142</v>
      </c>
      <c r="C934" s="7">
        <v>98</v>
      </c>
      <c r="D934" s="7">
        <v>7510</v>
      </c>
    </row>
    <row r="935" spans="1:4" ht="17.25" x14ac:dyDescent="0.35">
      <c r="A935" s="5" t="s">
        <v>1419</v>
      </c>
      <c r="B935" s="7">
        <v>2141</v>
      </c>
      <c r="C935" s="7">
        <v>239</v>
      </c>
      <c r="D935" s="7">
        <v>1979</v>
      </c>
    </row>
    <row r="936" spans="1:4" ht="17.25" x14ac:dyDescent="0.35">
      <c r="A936" s="5" t="s">
        <v>1420</v>
      </c>
      <c r="B936" s="7">
        <v>2134</v>
      </c>
      <c r="C936" s="7">
        <v>211</v>
      </c>
      <c r="D936" s="7">
        <v>12700</v>
      </c>
    </row>
    <row r="937" spans="1:4" ht="17.25" x14ac:dyDescent="0.35">
      <c r="A937" s="5" t="s">
        <v>1421</v>
      </c>
      <c r="B937" s="7">
        <v>2132</v>
      </c>
      <c r="C937" s="7">
        <v>166</v>
      </c>
      <c r="D937" s="7">
        <v>2200</v>
      </c>
    </row>
    <row r="938" spans="1:4" ht="17.25" x14ac:dyDescent="0.35">
      <c r="A938" s="5" t="s">
        <v>1423</v>
      </c>
      <c r="B938" s="7">
        <v>2129</v>
      </c>
      <c r="C938" s="7">
        <v>-133</v>
      </c>
      <c r="D938" s="7">
        <v>4941</v>
      </c>
    </row>
    <row r="939" spans="1:4" ht="17.25" x14ac:dyDescent="0.35">
      <c r="A939" s="5" t="s">
        <v>1424</v>
      </c>
      <c r="B939" s="7">
        <v>2123</v>
      </c>
      <c r="C939" s="7">
        <v>895</v>
      </c>
      <c r="D939" s="7">
        <v>7810</v>
      </c>
    </row>
    <row r="940" spans="1:4" ht="17.25" x14ac:dyDescent="0.35">
      <c r="A940" s="5" t="s">
        <v>1426</v>
      </c>
      <c r="B940" s="7">
        <v>2117</v>
      </c>
      <c r="C940" s="7">
        <v>-96</v>
      </c>
      <c r="D940" s="7">
        <v>7227</v>
      </c>
    </row>
    <row r="941" spans="1:4" ht="17.25" x14ac:dyDescent="0.35">
      <c r="A941" s="5" t="s">
        <v>1427</v>
      </c>
      <c r="B941" s="7">
        <v>2109</v>
      </c>
      <c r="C941" s="7">
        <v>91</v>
      </c>
      <c r="D941" s="7">
        <v>4200</v>
      </c>
    </row>
    <row r="942" spans="1:4" ht="17.25" x14ac:dyDescent="0.35">
      <c r="A942" s="5" t="s">
        <v>1429</v>
      </c>
      <c r="B942" s="7">
        <v>2101</v>
      </c>
      <c r="C942" s="7">
        <v>117</v>
      </c>
      <c r="D942" s="7">
        <v>37600</v>
      </c>
    </row>
    <row r="943" spans="1:4" ht="17.25" x14ac:dyDescent="0.35">
      <c r="A943" s="5" t="s">
        <v>1432</v>
      </c>
      <c r="B943" s="7">
        <v>2100</v>
      </c>
      <c r="C943" s="7">
        <v>158</v>
      </c>
      <c r="D943" s="7">
        <v>17000</v>
      </c>
    </row>
    <row r="944" spans="1:4" ht="17.25" x14ac:dyDescent="0.35">
      <c r="A944" s="5" t="s">
        <v>1431</v>
      </c>
      <c r="B944" s="7">
        <v>2100</v>
      </c>
      <c r="C944" s="7">
        <v>88</v>
      </c>
      <c r="D944" s="7">
        <v>4104</v>
      </c>
    </row>
    <row r="945" spans="1:4" ht="17.25" x14ac:dyDescent="0.35">
      <c r="A945" s="5" t="s">
        <v>1433</v>
      </c>
      <c r="B945" s="7">
        <v>2096</v>
      </c>
      <c r="C945" s="7">
        <v>-26</v>
      </c>
      <c r="D945" s="7">
        <v>29570</v>
      </c>
    </row>
    <row r="946" spans="1:4" ht="17.25" x14ac:dyDescent="0.35">
      <c r="A946" s="5" t="s">
        <v>1435</v>
      </c>
      <c r="B946" s="7">
        <v>2094</v>
      </c>
      <c r="C946" s="7">
        <v>124</v>
      </c>
      <c r="D946" s="7">
        <v>12325</v>
      </c>
    </row>
    <row r="947" spans="1:4" ht="17.25" x14ac:dyDescent="0.35">
      <c r="A947" s="5" t="s">
        <v>1436</v>
      </c>
      <c r="B947" s="7">
        <v>2086</v>
      </c>
      <c r="C947" s="7">
        <v>-235</v>
      </c>
      <c r="D947" s="7">
        <v>9800</v>
      </c>
    </row>
    <row r="948" spans="1:4" ht="17.25" x14ac:dyDescent="0.35">
      <c r="A948" s="5" t="s">
        <v>1438</v>
      </c>
      <c r="B948" s="7">
        <v>2084</v>
      </c>
      <c r="C948" s="7">
        <v>84</v>
      </c>
      <c r="D948" s="7">
        <v>8000</v>
      </c>
    </row>
    <row r="949" spans="1:4" ht="17.25" x14ac:dyDescent="0.35">
      <c r="A949" s="5" t="s">
        <v>1439</v>
      </c>
      <c r="B949" s="7">
        <v>2084</v>
      </c>
      <c r="C949" s="7">
        <v>307</v>
      </c>
      <c r="D949" s="7">
        <v>1644</v>
      </c>
    </row>
    <row r="950" spans="1:4" ht="17.25" x14ac:dyDescent="0.35">
      <c r="A950" s="5" t="s">
        <v>1440</v>
      </c>
      <c r="B950" s="7">
        <v>2084</v>
      </c>
      <c r="C950" s="7">
        <v>87</v>
      </c>
      <c r="D950" s="7">
        <v>4425</v>
      </c>
    </row>
    <row r="951" spans="1:4" ht="17.25" x14ac:dyDescent="0.35">
      <c r="A951" s="5" t="s">
        <v>1441</v>
      </c>
      <c r="B951" s="7">
        <v>2083</v>
      </c>
      <c r="C951" s="7">
        <v>80</v>
      </c>
      <c r="D951" s="7">
        <v>5200</v>
      </c>
    </row>
    <row r="952" spans="1:4" ht="17.25" x14ac:dyDescent="0.35">
      <c r="A952" s="5" t="s">
        <v>1443</v>
      </c>
      <c r="B952" s="7">
        <v>2077</v>
      </c>
      <c r="C952" s="7">
        <v>98</v>
      </c>
      <c r="D952" s="7">
        <v>3320</v>
      </c>
    </row>
    <row r="953" spans="1:4" ht="17.25" x14ac:dyDescent="0.35">
      <c r="A953" s="5" t="s">
        <v>1445</v>
      </c>
      <c r="B953" s="7">
        <v>2068</v>
      </c>
      <c r="C953" s="7">
        <v>508</v>
      </c>
      <c r="D953" s="7">
        <v>7783</v>
      </c>
    </row>
    <row r="954" spans="1:4" ht="17.25" x14ac:dyDescent="0.35">
      <c r="A954" s="5" t="s">
        <v>1447</v>
      </c>
      <c r="B954" s="7">
        <v>2066</v>
      </c>
      <c r="C954" s="7">
        <v>-40</v>
      </c>
      <c r="D954" s="7">
        <v>744</v>
      </c>
    </row>
    <row r="955" spans="1:4" ht="17.25" x14ac:dyDescent="0.35">
      <c r="A955" s="5" t="s">
        <v>1448</v>
      </c>
      <c r="B955" s="7">
        <v>2066</v>
      </c>
      <c r="C955" s="7">
        <v>-15</v>
      </c>
      <c r="D955" s="7">
        <v>6835</v>
      </c>
    </row>
    <row r="956" spans="1:4" ht="17.25" x14ac:dyDescent="0.35">
      <c r="A956" s="5" t="s">
        <v>1450</v>
      </c>
      <c r="B956" s="7">
        <v>2051</v>
      </c>
      <c r="C956" s="7">
        <v>-2219</v>
      </c>
      <c r="D956" s="7">
        <v>1200</v>
      </c>
    </row>
    <row r="957" spans="1:4" ht="17.25" x14ac:dyDescent="0.35">
      <c r="A957" s="5" t="s">
        <v>1451</v>
      </c>
      <c r="B957" s="7">
        <v>2042</v>
      </c>
      <c r="C957" s="7">
        <v>469</v>
      </c>
      <c r="D957" s="7">
        <v>6594</v>
      </c>
    </row>
    <row r="958" spans="1:4" ht="17.25" x14ac:dyDescent="0.35">
      <c r="A958" s="5" t="s">
        <v>1453</v>
      </c>
      <c r="B958" s="7">
        <v>2042</v>
      </c>
      <c r="C958" s="7">
        <v>194</v>
      </c>
      <c r="D958" s="7">
        <v>8300</v>
      </c>
    </row>
    <row r="959" spans="1:4" ht="17.25" x14ac:dyDescent="0.35">
      <c r="A959" s="5" t="s">
        <v>1455</v>
      </c>
      <c r="B959" s="7">
        <v>2038</v>
      </c>
      <c r="C959" s="7">
        <v>182</v>
      </c>
      <c r="D959" s="7">
        <v>6955</v>
      </c>
    </row>
    <row r="960" spans="1:4" ht="17.25" x14ac:dyDescent="0.35">
      <c r="A960" s="5" t="s">
        <v>1457</v>
      </c>
      <c r="B960" s="7">
        <v>2034</v>
      </c>
      <c r="C960" s="7">
        <v>-6</v>
      </c>
      <c r="D960" s="7">
        <v>6900</v>
      </c>
    </row>
    <row r="961" spans="1:4" ht="17.25" x14ac:dyDescent="0.35">
      <c r="A961" s="5" t="s">
        <v>1458</v>
      </c>
      <c r="B961" s="7">
        <v>2029</v>
      </c>
      <c r="C961" s="7">
        <v>35</v>
      </c>
      <c r="D961" s="7">
        <v>5200</v>
      </c>
    </row>
    <row r="962" spans="1:4" ht="17.25" x14ac:dyDescent="0.35">
      <c r="A962" s="5" t="s">
        <v>1459</v>
      </c>
      <c r="B962" s="7">
        <v>2028</v>
      </c>
      <c r="C962" s="7">
        <v>104</v>
      </c>
      <c r="D962" s="7">
        <v>5300</v>
      </c>
    </row>
    <row r="963" spans="1:4" ht="17.25" x14ac:dyDescent="0.35">
      <c r="A963" s="5" t="s">
        <v>1461</v>
      </c>
      <c r="B963" s="7">
        <v>2024</v>
      </c>
      <c r="C963" s="7">
        <v>30</v>
      </c>
      <c r="D963" s="7">
        <v>4028</v>
      </c>
    </row>
    <row r="964" spans="1:4" ht="17.25" x14ac:dyDescent="0.35">
      <c r="A964" s="5" t="s">
        <v>1462</v>
      </c>
      <c r="B964" s="7">
        <v>2022</v>
      </c>
      <c r="C964" s="7">
        <v>84</v>
      </c>
      <c r="D964" s="7">
        <v>11159</v>
      </c>
    </row>
    <row r="965" spans="1:4" ht="17.25" x14ac:dyDescent="0.35">
      <c r="A965" s="5" t="s">
        <v>1464</v>
      </c>
      <c r="B965" s="7">
        <v>2021</v>
      </c>
      <c r="C965" s="7">
        <v>283</v>
      </c>
      <c r="D965" s="7">
        <v>6801</v>
      </c>
    </row>
    <row r="966" spans="1:4" ht="17.25" x14ac:dyDescent="0.35">
      <c r="A966" s="5" t="s">
        <v>1467</v>
      </c>
      <c r="B966" s="7">
        <v>2019</v>
      </c>
      <c r="C966" s="7">
        <v>-149</v>
      </c>
      <c r="D966" s="7">
        <v>693</v>
      </c>
    </row>
    <row r="967" spans="1:4" ht="17.25" x14ac:dyDescent="0.35">
      <c r="A967" s="5" t="s">
        <v>1465</v>
      </c>
      <c r="B967" s="7">
        <v>2019</v>
      </c>
      <c r="C967" s="7">
        <v>113</v>
      </c>
      <c r="D967" s="7">
        <v>7770</v>
      </c>
    </row>
    <row r="968" spans="1:4" ht="17.25" x14ac:dyDescent="0.35">
      <c r="A968" s="5" t="s">
        <v>1468</v>
      </c>
      <c r="B968" s="7">
        <v>2016</v>
      </c>
      <c r="C968" s="7">
        <v>34</v>
      </c>
      <c r="D968" s="7">
        <v>6000</v>
      </c>
    </row>
    <row r="969" spans="1:4" ht="17.25" x14ac:dyDescent="0.35">
      <c r="A969" s="5" t="s">
        <v>1470</v>
      </c>
      <c r="B969" s="7">
        <v>2011</v>
      </c>
      <c r="C969" s="7">
        <v>-320</v>
      </c>
      <c r="D969" s="7">
        <v>8000</v>
      </c>
    </row>
    <row r="970" spans="1:4" ht="17.25" x14ac:dyDescent="0.35">
      <c r="A970" s="5" t="s">
        <v>1469</v>
      </c>
      <c r="B970" s="7">
        <v>2011</v>
      </c>
      <c r="C970" s="7">
        <v>65</v>
      </c>
      <c r="D970" s="7">
        <v>17650</v>
      </c>
    </row>
    <row r="971" spans="1:4" ht="17.25" x14ac:dyDescent="0.35">
      <c r="A971" s="5" t="s">
        <v>1471</v>
      </c>
      <c r="B971" s="7">
        <v>2001</v>
      </c>
      <c r="C971" s="7">
        <v>126</v>
      </c>
      <c r="D971" s="7">
        <v>6189</v>
      </c>
    </row>
    <row r="972" spans="1:4" ht="17.25" x14ac:dyDescent="0.35">
      <c r="A972" s="5" t="s">
        <v>1472</v>
      </c>
      <c r="B972" s="7">
        <v>2001</v>
      </c>
      <c r="C972" s="7">
        <v>79</v>
      </c>
      <c r="D972" s="7">
        <v>5400</v>
      </c>
    </row>
    <row r="973" spans="1:4" ht="17.25" x14ac:dyDescent="0.35">
      <c r="A973" s="5" t="s">
        <v>1473</v>
      </c>
      <c r="B973" s="7">
        <v>2000</v>
      </c>
      <c r="C973" s="7">
        <v>225</v>
      </c>
      <c r="D973" s="7">
        <v>7500</v>
      </c>
    </row>
    <row r="974" spans="1:4" ht="17.25" x14ac:dyDescent="0.35">
      <c r="A974" s="5" t="s">
        <v>1475</v>
      </c>
      <c r="B974" s="7">
        <v>1999</v>
      </c>
      <c r="C974" s="7">
        <v>-232</v>
      </c>
      <c r="D974" s="7">
        <v>18200</v>
      </c>
    </row>
    <row r="975" spans="1:4" ht="17.25" x14ac:dyDescent="0.35">
      <c r="A975" s="5" t="s">
        <v>1476</v>
      </c>
      <c r="B975" s="7">
        <v>1995</v>
      </c>
      <c r="C975" s="7">
        <v>48</v>
      </c>
      <c r="D975" s="7">
        <v>4502</v>
      </c>
    </row>
    <row r="976" spans="1:4" ht="17.25" x14ac:dyDescent="0.35">
      <c r="A976" s="5" t="s">
        <v>1478</v>
      </c>
      <c r="B976" s="7">
        <v>1991</v>
      </c>
      <c r="C976" s="7">
        <v>102</v>
      </c>
      <c r="D976" s="7">
        <v>2285</v>
      </c>
    </row>
    <row r="977" spans="1:4" ht="17.25" x14ac:dyDescent="0.35">
      <c r="A977" s="5" t="s">
        <v>1479</v>
      </c>
      <c r="B977" s="7">
        <v>1989</v>
      </c>
      <c r="C977" s="7">
        <v>522</v>
      </c>
      <c r="D977" s="7">
        <v>3130</v>
      </c>
    </row>
    <row r="978" spans="1:4" ht="17.25" x14ac:dyDescent="0.35">
      <c r="A978" s="5" t="s">
        <v>1480</v>
      </c>
      <c r="B978" s="7">
        <v>1988</v>
      </c>
      <c r="C978" s="7">
        <v>48</v>
      </c>
      <c r="D978" s="7">
        <v>10000</v>
      </c>
    </row>
    <row r="979" spans="1:4" ht="17.25" x14ac:dyDescent="0.35">
      <c r="A979" s="5" t="s">
        <v>1481</v>
      </c>
      <c r="B979" s="7">
        <v>1987</v>
      </c>
      <c r="C979" s="7">
        <v>84</v>
      </c>
      <c r="D979" s="7">
        <v>9072</v>
      </c>
    </row>
    <row r="980" spans="1:4" ht="17.25" x14ac:dyDescent="0.35">
      <c r="A980" s="5" t="s">
        <v>1483</v>
      </c>
      <c r="B980" s="7">
        <v>1986</v>
      </c>
      <c r="C980" s="7">
        <v>182</v>
      </c>
      <c r="D980" s="7">
        <v>2700</v>
      </c>
    </row>
    <row r="981" spans="1:4" ht="17.25" x14ac:dyDescent="0.35">
      <c r="A981" s="5" t="s">
        <v>1485</v>
      </c>
      <c r="B981" s="7">
        <v>1976</v>
      </c>
      <c r="C981" s="7">
        <v>137</v>
      </c>
      <c r="D981" s="7">
        <v>3078</v>
      </c>
    </row>
    <row r="982" spans="1:4" ht="17.25" x14ac:dyDescent="0.35">
      <c r="A982" s="5" t="s">
        <v>1486</v>
      </c>
      <c r="B982" s="7">
        <v>1958</v>
      </c>
      <c r="C982" s="7">
        <v>-1727</v>
      </c>
      <c r="D982" s="7">
        <v>1040</v>
      </c>
    </row>
    <row r="983" spans="1:4" ht="17.25" x14ac:dyDescent="0.35">
      <c r="A983" s="5" t="s">
        <v>1487</v>
      </c>
      <c r="B983" s="7">
        <v>1950</v>
      </c>
      <c r="C983" s="7">
        <v>-59</v>
      </c>
      <c r="D983" s="7">
        <v>1778</v>
      </c>
    </row>
    <row r="984" spans="1:4" ht="17.25" x14ac:dyDescent="0.35">
      <c r="A984" s="5" t="s">
        <v>1488</v>
      </c>
      <c r="B984" s="7">
        <v>1944</v>
      </c>
      <c r="C984" s="7">
        <v>-1</v>
      </c>
      <c r="D984" s="7">
        <v>809</v>
      </c>
    </row>
    <row r="985" spans="1:4" ht="17.25" x14ac:dyDescent="0.35">
      <c r="A985" s="5" t="s">
        <v>1489</v>
      </c>
      <c r="B985" s="7">
        <v>1931</v>
      </c>
      <c r="C985" s="7">
        <v>-115</v>
      </c>
      <c r="D985" s="7">
        <v>13500</v>
      </c>
    </row>
    <row r="986" spans="1:4" ht="17.25" x14ac:dyDescent="0.35">
      <c r="A986" s="5" t="s">
        <v>1490</v>
      </c>
      <c r="B986" s="7">
        <v>1929</v>
      </c>
      <c r="C986" s="7">
        <v>37</v>
      </c>
      <c r="D986" s="7">
        <v>7011</v>
      </c>
    </row>
    <row r="987" spans="1:4" ht="17.25" x14ac:dyDescent="0.35">
      <c r="A987" s="5" t="s">
        <v>1491</v>
      </c>
      <c r="B987" s="7">
        <v>1924</v>
      </c>
      <c r="C987" s="7">
        <v>-197</v>
      </c>
      <c r="D987" s="7">
        <v>2955</v>
      </c>
    </row>
    <row r="988" spans="1:4" ht="17.25" x14ac:dyDescent="0.35">
      <c r="A988" s="5" t="s">
        <v>1492</v>
      </c>
      <c r="B988" s="7">
        <v>1923</v>
      </c>
      <c r="C988" s="7">
        <v>-133</v>
      </c>
      <c r="D988" s="7">
        <v>12000</v>
      </c>
    </row>
    <row r="989" spans="1:4" ht="17.25" x14ac:dyDescent="0.35">
      <c r="A989" s="5" t="s">
        <v>1493</v>
      </c>
      <c r="B989" s="7">
        <v>1922</v>
      </c>
      <c r="C989" s="7">
        <v>166</v>
      </c>
      <c r="D989" s="7">
        <v>400</v>
      </c>
    </row>
    <row r="990" spans="1:4" ht="17.25" x14ac:dyDescent="0.35">
      <c r="A990" s="5" t="s">
        <v>1495</v>
      </c>
      <c r="B990" s="7">
        <v>1921</v>
      </c>
      <c r="C990" s="7">
        <v>-31</v>
      </c>
      <c r="D990" s="7">
        <v>7300</v>
      </c>
    </row>
    <row r="991" spans="1:4" ht="17.25" x14ac:dyDescent="0.35">
      <c r="A991" s="5" t="s">
        <v>1496</v>
      </c>
      <c r="B991" s="7">
        <v>1920</v>
      </c>
      <c r="C991" s="7">
        <v>365</v>
      </c>
      <c r="D991" s="7">
        <v>4178</v>
      </c>
    </row>
    <row r="992" spans="1:4" ht="17.25" x14ac:dyDescent="0.35">
      <c r="A992" s="5" t="s">
        <v>1497</v>
      </c>
      <c r="B992" s="7">
        <v>1917</v>
      </c>
      <c r="C992" s="7">
        <v>-12</v>
      </c>
      <c r="D992" s="7">
        <v>1600</v>
      </c>
    </row>
    <row r="993" spans="1:4" ht="17.25" x14ac:dyDescent="0.35">
      <c r="A993" s="5" t="s">
        <v>1498</v>
      </c>
      <c r="B993" s="7">
        <v>1914</v>
      </c>
      <c r="C993" s="7">
        <v>56</v>
      </c>
      <c r="D993" s="7">
        <v>5700</v>
      </c>
    </row>
    <row r="994" spans="1:4" ht="17.25" x14ac:dyDescent="0.35">
      <c r="A994" s="5" t="s">
        <v>1499</v>
      </c>
      <c r="B994" s="7">
        <v>1910</v>
      </c>
      <c r="C994" s="7">
        <v>140</v>
      </c>
      <c r="D994" s="7">
        <v>11770</v>
      </c>
    </row>
    <row r="995" spans="1:4" ht="17.25" x14ac:dyDescent="0.35">
      <c r="A995" s="5" t="s">
        <v>1500</v>
      </c>
      <c r="B995" s="7">
        <v>1909</v>
      </c>
      <c r="C995" s="7">
        <v>66</v>
      </c>
      <c r="D995" s="7">
        <v>1225</v>
      </c>
    </row>
    <row r="996" spans="1:4" ht="17.25" x14ac:dyDescent="0.35">
      <c r="A996" s="5" t="s">
        <v>1501</v>
      </c>
      <c r="B996" s="7">
        <v>1908</v>
      </c>
      <c r="C996" s="7">
        <v>-3748</v>
      </c>
      <c r="D996" s="7">
        <v>665</v>
      </c>
    </row>
    <row r="997" spans="1:4" ht="17.25" x14ac:dyDescent="0.35">
      <c r="A997" s="5" t="s">
        <v>1502</v>
      </c>
      <c r="B997" s="7">
        <v>1902</v>
      </c>
      <c r="C997" s="7">
        <v>-47</v>
      </c>
      <c r="D997" s="7">
        <v>3448</v>
      </c>
    </row>
    <row r="998" spans="1:4" ht="17.25" x14ac:dyDescent="0.35">
      <c r="A998" s="5" t="s">
        <v>1505</v>
      </c>
      <c r="B998" s="7">
        <v>1896</v>
      </c>
      <c r="C998" s="7">
        <v>161</v>
      </c>
      <c r="D998" s="7">
        <v>21200</v>
      </c>
    </row>
    <row r="999" spans="1:4" ht="17.25" x14ac:dyDescent="0.35">
      <c r="A999" s="5" t="s">
        <v>1506</v>
      </c>
      <c r="B999" s="7">
        <v>1895</v>
      </c>
      <c r="C999" s="7">
        <v>46</v>
      </c>
      <c r="D999" s="7">
        <v>5480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AA43"/>
  <sheetViews>
    <sheetView showGridLines="0" showRowColHeaders="0" tabSelected="1" zoomScale="90" zoomScaleNormal="90" workbookViewId="0">
      <selection activeCell="D3" sqref="D3"/>
    </sheetView>
  </sheetViews>
  <sheetFormatPr defaultRowHeight="17.25" x14ac:dyDescent="0.35"/>
  <cols>
    <col min="1" max="1" width="2.5" customWidth="1"/>
    <col min="2" max="2" width="26.75" customWidth="1"/>
    <col min="3" max="3" width="13.875" customWidth="1"/>
    <col min="4" max="4" width="10.5" customWidth="1"/>
    <col min="5" max="5" width="17.75" customWidth="1"/>
    <col min="6" max="6" width="7.5" customWidth="1"/>
  </cols>
  <sheetData>
    <row r="2" spans="2:27" ht="20.100000000000001" customHeight="1" x14ac:dyDescent="0.35">
      <c r="B2" s="11" t="s">
        <v>1533</v>
      </c>
      <c r="C2" s="11"/>
      <c r="D2" s="11"/>
      <c r="E2" s="11"/>
      <c r="F2" s="11"/>
      <c r="G2" s="11"/>
      <c r="H2" s="11"/>
      <c r="I2" s="11"/>
      <c r="J2" s="11"/>
      <c r="K2" s="11"/>
      <c r="L2" s="11"/>
      <c r="M2" s="11"/>
      <c r="N2" s="11"/>
      <c r="O2" s="11"/>
      <c r="P2" s="11"/>
      <c r="Q2" s="11"/>
      <c r="R2" s="11"/>
      <c r="S2" s="11"/>
      <c r="T2" s="11"/>
      <c r="U2" s="11"/>
      <c r="V2" s="11"/>
      <c r="W2" s="11"/>
      <c r="X2" s="11"/>
      <c r="Y2" s="11"/>
      <c r="Z2" s="11"/>
      <c r="AA2" s="12"/>
    </row>
    <row r="3" spans="2:27" x14ac:dyDescent="0.35">
      <c r="B3" s="8"/>
      <c r="C3" s="8"/>
      <c r="D3" s="8"/>
      <c r="E3" s="8"/>
      <c r="F3" s="9">
        <v>1</v>
      </c>
    </row>
    <row r="4" spans="2:27" ht="19.5" x14ac:dyDescent="0.4">
      <c r="B4" s="10" t="s">
        <v>1</v>
      </c>
      <c r="C4" s="10" t="s">
        <v>5</v>
      </c>
      <c r="D4" s="10" t="s">
        <v>6</v>
      </c>
      <c r="E4" s="10" t="s">
        <v>1534</v>
      </c>
    </row>
    <row r="5" spans="2:27" x14ac:dyDescent="0.35">
      <c r="B5" s="2" t="str" cm="1">
        <f t="array" ref="B5">INDEX(Company_Pivot!A4:A$1000,Dashboard!$F$3)</f>
        <v>Walmart</v>
      </c>
      <c r="C5" s="1" cm="1">
        <f t="array" ref="C5">INDEX(Company_Pivot!B4:B$1000,Dashboard!$F$3)</f>
        <v>482130</v>
      </c>
      <c r="D5" s="1" cm="1">
        <f t="array" ref="D5">INDEX(Company_Pivot!C4:C$1000,Dashboard!$F$3)</f>
        <v>14694</v>
      </c>
      <c r="E5" s="1" cm="1">
        <f t="array" ref="E5">INDEX(Company_Pivot!D4:D$1000,Dashboard!$F$3)</f>
        <v>2300000</v>
      </c>
    </row>
    <row r="6" spans="2:27" x14ac:dyDescent="0.35">
      <c r="B6" s="2" t="str" cm="1">
        <f t="array" ref="B6">INDEX(Company_Pivot!A5:A$1000,Dashboard!$F$3)</f>
        <v>Exxon Mobil</v>
      </c>
      <c r="C6" s="1" cm="1">
        <f t="array" ref="C6">INDEX(Company_Pivot!B5:B$1000,Dashboard!$F$3)</f>
        <v>246204</v>
      </c>
      <c r="D6" s="1" cm="1">
        <f t="array" ref="D6">INDEX(Company_Pivot!C5:C$1000,Dashboard!$F$3)</f>
        <v>16150</v>
      </c>
      <c r="E6" s="1" cm="1">
        <f t="array" ref="E6">INDEX(Company_Pivot!D5:D$1000,Dashboard!$F$3)</f>
        <v>75600</v>
      </c>
    </row>
    <row r="7" spans="2:27" x14ac:dyDescent="0.35">
      <c r="B7" s="2" t="str" cm="1">
        <f t="array" ref="B7">INDEX(Company_Pivot!A6:A$1000,Dashboard!$F$3)</f>
        <v>Apple</v>
      </c>
      <c r="C7" s="1" cm="1">
        <f t="array" ref="C7">INDEX(Company_Pivot!B6:B$1000,Dashboard!$F$3)</f>
        <v>233715</v>
      </c>
      <c r="D7" s="1" cm="1">
        <f t="array" ref="D7">INDEX(Company_Pivot!C6:C$1000,Dashboard!$F$3)</f>
        <v>53394</v>
      </c>
      <c r="E7" s="1" cm="1">
        <f t="array" ref="E7">INDEX(Company_Pivot!D6:D$1000,Dashboard!$F$3)</f>
        <v>110000</v>
      </c>
    </row>
    <row r="8" spans="2:27" x14ac:dyDescent="0.35">
      <c r="B8" s="2" t="str" cm="1">
        <f t="array" ref="B8">INDEX(Company_Pivot!A7:A$1000,Dashboard!$F$3)</f>
        <v>Berkshire Hathaway</v>
      </c>
      <c r="C8" s="1" cm="1">
        <f t="array" ref="C8">INDEX(Company_Pivot!B7:B$1000,Dashboard!$F$3)</f>
        <v>210821</v>
      </c>
      <c r="D8" s="1" cm="1">
        <f t="array" ref="D8">INDEX(Company_Pivot!C7:C$1000,Dashboard!$F$3)</f>
        <v>24083</v>
      </c>
      <c r="E8" s="1" cm="1">
        <f t="array" ref="E8">INDEX(Company_Pivot!D7:D$1000,Dashboard!$F$3)</f>
        <v>331000</v>
      </c>
    </row>
    <row r="9" spans="2:27" x14ac:dyDescent="0.35">
      <c r="B9" s="2" t="str" cm="1">
        <f t="array" ref="B9">INDEX(Company_Pivot!A8:A$1000,Dashboard!$F$3)</f>
        <v>McKesson</v>
      </c>
      <c r="C9" s="1" cm="1">
        <f t="array" ref="C9">INDEX(Company_Pivot!B8:B$1000,Dashboard!$F$3)</f>
        <v>181241</v>
      </c>
      <c r="D9" s="1" cm="1">
        <f t="array" ref="D9">INDEX(Company_Pivot!C8:C$1000,Dashboard!$F$3)</f>
        <v>1476</v>
      </c>
      <c r="E9" s="1" cm="1">
        <f t="array" ref="E9">INDEX(Company_Pivot!D8:D$1000,Dashboard!$F$3)</f>
        <v>70400</v>
      </c>
    </row>
    <row r="10" spans="2:27" x14ac:dyDescent="0.35">
      <c r="B10" s="2" t="str" cm="1">
        <f t="array" ref="B10">INDEX(Company_Pivot!A9:A$1000,Dashboard!$F$3)</f>
        <v>UnitedHealth Group</v>
      </c>
      <c r="C10" s="1" cm="1">
        <f t="array" ref="C10">INDEX(Company_Pivot!B9:B$1000,Dashboard!$F$3)</f>
        <v>157107</v>
      </c>
      <c r="D10" s="1" cm="1">
        <f t="array" ref="D10">INDEX(Company_Pivot!C9:C$1000,Dashboard!$F$3)</f>
        <v>5813</v>
      </c>
      <c r="E10" s="1" cm="1">
        <f t="array" ref="E10">INDEX(Company_Pivot!D9:D$1000,Dashboard!$F$3)</f>
        <v>200000</v>
      </c>
    </row>
    <row r="11" spans="2:27" x14ac:dyDescent="0.35">
      <c r="B11" s="2" t="str" cm="1">
        <f t="array" ref="B11">INDEX(Company_Pivot!A10:A$1000,Dashboard!$F$3)</f>
        <v>CVS Health</v>
      </c>
      <c r="C11" s="1" cm="1">
        <f t="array" ref="C11">INDEX(Company_Pivot!B10:B$1000,Dashboard!$F$3)</f>
        <v>153290</v>
      </c>
      <c r="D11" s="1" cm="1">
        <f t="array" ref="D11">INDEX(Company_Pivot!C10:C$1000,Dashboard!$F$3)</f>
        <v>5237</v>
      </c>
      <c r="E11" s="1" cm="1">
        <f t="array" ref="E11">INDEX(Company_Pivot!D10:D$1000,Dashboard!$F$3)</f>
        <v>199000</v>
      </c>
    </row>
    <row r="12" spans="2:27" x14ac:dyDescent="0.35">
      <c r="B12" s="2" t="str" cm="1">
        <f t="array" ref="B12">INDEX(Company_Pivot!A11:A$1000,Dashboard!$F$3)</f>
        <v>General Motors</v>
      </c>
      <c r="C12" s="1" cm="1">
        <f t="array" ref="C12">INDEX(Company_Pivot!B11:B$1000,Dashboard!$F$3)</f>
        <v>152356</v>
      </c>
      <c r="D12" s="1" cm="1">
        <f t="array" ref="D12">INDEX(Company_Pivot!C11:C$1000,Dashboard!$F$3)</f>
        <v>9687</v>
      </c>
      <c r="E12" s="1" cm="1">
        <f t="array" ref="E12">INDEX(Company_Pivot!D11:D$1000,Dashboard!$F$3)</f>
        <v>215000</v>
      </c>
    </row>
    <row r="13" spans="2:27" x14ac:dyDescent="0.35">
      <c r="B13" s="2" t="str" cm="1">
        <f t="array" ref="B13">INDEX(Company_Pivot!A12:A$1000,Dashboard!$F$3)</f>
        <v>Ford Motor</v>
      </c>
      <c r="C13" s="1" cm="1">
        <f t="array" ref="C13">INDEX(Company_Pivot!B12:B$1000,Dashboard!$F$3)</f>
        <v>149558</v>
      </c>
      <c r="D13" s="1" cm="1">
        <f t="array" ref="D13">INDEX(Company_Pivot!C12:C$1000,Dashboard!$F$3)</f>
        <v>7373</v>
      </c>
      <c r="E13" s="1" cm="1">
        <f t="array" ref="E13">INDEX(Company_Pivot!D12:D$1000,Dashboard!$F$3)</f>
        <v>199000</v>
      </c>
    </row>
    <row r="14" spans="2:27" x14ac:dyDescent="0.35">
      <c r="B14" s="2" t="str" cm="1">
        <f t="array" ref="B14">INDEX(Company_Pivot!A13:A$1000,Dashboard!$F$3)</f>
        <v>AT&amp;T</v>
      </c>
      <c r="C14" s="1" cm="1">
        <f t="array" ref="C14">INDEX(Company_Pivot!B13:B$1000,Dashboard!$F$3)</f>
        <v>146801</v>
      </c>
      <c r="D14" s="1" cm="1">
        <f t="array" ref="D14">INDEX(Company_Pivot!C13:C$1000,Dashboard!$F$3)</f>
        <v>13345</v>
      </c>
      <c r="E14" s="1" cm="1">
        <f t="array" ref="E14">INDEX(Company_Pivot!D13:D$1000,Dashboard!$F$3)</f>
        <v>281450</v>
      </c>
    </row>
    <row r="15" spans="2:27" x14ac:dyDescent="0.35">
      <c r="B15" s="2" t="str" cm="1">
        <f t="array" ref="B15">INDEX(Company_Pivot!A14:A$1000,Dashboard!$F$3)</f>
        <v>General Electric</v>
      </c>
      <c r="C15" s="1" cm="1">
        <f t="array" ref="C15">INDEX(Company_Pivot!B14:B$1000,Dashboard!$F$3)</f>
        <v>140389</v>
      </c>
      <c r="D15" s="1" cm="1">
        <f t="array" ref="D15">INDEX(Company_Pivot!C14:C$1000,Dashboard!$F$3)</f>
        <v>-6126</v>
      </c>
      <c r="E15" s="1" cm="1">
        <f t="array" ref="E15">INDEX(Company_Pivot!D14:D$1000,Dashboard!$F$3)</f>
        <v>333000</v>
      </c>
    </row>
    <row r="16" spans="2:27" x14ac:dyDescent="0.35">
      <c r="B16" s="2" t="str" cm="1">
        <f t="array" ref="B16">INDEX(Company_Pivot!A15:A$1000,Dashboard!$F$3)</f>
        <v>AmerisourceBergen</v>
      </c>
      <c r="C16" s="1" cm="1">
        <f t="array" ref="C16">INDEX(Company_Pivot!B15:B$1000,Dashboard!$F$3)</f>
        <v>135962</v>
      </c>
      <c r="D16" s="1" cm="1">
        <f t="array" ref="D16">INDEX(Company_Pivot!C15:C$1000,Dashboard!$F$3)</f>
        <v>-135</v>
      </c>
      <c r="E16" s="1" cm="1">
        <f t="array" ref="E16">INDEX(Company_Pivot!D15:D$1000,Dashboard!$F$3)</f>
        <v>17000</v>
      </c>
    </row>
    <row r="17" spans="2:5" x14ac:dyDescent="0.35">
      <c r="B17" s="2" t="str" cm="1">
        <f t="array" ref="B17">INDEX(Company_Pivot!A16:A$1000,Dashboard!$F$3)</f>
        <v>Verizon</v>
      </c>
      <c r="C17" s="1" cm="1">
        <f t="array" ref="C17">INDEX(Company_Pivot!B16:B$1000,Dashboard!$F$3)</f>
        <v>131620</v>
      </c>
      <c r="D17" s="1" cm="1">
        <f t="array" ref="D17">INDEX(Company_Pivot!C16:C$1000,Dashboard!$F$3)</f>
        <v>17879</v>
      </c>
      <c r="E17" s="1" cm="1">
        <f t="array" ref="E17">INDEX(Company_Pivot!D16:D$1000,Dashboard!$F$3)</f>
        <v>177700</v>
      </c>
    </row>
    <row r="18" spans="2:5" x14ac:dyDescent="0.35">
      <c r="B18" s="2" t="str" cm="1">
        <f t="array" ref="B18">INDEX(Company_Pivot!A17:A$1000,Dashboard!$F$3)</f>
        <v>Chevron</v>
      </c>
      <c r="C18" s="1" cm="1">
        <f t="array" ref="C18">INDEX(Company_Pivot!B17:B$1000,Dashboard!$F$3)</f>
        <v>131118</v>
      </c>
      <c r="D18" s="1" cm="1">
        <f t="array" ref="D18">INDEX(Company_Pivot!C17:C$1000,Dashboard!$F$3)</f>
        <v>4587</v>
      </c>
      <c r="E18" s="1" cm="1">
        <f t="array" ref="E18">INDEX(Company_Pivot!D17:D$1000,Dashboard!$F$3)</f>
        <v>61500</v>
      </c>
    </row>
    <row r="19" spans="2:5" x14ac:dyDescent="0.35">
      <c r="B19" s="2" t="str" cm="1">
        <f t="array" ref="B19">INDEX(Company_Pivot!A18:A$1000,Dashboard!$F$3)</f>
        <v>Costco</v>
      </c>
      <c r="C19" s="1" cm="1">
        <f t="array" ref="C19">INDEX(Company_Pivot!B18:B$1000,Dashboard!$F$3)</f>
        <v>116199</v>
      </c>
      <c r="D19" s="1" cm="1">
        <f t="array" ref="D19">INDEX(Company_Pivot!C18:C$1000,Dashboard!$F$3)</f>
        <v>2377</v>
      </c>
      <c r="E19" s="1" cm="1">
        <f t="array" ref="E19">INDEX(Company_Pivot!D18:D$1000,Dashboard!$F$3)</f>
        <v>161000</v>
      </c>
    </row>
    <row r="20" spans="2:5" x14ac:dyDescent="0.35">
      <c r="B20" s="2" t="str" cm="1">
        <f t="array" ref="B20">INDEX(Company_Pivot!A19:A$1000,Dashboard!$F$3)</f>
        <v>Fannie Mae</v>
      </c>
      <c r="C20" s="1" cm="1">
        <f t="array" ref="C20">INDEX(Company_Pivot!B19:B$1000,Dashboard!$F$3)</f>
        <v>110359</v>
      </c>
      <c r="D20" s="1" cm="1">
        <f t="array" ref="D20">INDEX(Company_Pivot!C19:C$1000,Dashboard!$F$3)</f>
        <v>10954</v>
      </c>
      <c r="E20" s="1" cm="1">
        <f t="array" ref="E20">INDEX(Company_Pivot!D19:D$1000,Dashboard!$F$3)</f>
        <v>7300</v>
      </c>
    </row>
    <row r="21" spans="2:5" x14ac:dyDescent="0.35">
      <c r="B21" s="2" t="str" cm="1">
        <f t="array" ref="B21">INDEX(Company_Pivot!A20:A$1000,Dashboard!$F$3)</f>
        <v>Kroger</v>
      </c>
      <c r="C21" s="1" cm="1">
        <f t="array" ref="C21">INDEX(Company_Pivot!B20:B$1000,Dashboard!$F$3)</f>
        <v>109830</v>
      </c>
      <c r="D21" s="1" cm="1">
        <f t="array" ref="D21">INDEX(Company_Pivot!C20:C$1000,Dashboard!$F$3)</f>
        <v>2039</v>
      </c>
      <c r="E21" s="1" cm="1">
        <f t="array" ref="E21">INDEX(Company_Pivot!D20:D$1000,Dashboard!$F$3)</f>
        <v>431000</v>
      </c>
    </row>
    <row r="22" spans="2:5" x14ac:dyDescent="0.35">
      <c r="B22" s="2" t="str" cm="1">
        <f t="array" ref="B22">INDEX(Company_Pivot!A21:A$1000,Dashboard!$F$3)</f>
        <v>Amazon.com</v>
      </c>
      <c r="C22" s="1" cm="1">
        <f t="array" ref="C22">INDEX(Company_Pivot!B21:B$1000,Dashboard!$F$3)</f>
        <v>107006</v>
      </c>
      <c r="D22" s="1" cm="1">
        <f t="array" ref="D22">INDEX(Company_Pivot!C21:C$1000,Dashboard!$F$3)</f>
        <v>596</v>
      </c>
      <c r="E22" s="1" cm="1">
        <f t="array" ref="E22">INDEX(Company_Pivot!D21:D$1000,Dashboard!$F$3)</f>
        <v>230800</v>
      </c>
    </row>
    <row r="23" spans="2:5" x14ac:dyDescent="0.35">
      <c r="B23" s="2" t="str" cm="1">
        <f t="array" ref="B23">INDEX(Company_Pivot!A22:A$1000,Dashboard!$F$3)</f>
        <v>Walgreens Boots Alliance</v>
      </c>
      <c r="C23" s="1" cm="1">
        <f t="array" ref="C23">INDEX(Company_Pivot!B22:B$1000,Dashboard!$F$3)</f>
        <v>103444</v>
      </c>
      <c r="D23" s="1" cm="1">
        <f t="array" ref="D23">INDEX(Company_Pivot!C22:C$1000,Dashboard!$F$3)</f>
        <v>4220</v>
      </c>
      <c r="E23" s="1" cm="1">
        <f t="array" ref="E23">INDEX(Company_Pivot!D22:D$1000,Dashboard!$F$3)</f>
        <v>302500</v>
      </c>
    </row>
    <row r="24" spans="2:5" x14ac:dyDescent="0.35">
      <c r="B24" s="2" t="str" cm="1">
        <f t="array" ref="B24">INDEX(Company_Pivot!A23:A$1000,Dashboard!$F$3)</f>
        <v>HP</v>
      </c>
      <c r="C24" s="1" cm="1">
        <f t="array" ref="C24">INDEX(Company_Pivot!B23:B$1000,Dashboard!$F$3)</f>
        <v>103355</v>
      </c>
      <c r="D24" s="1" cm="1">
        <f t="array" ref="D24">INDEX(Company_Pivot!C23:C$1000,Dashboard!$F$3)</f>
        <v>4554</v>
      </c>
      <c r="E24" s="1" cm="1">
        <f t="array" ref="E24">INDEX(Company_Pivot!D23:D$1000,Dashboard!$F$3)</f>
        <v>287000</v>
      </c>
    </row>
    <row r="25" spans="2:5" x14ac:dyDescent="0.35">
      <c r="B25" s="2" t="str" cm="1">
        <f t="array" ref="B25">INDEX(Company_Pivot!A24:A$1000,Dashboard!$F$3)</f>
        <v>Cardinal Health</v>
      </c>
      <c r="C25" s="1" cm="1">
        <f t="array" ref="C25">INDEX(Company_Pivot!B24:B$1000,Dashboard!$F$3)</f>
        <v>102531</v>
      </c>
      <c r="D25" s="1" cm="1">
        <f t="array" ref="D25">INDEX(Company_Pivot!C24:C$1000,Dashboard!$F$3)</f>
        <v>1215</v>
      </c>
      <c r="E25" s="1" cm="1">
        <f t="array" ref="E25">INDEX(Company_Pivot!D24:D$1000,Dashboard!$F$3)</f>
        <v>34500</v>
      </c>
    </row>
    <row r="26" spans="2:5" x14ac:dyDescent="0.35">
      <c r="B26" s="2" t="str" cm="1">
        <f t="array" ref="B26">INDEX(Company_Pivot!A25:A$1000,Dashboard!$F$3)</f>
        <v>Express Scripts Holding</v>
      </c>
      <c r="C26" s="1" cm="1">
        <f t="array" ref="C26">INDEX(Company_Pivot!B25:B$1000,Dashboard!$F$3)</f>
        <v>101752</v>
      </c>
      <c r="D26" s="1" cm="1">
        <f t="array" ref="D26">INDEX(Company_Pivot!C25:C$1000,Dashboard!$F$3)</f>
        <v>2476</v>
      </c>
      <c r="E26" s="1" cm="1">
        <f t="array" ref="E26">INDEX(Company_Pivot!D25:D$1000,Dashboard!$F$3)</f>
        <v>25900</v>
      </c>
    </row>
    <row r="27" spans="2:5" x14ac:dyDescent="0.35">
      <c r="B27" s="2" t="str" cm="1">
        <f t="array" ref="B27">INDEX(Company_Pivot!A26:A$1000,Dashboard!$F$3)</f>
        <v>J.P. Morgan Chase</v>
      </c>
      <c r="C27" s="1" cm="1">
        <f t="array" ref="C27">INDEX(Company_Pivot!B26:B$1000,Dashboard!$F$3)</f>
        <v>101006</v>
      </c>
      <c r="D27" s="1" cm="1">
        <f t="array" ref="D27">INDEX(Company_Pivot!C26:C$1000,Dashboard!$F$3)</f>
        <v>24442</v>
      </c>
      <c r="E27" s="1" cm="1">
        <f t="array" ref="E27">INDEX(Company_Pivot!D26:D$1000,Dashboard!$F$3)</f>
        <v>234598</v>
      </c>
    </row>
    <row r="28" spans="2:5" x14ac:dyDescent="0.35">
      <c r="B28" s="2" t="str" cm="1">
        <f t="array" ref="B28">INDEX(Company_Pivot!A27:A$1000,Dashboard!$F$3)</f>
        <v>Boeing</v>
      </c>
      <c r="C28" s="1" cm="1">
        <f t="array" ref="C28">INDEX(Company_Pivot!B27:B$1000,Dashboard!$F$3)</f>
        <v>96114</v>
      </c>
      <c r="D28" s="1" cm="1">
        <f t="array" ref="D28">INDEX(Company_Pivot!C27:C$1000,Dashboard!$F$3)</f>
        <v>5176</v>
      </c>
      <c r="E28" s="1" cm="1">
        <f t="array" ref="E28">INDEX(Company_Pivot!D27:D$1000,Dashboard!$F$3)</f>
        <v>161400</v>
      </c>
    </row>
    <row r="29" spans="2:5" x14ac:dyDescent="0.35">
      <c r="B29" s="2" t="str" cm="1">
        <f t="array" ref="B29">INDEX(Company_Pivot!A28:A$1000,Dashboard!$F$3)</f>
        <v>Microsoft</v>
      </c>
      <c r="C29" s="1" cm="1">
        <f t="array" ref="C29">INDEX(Company_Pivot!B28:B$1000,Dashboard!$F$3)</f>
        <v>93580</v>
      </c>
      <c r="D29" s="1" cm="1">
        <f t="array" ref="D29">INDEX(Company_Pivot!C28:C$1000,Dashboard!$F$3)</f>
        <v>12193</v>
      </c>
      <c r="E29" s="1" cm="1">
        <f t="array" ref="E29">INDEX(Company_Pivot!D28:D$1000,Dashboard!$F$3)</f>
        <v>118000</v>
      </c>
    </row>
    <row r="30" spans="2:5" x14ac:dyDescent="0.35">
      <c r="B30" s="2" t="str" cm="1">
        <f t="array" ref="B30">INDEX(Company_Pivot!A29:A$1000,Dashboard!$F$3)</f>
        <v>Bank of America Corp.</v>
      </c>
      <c r="C30" s="1" cm="1">
        <f t="array" ref="C30">INDEX(Company_Pivot!B29:B$1000,Dashboard!$F$3)</f>
        <v>93056</v>
      </c>
      <c r="D30" s="1" cm="1">
        <f t="array" ref="D30">INDEX(Company_Pivot!C29:C$1000,Dashboard!$F$3)</f>
        <v>15888</v>
      </c>
      <c r="E30" s="1" cm="1">
        <f t="array" ref="E30">INDEX(Company_Pivot!D29:D$1000,Dashboard!$F$3)</f>
        <v>213280</v>
      </c>
    </row>
    <row r="31" spans="2:5" x14ac:dyDescent="0.35">
      <c r="B31" s="2" t="str" cm="1">
        <f t="array" ref="B31">INDEX(Company_Pivot!A30:A$1000,Dashboard!$F$3)</f>
        <v>Wells Fargo</v>
      </c>
      <c r="C31" s="1" cm="1">
        <f t="array" ref="C31">INDEX(Company_Pivot!B30:B$1000,Dashboard!$F$3)</f>
        <v>90033</v>
      </c>
      <c r="D31" s="1" cm="1">
        <f t="array" ref="D31">INDEX(Company_Pivot!C30:C$1000,Dashboard!$F$3)</f>
        <v>22894</v>
      </c>
      <c r="E31" s="1" cm="1">
        <f t="array" ref="E31">INDEX(Company_Pivot!D30:D$1000,Dashboard!$F$3)</f>
        <v>264700</v>
      </c>
    </row>
    <row r="32" spans="2:5" x14ac:dyDescent="0.35">
      <c r="B32" s="2" t="str" cm="1">
        <f t="array" ref="B32">INDEX(Company_Pivot!A31:A$1000,Dashboard!$F$3)</f>
        <v>Home Depot</v>
      </c>
      <c r="C32" s="1" cm="1">
        <f t="array" ref="C32">INDEX(Company_Pivot!B31:B$1000,Dashboard!$F$3)</f>
        <v>88519</v>
      </c>
      <c r="D32" s="1" cm="1">
        <f t="array" ref="D32">INDEX(Company_Pivot!C31:C$1000,Dashboard!$F$3)</f>
        <v>7009</v>
      </c>
      <c r="E32" s="1" cm="1">
        <f t="array" ref="E32">INDEX(Company_Pivot!D31:D$1000,Dashboard!$F$3)</f>
        <v>385000</v>
      </c>
    </row>
    <row r="33" spans="2:26" x14ac:dyDescent="0.35">
      <c r="B33" s="2" t="str" cm="1">
        <f t="array" ref="B33">INDEX(Company_Pivot!A32:A$1000,Dashboard!$F$3)</f>
        <v>Citigroup</v>
      </c>
      <c r="C33" s="1" cm="1">
        <f t="array" ref="C33">INDEX(Company_Pivot!B32:B$1000,Dashboard!$F$3)</f>
        <v>88275</v>
      </c>
      <c r="D33" s="1" cm="1">
        <f t="array" ref="D33">INDEX(Company_Pivot!C32:C$1000,Dashboard!$F$3)</f>
        <v>17242</v>
      </c>
      <c r="E33" s="1" cm="1">
        <f t="array" ref="E33">INDEX(Company_Pivot!D32:D$1000,Dashboard!$F$3)</f>
        <v>231000</v>
      </c>
    </row>
    <row r="34" spans="2:26" x14ac:dyDescent="0.35">
      <c r="B34" s="2" t="str" cm="1">
        <f t="array" ref="B34">INDEX(Company_Pivot!A33:A$1000,Dashboard!$F$3)</f>
        <v>Phillips 66</v>
      </c>
      <c r="C34" s="1" cm="1">
        <f t="array" ref="C34">INDEX(Company_Pivot!B33:B$1000,Dashboard!$F$3)</f>
        <v>87169</v>
      </c>
      <c r="D34" s="1" cm="1">
        <f t="array" ref="D34">INDEX(Company_Pivot!C33:C$1000,Dashboard!$F$3)</f>
        <v>4227</v>
      </c>
      <c r="E34" s="1" cm="1">
        <f t="array" ref="E34">INDEX(Company_Pivot!D33:D$1000,Dashboard!$F$3)</f>
        <v>14000</v>
      </c>
    </row>
    <row r="35" spans="2:26" x14ac:dyDescent="0.35">
      <c r="B35" s="2" t="str" cm="1">
        <f t="array" ref="B35">INDEX(Company_Pivot!A34:A$1000,Dashboard!$F$3)</f>
        <v>IBM</v>
      </c>
      <c r="C35" s="1" cm="1">
        <f t="array" ref="C35">INDEX(Company_Pivot!B34:B$1000,Dashboard!$F$3)</f>
        <v>82461</v>
      </c>
      <c r="D35" s="1" cm="1">
        <f t="array" ref="D35">INDEX(Company_Pivot!C34:C$1000,Dashboard!$F$3)</f>
        <v>13190</v>
      </c>
      <c r="E35" s="1" cm="1">
        <f t="array" ref="E35">INDEX(Company_Pivot!D34:D$1000,Dashboard!$F$3)</f>
        <v>411798</v>
      </c>
    </row>
    <row r="36" spans="2:26" x14ac:dyDescent="0.35">
      <c r="B36" s="2" t="str" cm="1">
        <f t="array" ref="B36">INDEX(Company_Pivot!A35:A$1000,Dashboard!$F$3)</f>
        <v>Valero Energy</v>
      </c>
      <c r="C36" s="1" cm="1">
        <f t="array" ref="C36">INDEX(Company_Pivot!B35:B$1000,Dashboard!$F$3)</f>
        <v>81824</v>
      </c>
      <c r="D36" s="1" cm="1">
        <f t="array" ref="D36">INDEX(Company_Pivot!C35:C$1000,Dashboard!$F$3)</f>
        <v>3990</v>
      </c>
      <c r="E36" s="1" cm="1">
        <f t="array" ref="E36">INDEX(Company_Pivot!D35:D$1000,Dashboard!$F$3)</f>
        <v>10103</v>
      </c>
    </row>
    <row r="37" spans="2:26" x14ac:dyDescent="0.35">
      <c r="B37" s="2" t="str" cm="1">
        <f t="array" ref="B37">INDEX(Company_Pivot!A36:A$1000,Dashboard!$F$3)</f>
        <v>Anthem</v>
      </c>
      <c r="C37" s="1" cm="1">
        <f t="array" ref="C37">INDEX(Company_Pivot!B36:B$1000,Dashboard!$F$3)</f>
        <v>79157</v>
      </c>
      <c r="D37" s="1" cm="1">
        <f t="array" ref="D37">INDEX(Company_Pivot!C36:C$1000,Dashboard!$F$3)</f>
        <v>2560</v>
      </c>
      <c r="E37" s="1" cm="1">
        <f t="array" ref="E37">INDEX(Company_Pivot!D36:D$1000,Dashboard!$F$3)</f>
        <v>53000</v>
      </c>
    </row>
    <row r="38" spans="2:26" x14ac:dyDescent="0.35">
      <c r="B38" s="2" t="str" cm="1">
        <f t="array" ref="B38">INDEX(Company_Pivot!A37:A$1000,Dashboard!$F$3)</f>
        <v>Procter &amp; Gamble</v>
      </c>
      <c r="C38" s="1" cm="1">
        <f t="array" ref="C38">INDEX(Company_Pivot!B37:B$1000,Dashboard!$F$3)</f>
        <v>78756</v>
      </c>
      <c r="D38" s="1" cm="1">
        <f t="array" ref="D38">INDEX(Company_Pivot!C37:C$1000,Dashboard!$F$3)</f>
        <v>7036</v>
      </c>
      <c r="E38" s="1" cm="1">
        <f t="array" ref="E38">INDEX(Company_Pivot!D37:D$1000,Dashboard!$F$3)</f>
        <v>110000</v>
      </c>
    </row>
    <row r="39" spans="2:26" x14ac:dyDescent="0.35">
      <c r="B39" s="2" t="str" cm="1">
        <f t="array" ref="B39">INDEX(Company_Pivot!A38:A$1000,Dashboard!$F$3)</f>
        <v>State Farm Insurance Cos.</v>
      </c>
      <c r="C39" s="1" cm="1">
        <f t="array" ref="C39">INDEX(Company_Pivot!B38:B$1000,Dashboard!$F$3)</f>
        <v>75697</v>
      </c>
      <c r="D39" s="1" cm="1">
        <f t="array" ref="D39">INDEX(Company_Pivot!C38:C$1000,Dashboard!$F$3)</f>
        <v>6229</v>
      </c>
      <c r="E39" s="1" cm="1">
        <f t="array" ref="E39">INDEX(Company_Pivot!D38:D$1000,Dashboard!$F$3)</f>
        <v>70425</v>
      </c>
    </row>
    <row r="40" spans="2:26" x14ac:dyDescent="0.35">
      <c r="B40" s="2" t="str" cm="1">
        <f t="array" ref="B40">INDEX(Company_Pivot!A39:A$1000,Dashboard!$F$3)</f>
        <v>Alphabet</v>
      </c>
      <c r="C40" s="1" cm="1">
        <f t="array" ref="C40">INDEX(Company_Pivot!B39:B$1000,Dashboard!$F$3)</f>
        <v>74989</v>
      </c>
      <c r="D40" s="1" cm="1">
        <f t="array" ref="D40">INDEX(Company_Pivot!C39:C$1000,Dashboard!$F$3)</f>
        <v>16348</v>
      </c>
      <c r="E40" s="1" cm="1">
        <f t="array" ref="E40">INDEX(Company_Pivot!D39:D$1000,Dashboard!$F$3)</f>
        <v>61814</v>
      </c>
    </row>
    <row r="41" spans="2:26" x14ac:dyDescent="0.35">
      <c r="B41" s="2" t="str" cm="1">
        <f t="array" ref="B41">INDEX(Company_Pivot!A40:A$1000,Dashboard!$F$3)</f>
        <v>Comcast</v>
      </c>
      <c r="C41" s="1" cm="1">
        <f t="array" ref="C41">INDEX(Company_Pivot!B40:B$1000,Dashboard!$F$3)</f>
        <v>74510</v>
      </c>
      <c r="D41" s="1" cm="1">
        <f t="array" ref="D41">INDEX(Company_Pivot!C40:C$1000,Dashboard!$F$3)</f>
        <v>8163</v>
      </c>
      <c r="E41" s="1" cm="1">
        <f t="array" ref="E41">INDEX(Company_Pivot!D40:D$1000,Dashboard!$F$3)</f>
        <v>153000</v>
      </c>
    </row>
    <row r="43" spans="2:26" x14ac:dyDescent="0.35">
      <c r="B43" s="14" t="s">
        <v>1535</v>
      </c>
      <c r="C43" s="13"/>
      <c r="D43" s="13"/>
      <c r="E43" s="13"/>
      <c r="F43" s="13"/>
      <c r="G43" s="13"/>
      <c r="H43" s="13"/>
      <c r="I43" s="13"/>
      <c r="J43" s="13"/>
      <c r="K43" s="13"/>
      <c r="L43" s="13"/>
      <c r="M43" s="13"/>
      <c r="N43" s="13"/>
      <c r="O43" s="13"/>
      <c r="P43" s="13"/>
      <c r="Q43" s="13"/>
      <c r="R43" s="13"/>
      <c r="S43" s="13"/>
      <c r="T43" s="13"/>
      <c r="U43" s="13"/>
      <c r="V43" s="14" t="s">
        <v>1536</v>
      </c>
      <c r="W43" s="13"/>
      <c r="X43" s="13"/>
      <c r="Y43" s="13"/>
      <c r="Z43" s="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Scroll Bar 1">
              <controlPr defaultSize="0" autoPict="0">
                <anchor moveWithCells="1">
                  <from>
                    <xdr:col>5</xdr:col>
                    <xdr:colOff>38100</xdr:colOff>
                    <xdr:row>4</xdr:row>
                    <xdr:rowOff>28575</xdr:rowOff>
                  </from>
                  <to>
                    <xdr:col>5</xdr:col>
                    <xdr:colOff>314325</xdr:colOff>
                    <xdr:row>41</xdr:row>
                    <xdr:rowOff>0</xdr:rowOff>
                  </to>
                </anchor>
              </controlPr>
            </control>
          </mc:Choice>
        </mc:AlternateContent>
      </controls>
    </mc:Choice>
  </mc:AlternateContent>
  <tableParts count="1">
    <tablePart r:id="rId4"/>
  </tableParts>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fortune1000</vt:lpstr>
      <vt:lpstr>LOCATION</vt:lpstr>
      <vt:lpstr>INDUSTRY</vt:lpstr>
      <vt:lpstr>Company_Pivot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Summers</dc:creator>
  <cp:lastModifiedBy>Michael Summers</cp:lastModifiedBy>
  <dcterms:created xsi:type="dcterms:W3CDTF">2020-02-16T03:14:22Z</dcterms:created>
  <dcterms:modified xsi:type="dcterms:W3CDTF">2020-02-16T05:11:53Z</dcterms:modified>
</cp:coreProperties>
</file>